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annette\Desktop\Work Folder\Companies\1. African Gameskin\Reports\MONTLY INFO DENZIL\2027\"/>
    </mc:Choice>
  </mc:AlternateContent>
  <xr:revisionPtr revIDLastSave="0" documentId="13_ncr:1_{518FB00D-2258-473D-8829-B9219315E7CA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Monthly sheet " sheetId="14" r:id="rId1"/>
    <sheet name="Sheet1" sheetId="22" r:id="rId2"/>
    <sheet name="Sheet2" sheetId="23" r:id="rId3"/>
    <sheet name="Balance sheet " sheetId="1" r:id="rId4"/>
    <sheet name="Income Statement " sheetId="3" r:id="rId5"/>
    <sheet name="Year to date" sheetId="19" r:id="rId6"/>
    <sheet name="Debtors " sheetId="4" r:id="rId7"/>
    <sheet name="Suppliers " sheetId="6" r:id="rId8"/>
    <sheet name="Sales " sheetId="8" r:id="rId9"/>
    <sheet name="Invoices" sheetId="9" r:id="rId10"/>
    <sheet name="Stock " sheetId="11" r:id="rId11"/>
    <sheet name="Per Customer " sheetId="12" r:id="rId12"/>
    <sheet name="Hannitan" sheetId="20" r:id="rId13"/>
    <sheet name="FLW" sheetId="18" r:id="rId14"/>
    <sheet name="Customer for the year" sheetId="21" r:id="rId15"/>
  </sheets>
  <externalReferences>
    <externalReference r:id="rId16"/>
    <externalReference r:id="rId17"/>
    <externalReference r:id="rId18"/>
    <externalReference r:id="rId19"/>
  </externalReferences>
  <definedNames>
    <definedName name="_xlnm._FilterDatabase" localSheetId="9" hidden="1">Invoices!$A$4:$G$1848</definedName>
    <definedName name="_xlnm._FilterDatabase" localSheetId="11" hidden="1">'Per Customer '!$A$3:$D$534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M37" i="14" l="1"/>
  <c r="C48" i="14"/>
  <c r="D47" i="14"/>
  <c r="C47" i="14"/>
  <c r="H28" i="14"/>
  <c r="H24" i="14"/>
  <c r="H23" i="14"/>
  <c r="H22" i="14"/>
  <c r="H21" i="14"/>
  <c r="H20" i="14"/>
  <c r="H36" i="14"/>
  <c r="L31" i="14"/>
  <c r="L30" i="14"/>
  <c r="L28" i="14"/>
  <c r="L27" i="14"/>
  <c r="L23" i="14"/>
  <c r="L22" i="14"/>
  <c r="L14" i="14"/>
  <c r="L7" i="14"/>
  <c r="L6" i="14"/>
  <c r="O55" i="14"/>
  <c r="L38" i="14"/>
  <c r="L37" i="14"/>
  <c r="G8" i="14"/>
  <c r="G7" i="14"/>
  <c r="L36" i="14"/>
  <c r="C25" i="14" l="1"/>
  <c r="C22" i="14"/>
  <c r="C19" i="14"/>
  <c r="D11" i="14"/>
  <c r="C11" i="14"/>
  <c r="C41" i="8"/>
  <c r="B41" i="8"/>
  <c r="G16" i="14"/>
  <c r="G15" i="14"/>
  <c r="D27" i="18"/>
  <c r="D25" i="18"/>
  <c r="B25" i="18"/>
  <c r="D41" i="20"/>
  <c r="D39" i="20"/>
  <c r="B39" i="20"/>
  <c r="L56" i="14"/>
  <c r="L54" i="14"/>
  <c r="M54" i="14" s="1"/>
  <c r="M53" i="14"/>
  <c r="L53" i="14"/>
  <c r="D25" i="14"/>
  <c r="D19" i="14" l="1"/>
  <c r="D27" i="14" s="1"/>
  <c r="L20" i="14" l="1"/>
  <c r="L19" i="14"/>
  <c r="D7" i="14"/>
  <c r="D6" i="14"/>
  <c r="C41" i="14" l="1"/>
  <c r="D48" i="14" l="1"/>
  <c r="C12" i="14" l="1"/>
  <c r="C13" i="14" l="1"/>
  <c r="L58" i="14" s="1"/>
  <c r="L29" i="14" l="1"/>
  <c r="G10" i="14"/>
  <c r="D13" i="14" l="1"/>
  <c r="G11" i="14"/>
  <c r="M31" i="14"/>
  <c r="M29" i="14"/>
  <c r="L32" i="14"/>
  <c r="M32" i="14" s="1"/>
  <c r="G17" i="14"/>
  <c r="C14" i="14" l="1"/>
  <c r="H31" i="14" l="1"/>
  <c r="H37" i="14" s="1"/>
  <c r="L15" i="14" l="1"/>
  <c r="D9" i="14" l="1"/>
  <c r="D46" i="14" s="1"/>
  <c r="D49" i="14" l="1"/>
  <c r="L21" i="14"/>
  <c r="M23" i="14"/>
  <c r="H25" i="14"/>
  <c r="H34" i="14" s="1"/>
  <c r="L24" i="14" l="1"/>
  <c r="M24" i="14" s="1"/>
  <c r="M21" i="14"/>
  <c r="M40" i="14" l="1"/>
  <c r="H33" i="14" l="1"/>
  <c r="H40" i="14" s="1"/>
  <c r="C27" i="14" l="1"/>
</calcChain>
</file>

<file path=xl/sharedStrings.xml><?xml version="1.0" encoding="utf-8"?>
<sst xmlns="http://schemas.openxmlformats.org/spreadsheetml/2006/main" count="7779" uniqueCount="3673">
  <si>
    <t>SALES</t>
  </si>
  <si>
    <t>COST OF SALES</t>
  </si>
  <si>
    <t>OTHER INCOME</t>
  </si>
  <si>
    <t>EXPENSES</t>
  </si>
  <si>
    <t>AFRICAN GAMESKIN GROUP (PTY) LTD</t>
  </si>
  <si>
    <t>PURCHASES</t>
  </si>
  <si>
    <t>BANK:</t>
  </si>
  <si>
    <t xml:space="preserve">TURNOVER </t>
  </si>
  <si>
    <t>HANNITAN - RECEIVED IN MONTH</t>
  </si>
  <si>
    <t>M2</t>
  </si>
  <si>
    <t>NEDBANK</t>
  </si>
  <si>
    <t>TURNOVER - EXPORTS</t>
  </si>
  <si>
    <t>VALUE EXCL VAT</t>
  </si>
  <si>
    <t>CFC</t>
  </si>
  <si>
    <t>LEATHER SOLD:</t>
  </si>
  <si>
    <t>AVERAGE SELLING PRICE:</t>
  </si>
  <si>
    <t>TURNOVER</t>
  </si>
  <si>
    <t>GROSS PROFIT</t>
  </si>
  <si>
    <t>NET PROFIT</t>
  </si>
  <si>
    <t xml:space="preserve">TOP 10 CUSTOMERS </t>
  </si>
  <si>
    <t>DM2</t>
  </si>
  <si>
    <t>VALUE</t>
  </si>
  <si>
    <t xml:space="preserve">AVERAGE PRICE </t>
  </si>
  <si>
    <t>CREDITORS AGING:</t>
  </si>
  <si>
    <t>CURRENT</t>
  </si>
  <si>
    <t>30DAYS</t>
  </si>
  <si>
    <t>60DAYS</t>
  </si>
  <si>
    <t>DEBTORS AGING AT END OF THE MONTH:</t>
  </si>
  <si>
    <t>STOCK</t>
  </si>
  <si>
    <t>DEBTORS</t>
  </si>
  <si>
    <t>90DAYS</t>
  </si>
  <si>
    <t xml:space="preserve">BANK </t>
  </si>
  <si>
    <t>120DAYS</t>
  </si>
  <si>
    <t>CREDITORS</t>
  </si>
  <si>
    <t>TOTAL STOCK:</t>
  </si>
  <si>
    <t>TOTAL CURRENT ASSETS:</t>
  </si>
  <si>
    <t>AVERAGE PURCHASE PRICE :</t>
  </si>
  <si>
    <t>LEATHER PURCHASED:</t>
  </si>
  <si>
    <t xml:space="preserve">INCOME STATEMENT YTD </t>
  </si>
  <si>
    <t>5% DISCOUNT</t>
  </si>
  <si>
    <t>JHB</t>
  </si>
  <si>
    <t>Durban</t>
  </si>
  <si>
    <t>FUSION LEATHER - RECEIVED IN MONTH</t>
  </si>
  <si>
    <t xml:space="preserve">SALES BREAKDOWN </t>
  </si>
  <si>
    <t xml:space="preserve">Total m2 sold </t>
  </si>
  <si>
    <t>LOAN ACCOUNTS</t>
  </si>
  <si>
    <t>AVERAGE PRICE</t>
  </si>
  <si>
    <t>TOTAL</t>
  </si>
  <si>
    <t>Cape Town</t>
  </si>
  <si>
    <t xml:space="preserve">JHB Branch </t>
  </si>
  <si>
    <t>Durban Branch</t>
  </si>
  <si>
    <t xml:space="preserve">Cape Town Branch </t>
  </si>
  <si>
    <t>Top 10 as % of total sales</t>
  </si>
  <si>
    <t>Hildene Inv</t>
  </si>
  <si>
    <t xml:space="preserve">Other </t>
  </si>
  <si>
    <t xml:space="preserve">Spolden Inv </t>
  </si>
  <si>
    <t>AFRICAN GAMESKIN GROUP (PTY) LTD  |  Prepared by:  African Gameskin</t>
  </si>
  <si>
    <t/>
  </si>
  <si>
    <t>Qty</t>
  </si>
  <si>
    <t>Total Selling</t>
  </si>
  <si>
    <t>Category : 000 - None</t>
  </si>
  <si>
    <t>Category : 001 - Gazelle</t>
  </si>
  <si>
    <t>Category : 002 - Woodland B JHB no print</t>
  </si>
  <si>
    <t>Category : 003 - Cape Buffalo</t>
  </si>
  <si>
    <t>Category : 004 - Classic Collection</t>
  </si>
  <si>
    <t>Category : 005 - Nappa Collection</t>
  </si>
  <si>
    <t>Category : 007 - Santos / Sorrento</t>
  </si>
  <si>
    <t>Category : 010 - Cow Suede Splits</t>
  </si>
  <si>
    <t>Category : 012 - Barcelona</t>
  </si>
  <si>
    <t>Category : 013 - Fusion Stock Lot</t>
  </si>
  <si>
    <t>Category : 015 - Navada</t>
  </si>
  <si>
    <t>Category : 016 - Nova</t>
  </si>
  <si>
    <t>Category : 017 - Woodland B with print</t>
  </si>
  <si>
    <t>Category : 018 - Impala</t>
  </si>
  <si>
    <t>Category : 019 - Oil Based</t>
  </si>
  <si>
    <t>Category : 020 - Daytona</t>
  </si>
  <si>
    <t>Category : 022 - Chicago</t>
  </si>
  <si>
    <t>Category : 024 - Vintage</t>
  </si>
  <si>
    <t>Category : 025 - Sanchez</t>
  </si>
  <si>
    <t>Category : 029 - Salvador</t>
  </si>
  <si>
    <t>Category : 030 - Sheraton</t>
  </si>
  <si>
    <t>Category : 033 - Cosmo</t>
  </si>
  <si>
    <t>Category : 034 - Veg Tan Leather</t>
  </si>
  <si>
    <t>Category : 036 - Diesel</t>
  </si>
  <si>
    <t>Category : 037 - Stock Lot</t>
  </si>
  <si>
    <t>Category : 038 - Texas</t>
  </si>
  <si>
    <t>Category : 039 - Etosha</t>
  </si>
  <si>
    <t>Category : 040 - Morocco</t>
  </si>
  <si>
    <t>Category : 045 - Enduro</t>
  </si>
  <si>
    <t>Category : 046 - Pista Walnut</t>
  </si>
  <si>
    <t>Category : 048 - Metalic</t>
  </si>
  <si>
    <t>Category : 050 - Eco Range</t>
  </si>
  <si>
    <t>Category : 051 - Antique</t>
  </si>
  <si>
    <t>Category : 052 - Sale - Cubes</t>
  </si>
  <si>
    <t>GRAND TOTAL</t>
  </si>
  <si>
    <t>Unit Cost</t>
  </si>
  <si>
    <t>Total</t>
  </si>
  <si>
    <t>Supplier : TAN001 - FUSION LEATHER WORLD</t>
  </si>
  <si>
    <t>Item : ECO008 - ECO TAN</t>
  </si>
  <si>
    <t>Item : SAL007 - SALVADOR DARK CHOC</t>
  </si>
  <si>
    <t>Item : TEX020 - TEXAS OCHRE</t>
  </si>
  <si>
    <t>Item : TUS002 - BARCELONA TAN</t>
  </si>
  <si>
    <t>Item : TUS003 - BARCELONA BROWN</t>
  </si>
  <si>
    <t>Item : TUS004 - BARCELONA BLACK</t>
  </si>
  <si>
    <t>Item : TUS006 - BARCELONA OLIVE</t>
  </si>
  <si>
    <t>Item : TUS007 - BARCELONA TOFFEE</t>
  </si>
  <si>
    <t>Total for Supplier : TAN001 - FUSION LEATHER WORLD</t>
  </si>
  <si>
    <t>Supplier : HAN001 - HANNITAN LEATHER CC</t>
  </si>
  <si>
    <t>Item : BWO001 - WOODLAND B PRINT SPICE</t>
  </si>
  <si>
    <t>Item : CAS001 - CASTROL TOFFEE</t>
  </si>
  <si>
    <t>Item : DAY002 - DAYTONA ESPRESSO</t>
  </si>
  <si>
    <t>Item : DAY006 - DAYTONA TAN</t>
  </si>
  <si>
    <t>Item : DAY011 - DAYTONA TOFFEE</t>
  </si>
  <si>
    <t>Item : DIE011 - DIESEL TOFFEE</t>
  </si>
  <si>
    <t>Item : DIE018 - DIESEL TOBACCO</t>
  </si>
  <si>
    <t>Item : ETO001 - ETOSHA RUST</t>
  </si>
  <si>
    <t>Item : ETO002 - ETOSHA PECAN</t>
  </si>
  <si>
    <t>Item : ETO003 - ETOSHA CHESTNUT</t>
  </si>
  <si>
    <t>Item : GAZ006 - GAZELLE BLACK</t>
  </si>
  <si>
    <t>Item : IMP005 - IMPALA OXBLOOD</t>
  </si>
  <si>
    <t>Item : SAN011 - SANTOS SPICE</t>
  </si>
  <si>
    <t>Total for Supplier : HAN001 - HANNITAN LEATHER CC</t>
  </si>
  <si>
    <t>Customer : ALE007 - ALEC SHOES - RICHARDS BAY</t>
  </si>
  <si>
    <t>Customer : ANG002 - ANGEL FOOTWEAR</t>
  </si>
  <si>
    <t>Customer : ATA001 - AT ART LEATHER</t>
  </si>
  <si>
    <t>Customer : BAL002 - BALLERINA FOOTWEAR</t>
  </si>
  <si>
    <t>Customer : BAO002 - BAO-BAGS</t>
  </si>
  <si>
    <t>Customer : BEN005 - BENZE UPHOLSTERY</t>
  </si>
  <si>
    <t>Customer : BLU004 - AMBI &amp; CO t/a BLUEBERRY BLUSH</t>
  </si>
  <si>
    <t>Customer : BRA013 - BRANDO LEATHER GOODS (PTY) LTD</t>
  </si>
  <si>
    <t>Customer : BRE003 - BRESAN FOOTWEAR (PTY) LTD</t>
  </si>
  <si>
    <t>Customer : CAR029 - CAR &amp; COUCH - MT EDGECOMBE</t>
  </si>
  <si>
    <t>Customer : CASH - CASH CUSTOMER</t>
  </si>
  <si>
    <t>Customer : CLA06 - KANDASWAMI INVESTMENTS CC T/A CLASSIC IN</t>
  </si>
  <si>
    <t>Customer : COO002 - COOL BAGS</t>
  </si>
  <si>
    <t>Customer : COR004 - CORVARI FOOTWEAR CC</t>
  </si>
  <si>
    <t>Customer : COS001 - TH STEVENS T/A COSY COUCH</t>
  </si>
  <si>
    <t>Customer : CRE007 - CREATIVE LEATHER GOODS</t>
  </si>
  <si>
    <t>Customer : DAN004 - DANCEWELL SHOES</t>
  </si>
  <si>
    <t>Customer : DEA011 - DEAN UPHOLSTERS - CHATSWORTH</t>
  </si>
  <si>
    <t>Customer : DNA001 - DNA INTERIOR DESIGN</t>
  </si>
  <si>
    <t>Customer : EDD002 - EDDELS SHOES</t>
  </si>
  <si>
    <t>Customer : EGG001 - EGG DESIGNS CC</t>
  </si>
  <si>
    <t>Customer : ELE002 - TWINKEL SHOE INDUSTRIES CC T/A</t>
  </si>
  <si>
    <t>Customer : FAB011 - FABER COLLECTIVE PTY LTD</t>
  </si>
  <si>
    <t>Customer : FOA002 - FOAM FLEX</t>
  </si>
  <si>
    <t>Customer : HOF002 - HOFFMANN FURNITURE</t>
  </si>
  <si>
    <t>Customer : HOP001 - HOPEWELL FOOTWEAR</t>
  </si>
  <si>
    <t>Customer : ILOV00 - I LOVE UPHOLSTERY</t>
  </si>
  <si>
    <t>Customer : IMA005 - WORLD FOCUS 382 CC</t>
  </si>
  <si>
    <t>Customer : INT026 - INTERIOR HOME CONCEPTS - EMPANGENI</t>
  </si>
  <si>
    <t>Customer : JAY001 - JAYS UPHOLSTERS</t>
  </si>
  <si>
    <t>Customer : JOU001 - JOURNEY TRADERS (PTY) LTD</t>
  </si>
  <si>
    <t>Customer : KIT001 - KITH &amp; KIN DESIGN</t>
  </si>
  <si>
    <t>Customer : KZN001 - KZN FASTNERS (PTY) LTD</t>
  </si>
  <si>
    <t>Customer : LAMOO3 - LAMAS FURNITURE MANUFACTURING &amp; RECOVERI</t>
  </si>
  <si>
    <t>Customer : LAV003 - LAVISH LEATHER</t>
  </si>
  <si>
    <t>Customer : LED003 - BUMMEL SHOES</t>
  </si>
  <si>
    <t>Customer : LEE011 - LEE UHMLANGA</t>
  </si>
  <si>
    <t>Customer : LEG005 - LEGACI STUDIOS</t>
  </si>
  <si>
    <t>Customer : LEI001 - LEISURE LOUNGE</t>
  </si>
  <si>
    <t>Customer : LEI002 - LEIGHJER DESIGNS</t>
  </si>
  <si>
    <t>Customer : LIY001 - LIYAAN LEATHERS</t>
  </si>
  <si>
    <t>Customer : LLM001 - LL MANUFACTURING</t>
  </si>
  <si>
    <t>Customer : LUB001 - LUBAN FURNITURE CC</t>
  </si>
  <si>
    <t>Customer : MAN001 - MANOCK NATURALS</t>
  </si>
  <si>
    <t>Customer : MAN021 - MANUAL MOZAMBIQUE UPHOLSTER</t>
  </si>
  <si>
    <t>Customer : MAR037 - MARKS LEATHER</t>
  </si>
  <si>
    <t>Customer : MIC006 - MICHELLE FOOTWEAR (PTY) LTD</t>
  </si>
  <si>
    <t>Customer : MOH003 - MOH AUTOMATIVE INTERIOR SOLUTIONS</t>
  </si>
  <si>
    <t>Customer : NGA001 - NG AUTO TRIMMERS</t>
  </si>
  <si>
    <t>Customer : NKA001 - NKANYISO SHOES</t>
  </si>
  <si>
    <t>Customer : PAM003 - PAMA LEATHER</t>
  </si>
  <si>
    <t>Customer : PIT002 - PITSO UPHOLSTERY</t>
  </si>
  <si>
    <t>Customer : PRS001 - PR SHOES - PIETERMARITZBURG</t>
  </si>
  <si>
    <t>Customer : PSE001 - ILIFA DEVELOPMENTS (PTY) LTD</t>
  </si>
  <si>
    <t>Customer : RGM001 - RGM FURNITURE MANUFACTURES</t>
  </si>
  <si>
    <t>Customer : RHU003 - RHU AGENCY T/A RH UPHOLSTERY - ISIPINGO</t>
  </si>
  <si>
    <t>Customer : SA002 - SA LEATHER COMPANY</t>
  </si>
  <si>
    <t>Customer : SAL008 - SALSA FOOTWEAR</t>
  </si>
  <si>
    <t>Customer : SAL012 - SALT ROCK PLASTICS CC</t>
  </si>
  <si>
    <t>8% of sales</t>
  </si>
  <si>
    <t>Feb'26</t>
  </si>
  <si>
    <t>DATE: March 2026</t>
  </si>
  <si>
    <t>March'26</t>
  </si>
  <si>
    <t>INCOME STATEMENT MARCH 2026</t>
  </si>
  <si>
    <t>STOCK - March 2026</t>
  </si>
  <si>
    <t>Purchase Items per Supplier : 01/03/2026 to 31/03/2026</t>
  </si>
  <si>
    <t>Item : ANT002 - ANTIQUE BLACK</t>
  </si>
  <si>
    <t>Item : ANT003 - ANTIQUE CHOCOLATE</t>
  </si>
  <si>
    <t>Item : ANT004 - ANTIQUE TOBACCO</t>
  </si>
  <si>
    <t>Item : CAP001 - CAPRIVI SADDLE</t>
  </si>
  <si>
    <t>Item : CAP012 - CAPRIVI BRANDY</t>
  </si>
  <si>
    <t>Item : CAS003 - CASTROL BLACK</t>
  </si>
  <si>
    <t>Item : CAS005 - CASTROL DENIM</t>
  </si>
  <si>
    <t>Item : CAS006 - CASTROL TOBACCO</t>
  </si>
  <si>
    <t>Item : DIE002 - DIESEL ROSEWOOD</t>
  </si>
  <si>
    <t>Item : ETO007 - ETOSHA EMERALD</t>
  </si>
  <si>
    <t>Item : GAZ005 - GAZELLE NAVY</t>
  </si>
  <si>
    <t>Item : MOR003 - MOROCCO CHOCOLATE</t>
  </si>
  <si>
    <t>Item : MOR009 - MOROCCO ANTHRACITE</t>
  </si>
  <si>
    <t>Item : MOR010 - MOROCCO RUBY</t>
  </si>
  <si>
    <t>Item : NAP010 - BALLET NAPPA SIDES NUDE</t>
  </si>
  <si>
    <t>Item : OXF008 - OXFORD BLACK</t>
  </si>
  <si>
    <t>Item : SAN014 - SANTOS STEEL</t>
  </si>
  <si>
    <t>Item : SAN015 - SANTOS COFFEE</t>
  </si>
  <si>
    <t>Item : SOR001 - SORRENTO BLACK</t>
  </si>
  <si>
    <t>Item : SOR006 - SORRENTO COTTON WHITE</t>
  </si>
  <si>
    <t>Item : SOR011 - SORRENTO COFFEE</t>
  </si>
  <si>
    <t>Item : CHI001 - CHICAGO GREEN</t>
  </si>
  <si>
    <t>Item : CHI002 - CHICAGO TAN</t>
  </si>
  <si>
    <t>Item : COW001 - COW SUEDE SPLITS CHOC</t>
  </si>
  <si>
    <t>Item : COW002 - COW SUEDE SPLITS BLACK</t>
  </si>
  <si>
    <t>Item : ECO006 - ECO BOURBON</t>
  </si>
  <si>
    <t>Item : FLW001 - Fusion Stock Leather</t>
  </si>
  <si>
    <t>Item : SHE006 - SHERATON TOFFEE</t>
  </si>
  <si>
    <t>Item : TEX008 - TEXAS CHOC</t>
  </si>
  <si>
    <t>Item : TEX016 - TEXAS NAVY</t>
  </si>
  <si>
    <t>Item : TEX018 - TEXAS MOSS</t>
  </si>
  <si>
    <t>Item : TEX028 - TEXAS LIME</t>
  </si>
  <si>
    <t>Item : VEG006 - VEG NATURAL SIDES 2.0/2.2mm</t>
  </si>
  <si>
    <t>Sales by Inventory Category 01/03/2026 to 31/03/2026</t>
  </si>
  <si>
    <t>Category : 031 - Tuscan</t>
  </si>
  <si>
    <t>Category : 049 - Candor</t>
  </si>
  <si>
    <t>Category : 064 - Berlin</t>
  </si>
  <si>
    <t>Sales by Customer Code 01/03/2026 to 31/03/2026</t>
  </si>
  <si>
    <t>Customer : ALC001 - ALCHEMY DESIGN STUDIO</t>
  </si>
  <si>
    <t>Customer : BAR019 - BARLETT &amp; DUNSTER FABRIC</t>
  </si>
  <si>
    <t>Customer : DIAZ01 - DIAZ DESIGN</t>
  </si>
  <si>
    <t>Customer : JAC013 - KWA NATAL DRILLING</t>
  </si>
  <si>
    <t>Customer : RAM004 - RAM SHOPFITTING (PTY) LTD</t>
  </si>
  <si>
    <t>Customer : RAV001 - RAVI - SPRINGFIELD</t>
  </si>
  <si>
    <t>INCOME STATEMENT : 01/03/2026 to 31/03/2026</t>
  </si>
  <si>
    <t>Sales</t>
  </si>
  <si>
    <t>Sales - other</t>
  </si>
  <si>
    <t>Sales zero rated</t>
  </si>
  <si>
    <t>Cost of Sales / Purchases</t>
  </si>
  <si>
    <t>Clearing and forwarding</t>
  </si>
  <si>
    <t>Courier &amp; Postage</t>
  </si>
  <si>
    <t>GROSS PROFIT / (LOSS)</t>
  </si>
  <si>
    <t>Discount Received for Cash</t>
  </si>
  <si>
    <t>Interest Received</t>
  </si>
  <si>
    <t>Sundry Income</t>
  </si>
  <si>
    <t>Foreign exchange Gain / Loss</t>
  </si>
  <si>
    <t>Accounting Fees</t>
  </si>
  <si>
    <t>Advertising &amp; Promotions</t>
  </si>
  <si>
    <t>Bank Charges</t>
  </si>
  <si>
    <t>Cleaning</t>
  </si>
  <si>
    <t>Computer Expenses</t>
  </si>
  <si>
    <t>Consumables</t>
  </si>
  <si>
    <t>Consulting Fees</t>
  </si>
  <si>
    <t>Credit card commission</t>
  </si>
  <si>
    <t>Discount Allowed for Cash</t>
  </si>
  <si>
    <t>Electricity &amp; Water</t>
  </si>
  <si>
    <t>Insurance</t>
  </si>
  <si>
    <t>Interest Paid</t>
  </si>
  <si>
    <t>Motor Vehicle Expenses</t>
  </si>
  <si>
    <t>Printing &amp; Stationery</t>
  </si>
  <si>
    <t>Rent Paid</t>
  </si>
  <si>
    <t>Rental - copier</t>
  </si>
  <si>
    <t>Repairs &amp; Maintenance</t>
  </si>
  <si>
    <t>Salaries &amp; Wages</t>
  </si>
  <si>
    <t>Paye  Uif &amp; Sdl</t>
  </si>
  <si>
    <t>Security expenses</t>
  </si>
  <si>
    <t>Subscriptions</t>
  </si>
  <si>
    <t>Teas &amp; Refreshments</t>
  </si>
  <si>
    <t>Telephone &amp; Fax</t>
  </si>
  <si>
    <t>Travel &amp; Accommodation</t>
  </si>
  <si>
    <t>NET PROFIT / (LOSS) BEFORE TAX</t>
  </si>
  <si>
    <t>TAX</t>
  </si>
  <si>
    <t>DIVIDENDS</t>
  </si>
  <si>
    <t>NET PROFIT / (LOSS)</t>
  </si>
  <si>
    <t>BALANCE SHEET as at 31/03/2026</t>
  </si>
  <si>
    <t>EQUITY AND LIABILITIES</t>
  </si>
  <si>
    <t>Capital and Reserves</t>
  </si>
  <si>
    <t>Share Capital</t>
  </si>
  <si>
    <t>Members contribution</t>
  </si>
  <si>
    <t>Retained Income</t>
  </si>
  <si>
    <t>Retained Income / (Accumulated Loss)</t>
  </si>
  <si>
    <t>Net Profit/Loss this year</t>
  </si>
  <si>
    <t>Minority Interest</t>
  </si>
  <si>
    <t>Non-current Liabilities</t>
  </si>
  <si>
    <t>Current Liabilities</t>
  </si>
  <si>
    <t>Nedbank Credit Card</t>
  </si>
  <si>
    <t>Garage Card - Control Account</t>
  </si>
  <si>
    <t>Supplier Control Account</t>
  </si>
  <si>
    <t>Provision for Future Expenses</t>
  </si>
  <si>
    <t>Vat / Tax Control Account</t>
  </si>
  <si>
    <t>Total Equity and Liabilities</t>
  </si>
  <si>
    <t>ASSETS</t>
  </si>
  <si>
    <t>Non-current Assets</t>
  </si>
  <si>
    <t>Fixed Assets</t>
  </si>
  <si>
    <t>Motor Vehicles - Net Value</t>
  </si>
  <si>
    <t>Computer Equipment - Net Value</t>
  </si>
  <si>
    <t>Furniture &amp; Fittings - Net value</t>
  </si>
  <si>
    <t>Current Assets</t>
  </si>
  <si>
    <t>Inventory</t>
  </si>
  <si>
    <t>Staff Loan</t>
  </si>
  <si>
    <t>Hildene Investments (Pty) Ltd</t>
  </si>
  <si>
    <t>Customer Control Account</t>
  </si>
  <si>
    <t>Nedbank Cheque 1036 327663</t>
  </si>
  <si>
    <t>USD Account 7095014132</t>
  </si>
  <si>
    <t>Petty cash</t>
  </si>
  <si>
    <t>Petty Cash</t>
  </si>
  <si>
    <t>Sundry Customers</t>
  </si>
  <si>
    <t>Taxation</t>
  </si>
  <si>
    <t>Total Assets</t>
  </si>
  <si>
    <t>Sales Journal for period 01/03/2026 to 31/03/2026</t>
  </si>
  <si>
    <t>Customer</t>
  </si>
  <si>
    <t>Document</t>
  </si>
  <si>
    <t>Date</t>
  </si>
  <si>
    <t>Order</t>
  </si>
  <si>
    <t>Exclusive</t>
  </si>
  <si>
    <t>Tax</t>
  </si>
  <si>
    <t>Inclusive</t>
  </si>
  <si>
    <t>UPH012</t>
  </si>
  <si>
    <t>Credit Note : CR10355</t>
  </si>
  <si>
    <t>02/03/2026</t>
  </si>
  <si>
    <t>INW46796</t>
  </si>
  <si>
    <t>ASH004</t>
  </si>
  <si>
    <t>Credit Note : CR10359</t>
  </si>
  <si>
    <t>03/03/2026</t>
  </si>
  <si>
    <t>INW46969</t>
  </si>
  <si>
    <t>BIA004</t>
  </si>
  <si>
    <t>Credit Note : CR10360</t>
  </si>
  <si>
    <t>INW43783</t>
  </si>
  <si>
    <t>SAN006</t>
  </si>
  <si>
    <t>Credit Note : CR10361</t>
  </si>
  <si>
    <t>INW47028</t>
  </si>
  <si>
    <t>NIC005</t>
  </si>
  <si>
    <t>Credit Note : CR10362</t>
  </si>
  <si>
    <t>INW46775</t>
  </si>
  <si>
    <t>TOP009</t>
  </si>
  <si>
    <t>Credit Note : CR10363</t>
  </si>
  <si>
    <t>INW46954</t>
  </si>
  <si>
    <t>VER005</t>
  </si>
  <si>
    <t>Credit Note : CR10364</t>
  </si>
  <si>
    <t>INW46551</t>
  </si>
  <si>
    <t>UMH001</t>
  </si>
  <si>
    <t>Credit Note : CR10365</t>
  </si>
  <si>
    <t>INW46762</t>
  </si>
  <si>
    <t>ATA001</t>
  </si>
  <si>
    <t>Credit Note : CR10366</t>
  </si>
  <si>
    <t>INW46924</t>
  </si>
  <si>
    <t>GEN001</t>
  </si>
  <si>
    <t>Credit Note : CR10367</t>
  </si>
  <si>
    <t>INW46546</t>
  </si>
  <si>
    <t>FAT004</t>
  </si>
  <si>
    <t>Credit Note : CR10368</t>
  </si>
  <si>
    <t>INW46739</t>
  </si>
  <si>
    <t>LEG005</t>
  </si>
  <si>
    <t>Credit Note : CR10369</t>
  </si>
  <si>
    <t>INW46987</t>
  </si>
  <si>
    <t>TOM003</t>
  </si>
  <si>
    <t>Credit Note : CR10370</t>
  </si>
  <si>
    <t>04/03/2026</t>
  </si>
  <si>
    <t>INW47056</t>
  </si>
  <si>
    <t>FIO001</t>
  </si>
  <si>
    <t>Credit Note : CR10371</t>
  </si>
  <si>
    <t>INW46766</t>
  </si>
  <si>
    <t>LEE011</t>
  </si>
  <si>
    <t>Credit Note : CR10372</t>
  </si>
  <si>
    <t>VARIOUS</t>
  </si>
  <si>
    <t>HIG001</t>
  </si>
  <si>
    <t>Credit Note : CR10373</t>
  </si>
  <si>
    <t>INW46139</t>
  </si>
  <si>
    <t>VAN020</t>
  </si>
  <si>
    <t>Credit Note : CR10374</t>
  </si>
  <si>
    <t>INW46836</t>
  </si>
  <si>
    <t>ALE003</t>
  </si>
  <si>
    <t>Credit Note : CR10375</t>
  </si>
  <si>
    <t>INW46712</t>
  </si>
  <si>
    <t>JUL003</t>
  </si>
  <si>
    <t>Credit Note : CR10377</t>
  </si>
  <si>
    <t>MAZ002</t>
  </si>
  <si>
    <t>Credit Note : CR10378</t>
  </si>
  <si>
    <t>INW47119</t>
  </si>
  <si>
    <t>LED003</t>
  </si>
  <si>
    <t>Credit Note : CR10379</t>
  </si>
  <si>
    <t>05/03/2026</t>
  </si>
  <si>
    <t>CAL004</t>
  </si>
  <si>
    <t>Credit Note : CR10380</t>
  </si>
  <si>
    <t>INW</t>
  </si>
  <si>
    <t>WIL020</t>
  </si>
  <si>
    <t>Credit Note : CR10381</t>
  </si>
  <si>
    <t>Credit Note : CR10382</t>
  </si>
  <si>
    <t>06/03/2026</t>
  </si>
  <si>
    <t>INW47212</t>
  </si>
  <si>
    <t>CA001</t>
  </si>
  <si>
    <t>Credit Note : CR10383</t>
  </si>
  <si>
    <t>INW45395</t>
  </si>
  <si>
    <t>ROC003</t>
  </si>
  <si>
    <t>Credit Note : CR10384</t>
  </si>
  <si>
    <t>INW47237</t>
  </si>
  <si>
    <t>GRO021</t>
  </si>
  <si>
    <t>Credit Note : CR10385</t>
  </si>
  <si>
    <t>INW47014</t>
  </si>
  <si>
    <t>COV005</t>
  </si>
  <si>
    <t>Credit Note : CR10386</t>
  </si>
  <si>
    <t>INW47156</t>
  </si>
  <si>
    <t>JOI001</t>
  </si>
  <si>
    <t>Credit Note : CR10387</t>
  </si>
  <si>
    <t>INW46966</t>
  </si>
  <si>
    <t>PAR004</t>
  </si>
  <si>
    <t>Credit Note : CR10388</t>
  </si>
  <si>
    <t>INW47039</t>
  </si>
  <si>
    <t>LEA036</t>
  </si>
  <si>
    <t>Credit Note : CR10389</t>
  </si>
  <si>
    <t>INW45558</t>
  </si>
  <si>
    <t>MSJ001</t>
  </si>
  <si>
    <t>Credit Note : CR10390</t>
  </si>
  <si>
    <t>INW47072</t>
  </si>
  <si>
    <t>Credit Note : CR10391</t>
  </si>
  <si>
    <t>INW47037</t>
  </si>
  <si>
    <t>CUR009</t>
  </si>
  <si>
    <t>Credit Note : CR10392</t>
  </si>
  <si>
    <t>09/03/2026</t>
  </si>
  <si>
    <t>Credit Note : CR10393</t>
  </si>
  <si>
    <t>INW47253</t>
  </si>
  <si>
    <t>KIT002</t>
  </si>
  <si>
    <t>Credit Note : CR10394</t>
  </si>
  <si>
    <t>INW46301</t>
  </si>
  <si>
    <t>INT026</t>
  </si>
  <si>
    <t>Credit Note : CR10395</t>
  </si>
  <si>
    <t>INW46392</t>
  </si>
  <si>
    <t>LUB001</t>
  </si>
  <si>
    <t>Credit Note : CR10396</t>
  </si>
  <si>
    <t>INW47221</t>
  </si>
  <si>
    <t>Credit Note : CR10397</t>
  </si>
  <si>
    <t>10/03/2026</t>
  </si>
  <si>
    <t>INW47355</t>
  </si>
  <si>
    <t>LIT002</t>
  </si>
  <si>
    <t>Credit Note : CR10398</t>
  </si>
  <si>
    <t>11/03/2026</t>
  </si>
  <si>
    <t>SKY002</t>
  </si>
  <si>
    <t>Credit Note : CR10399</t>
  </si>
  <si>
    <t>INW47365</t>
  </si>
  <si>
    <t>Credit Note : CR10400</t>
  </si>
  <si>
    <t>INW47376</t>
  </si>
  <si>
    <t>Credit Note : CR10401</t>
  </si>
  <si>
    <t>12/03/2026</t>
  </si>
  <si>
    <t>INW47405</t>
  </si>
  <si>
    <t>ATP001</t>
  </si>
  <si>
    <t>Credit Note : CR10402</t>
  </si>
  <si>
    <t>INW47374</t>
  </si>
  <si>
    <t>Credit Note : CR10403</t>
  </si>
  <si>
    <t>INW47007</t>
  </si>
  <si>
    <t>ZAP001</t>
  </si>
  <si>
    <t>Credit Note : CR10404</t>
  </si>
  <si>
    <t>13/03/2026</t>
  </si>
  <si>
    <t>INW47468</t>
  </si>
  <si>
    <t>INS011</t>
  </si>
  <si>
    <t>Credit Note : CR10405</t>
  </si>
  <si>
    <t>INW47528</t>
  </si>
  <si>
    <t>CASH</t>
  </si>
  <si>
    <t>Credit Note : CR10406</t>
  </si>
  <si>
    <t>INW47502</t>
  </si>
  <si>
    <t>Credit Note : CR10407</t>
  </si>
  <si>
    <t>16/03/2026</t>
  </si>
  <si>
    <t>INW47447</t>
  </si>
  <si>
    <t>Credit Note : CR10408</t>
  </si>
  <si>
    <t>UNMATCH</t>
  </si>
  <si>
    <t>Credit Note : CR10409</t>
  </si>
  <si>
    <t>INW46781</t>
  </si>
  <si>
    <t>STE018</t>
  </si>
  <si>
    <t>Credit Note : CR10410</t>
  </si>
  <si>
    <t>INW47294</t>
  </si>
  <si>
    <t>Credit Note : CR10411</t>
  </si>
  <si>
    <t>INW47161</t>
  </si>
  <si>
    <t>Credit Note : CR10412</t>
  </si>
  <si>
    <t>INW47314</t>
  </si>
  <si>
    <t>LOU016</t>
  </si>
  <si>
    <t>Credit Note : CR10413</t>
  </si>
  <si>
    <t>INW47351</t>
  </si>
  <si>
    <t>Credit Note : CR10414</t>
  </si>
  <si>
    <t>17/03/2026</t>
  </si>
  <si>
    <t>INW47618</t>
  </si>
  <si>
    <t>Credit Note : CR10415</t>
  </si>
  <si>
    <t>CAP003</t>
  </si>
  <si>
    <t>Credit Note : CR10416</t>
  </si>
  <si>
    <t>INW47049</t>
  </si>
  <si>
    <t>Credit Note : CR10417</t>
  </si>
  <si>
    <t>18/03/2026</t>
  </si>
  <si>
    <t>INW47692</t>
  </si>
  <si>
    <t>BRA013</t>
  </si>
  <si>
    <t>Credit Note : CR10418</t>
  </si>
  <si>
    <t>INW47252</t>
  </si>
  <si>
    <t>FOA002</t>
  </si>
  <si>
    <t>Credit Note : CR10419</t>
  </si>
  <si>
    <t>INW46434</t>
  </si>
  <si>
    <t>THE031</t>
  </si>
  <si>
    <t>Credit Note : CR10420</t>
  </si>
  <si>
    <t>INW47743</t>
  </si>
  <si>
    <t>GRE009</t>
  </si>
  <si>
    <t>Credit Note : CR10421</t>
  </si>
  <si>
    <t>INW47645</t>
  </si>
  <si>
    <t>NAT004</t>
  </si>
  <si>
    <t>Credit Note : CR10422</t>
  </si>
  <si>
    <t>INW47246</t>
  </si>
  <si>
    <t>KUR001</t>
  </si>
  <si>
    <t>Credit Note : CR10423</t>
  </si>
  <si>
    <t>19/03/2026</t>
  </si>
  <si>
    <t>INW46367</t>
  </si>
  <si>
    <t>VER001</t>
  </si>
  <si>
    <t>Credit Note : CR10424</t>
  </si>
  <si>
    <t>INW47754</t>
  </si>
  <si>
    <t>Credit Note : CR10425</t>
  </si>
  <si>
    <t>INW47691</t>
  </si>
  <si>
    <t>Credit Note : CR10426</t>
  </si>
  <si>
    <t>INW47096</t>
  </si>
  <si>
    <t>MOD002</t>
  </si>
  <si>
    <t>Credit Note : CR10427</t>
  </si>
  <si>
    <t>INW47790</t>
  </si>
  <si>
    <t>ADE002</t>
  </si>
  <si>
    <t>Credit Note : CR10428</t>
  </si>
  <si>
    <t>INW47266</t>
  </si>
  <si>
    <t>Credit Note : CR10429</t>
  </si>
  <si>
    <t>20/03/2026</t>
  </si>
  <si>
    <t>STRA01</t>
  </si>
  <si>
    <t>Credit Note : CR10430</t>
  </si>
  <si>
    <t>INW47503</t>
  </si>
  <si>
    <t>HEL002</t>
  </si>
  <si>
    <t>Credit Note : CR10431</t>
  </si>
  <si>
    <t>SAG002</t>
  </si>
  <si>
    <t>Credit Note : CR10432</t>
  </si>
  <si>
    <t>INW47286</t>
  </si>
  <si>
    <t>BAR004</t>
  </si>
  <si>
    <t>Credit Note : CR10433</t>
  </si>
  <si>
    <t>INW47677</t>
  </si>
  <si>
    <t>STE016</t>
  </si>
  <si>
    <t>Credit Note : CR10434</t>
  </si>
  <si>
    <t>INW47566</t>
  </si>
  <si>
    <t>KNA002</t>
  </si>
  <si>
    <t>Credit Note : CR10435</t>
  </si>
  <si>
    <t>INW44727</t>
  </si>
  <si>
    <t>LEE001</t>
  </si>
  <si>
    <t>Credit Note : CR10436</t>
  </si>
  <si>
    <t>INW47610</t>
  </si>
  <si>
    <t>Credit Note : CR10437</t>
  </si>
  <si>
    <t>23/03/2026</t>
  </si>
  <si>
    <t>FFUN01</t>
  </si>
  <si>
    <t>Credit Note : CR10438</t>
  </si>
  <si>
    <t>INW46921</t>
  </si>
  <si>
    <t>Credit Note : CR10439</t>
  </si>
  <si>
    <t>INW47536</t>
  </si>
  <si>
    <t>HAW001</t>
  </si>
  <si>
    <t>Credit Note : CR10440</t>
  </si>
  <si>
    <t>INW45132</t>
  </si>
  <si>
    <t>Credit Note : CR10441</t>
  </si>
  <si>
    <t>BRE003</t>
  </si>
  <si>
    <t>Credit Note : CR10442</t>
  </si>
  <si>
    <t>INW47850</t>
  </si>
  <si>
    <t>Credit Note : CR10443</t>
  </si>
  <si>
    <t>INW47876</t>
  </si>
  <si>
    <t>LEA03</t>
  </si>
  <si>
    <t>Credit Note : CR10444</t>
  </si>
  <si>
    <t>INW47835</t>
  </si>
  <si>
    <t>Credit Note : CR10445</t>
  </si>
  <si>
    <t>Credit Note : CR10446</t>
  </si>
  <si>
    <t>24/03/2026</t>
  </si>
  <si>
    <t>Credit Note : CR10447</t>
  </si>
  <si>
    <t>Credit Note : CR10448</t>
  </si>
  <si>
    <t>INW44756</t>
  </si>
  <si>
    <t>JOU004</t>
  </si>
  <si>
    <t>Credit Note : CR10449</t>
  </si>
  <si>
    <t>INW47966</t>
  </si>
  <si>
    <t>PRO015</t>
  </si>
  <si>
    <t>Credit Note : CR10450</t>
  </si>
  <si>
    <t>PSE001</t>
  </si>
  <si>
    <t>Credit Note : CR10451</t>
  </si>
  <si>
    <t>INW47776</t>
  </si>
  <si>
    <t>Credit Note : CR10452</t>
  </si>
  <si>
    <t>INW48083</t>
  </si>
  <si>
    <t>OAK002</t>
  </si>
  <si>
    <t>Credit Note : CR10453</t>
  </si>
  <si>
    <t>INW47979</t>
  </si>
  <si>
    <t>Credit Note : CR10454</t>
  </si>
  <si>
    <t>INW46949</t>
  </si>
  <si>
    <t>WUN001</t>
  </si>
  <si>
    <t>Credit Note : CR10455</t>
  </si>
  <si>
    <t>25/03/2026</t>
  </si>
  <si>
    <t>INW47603</t>
  </si>
  <si>
    <t>PHE001</t>
  </si>
  <si>
    <t>Credit Note : CR10456</t>
  </si>
  <si>
    <t>INW47952</t>
  </si>
  <si>
    <t>Credit Note : CR10457</t>
  </si>
  <si>
    <t>Credit Note : CR10458</t>
  </si>
  <si>
    <t>INW47592</t>
  </si>
  <si>
    <t>HOU016</t>
  </si>
  <si>
    <t>Credit Note : CR10459</t>
  </si>
  <si>
    <t>INW47598</t>
  </si>
  <si>
    <t>RUS001</t>
  </si>
  <si>
    <t>Credit Note : CR10460</t>
  </si>
  <si>
    <t>26/03/2026</t>
  </si>
  <si>
    <t>INW48111</t>
  </si>
  <si>
    <t>Credit Note : CR10461</t>
  </si>
  <si>
    <t>INW48193</t>
  </si>
  <si>
    <t>DAV006</t>
  </si>
  <si>
    <t>Credit Note : CR10462</t>
  </si>
  <si>
    <t>INW47897</t>
  </si>
  <si>
    <t>Credit Note : CR10463</t>
  </si>
  <si>
    <t>INW48034</t>
  </si>
  <si>
    <t>Credit Note : CR10464</t>
  </si>
  <si>
    <t>27/03/2026</t>
  </si>
  <si>
    <t>INW48175</t>
  </si>
  <si>
    <t>ARN001</t>
  </si>
  <si>
    <t>Credit Note : CR10465</t>
  </si>
  <si>
    <t>INW47942</t>
  </si>
  <si>
    <t>UKU021</t>
  </si>
  <si>
    <t>Credit Note : CR10466</t>
  </si>
  <si>
    <t>INW46878</t>
  </si>
  <si>
    <t>Credit Note : CR10467</t>
  </si>
  <si>
    <t>INW48101</t>
  </si>
  <si>
    <t>Credit Note : CR10468</t>
  </si>
  <si>
    <t>Credit Note : CR10469</t>
  </si>
  <si>
    <t>30/03/2026</t>
  </si>
  <si>
    <t>INY011</t>
  </si>
  <si>
    <t>Credit Note : CR10470</t>
  </si>
  <si>
    <t>INW47998</t>
  </si>
  <si>
    <t>Credit Note : CR10471</t>
  </si>
  <si>
    <t>CEN015</t>
  </si>
  <si>
    <t>Credit Note : CR10472</t>
  </si>
  <si>
    <t>31/03/2026</t>
  </si>
  <si>
    <t>INW48346</t>
  </si>
  <si>
    <t>GWO001</t>
  </si>
  <si>
    <t>Credit Note : CR10473</t>
  </si>
  <si>
    <t>INW48069</t>
  </si>
  <si>
    <t>RET002</t>
  </si>
  <si>
    <t>Credit Note : CR10474</t>
  </si>
  <si>
    <t>INW42868</t>
  </si>
  <si>
    <t>SNY001</t>
  </si>
  <si>
    <t>Credit Note : CR10475</t>
  </si>
  <si>
    <t>INW48210</t>
  </si>
  <si>
    <t>Credit Note : CR10476</t>
  </si>
  <si>
    <t>Credit Note : CR10477</t>
  </si>
  <si>
    <t>Credit Note : CR10478</t>
  </si>
  <si>
    <t>INW4751</t>
  </si>
  <si>
    <t>LEA030</t>
  </si>
  <si>
    <t>Tax Invoice : INW46659</t>
  </si>
  <si>
    <t>AFI001</t>
  </si>
  <si>
    <t>Tax Invoice : INW46683</t>
  </si>
  <si>
    <t>01/03/2026</t>
  </si>
  <si>
    <t>PO# 1640</t>
  </si>
  <si>
    <t>Tax Invoice : INW46685</t>
  </si>
  <si>
    <t>Tax Invoice : INW46699</t>
  </si>
  <si>
    <t>PO# SAMPLES</t>
  </si>
  <si>
    <t>COR004</t>
  </si>
  <si>
    <t>Tax Invoice : INW46858</t>
  </si>
  <si>
    <t>ATT: GLENDYR</t>
  </si>
  <si>
    <t>Tax Invoice : INW46863</t>
  </si>
  <si>
    <t>Tax Invoice : INW46897</t>
  </si>
  <si>
    <t>Tax Invoice : INW46900</t>
  </si>
  <si>
    <t>GRA002</t>
  </si>
  <si>
    <t>Tax Invoice : INW46947</t>
  </si>
  <si>
    <t>FIL015</t>
  </si>
  <si>
    <t>Tax Invoice : INW46968</t>
  </si>
  <si>
    <t>Tax Invoice : INW46969</t>
  </si>
  <si>
    <t>BAR019</t>
  </si>
  <si>
    <t>Tax Invoice : INW46970</t>
  </si>
  <si>
    <t>ATT: BARTLETT AND DUNSTER</t>
  </si>
  <si>
    <t>Tax Invoice : INW46971</t>
  </si>
  <si>
    <t>JUS001</t>
  </si>
  <si>
    <t>Tax Invoice : INW46973</t>
  </si>
  <si>
    <t>PO#106512</t>
  </si>
  <si>
    <t>EBO001</t>
  </si>
  <si>
    <t>Tax Invoice : INW46975</t>
  </si>
  <si>
    <t>PO#KORNELIA OSWALD</t>
  </si>
  <si>
    <t>HID006</t>
  </si>
  <si>
    <t>Tax Invoice : INW46976</t>
  </si>
  <si>
    <t>Tax Invoice : INW46977</t>
  </si>
  <si>
    <t>STR006</t>
  </si>
  <si>
    <t>Tax Invoice : INW46978</t>
  </si>
  <si>
    <t>ATT: KEITH</t>
  </si>
  <si>
    <t>BAR003</t>
  </si>
  <si>
    <t>Tax Invoice : INW46979</t>
  </si>
  <si>
    <t>SOF010</t>
  </si>
  <si>
    <t>Tax Invoice : INW46980</t>
  </si>
  <si>
    <t>BSE001</t>
  </si>
  <si>
    <t>Tax Invoice : INW46981</t>
  </si>
  <si>
    <t>PDJ001</t>
  </si>
  <si>
    <t>Tax Invoice : INW46982</t>
  </si>
  <si>
    <t>BOO002</t>
  </si>
  <si>
    <t>Tax Invoice : INW46983</t>
  </si>
  <si>
    <t>MOO008</t>
  </si>
  <si>
    <t>Tax Invoice : INW46984</t>
  </si>
  <si>
    <t>OKA001</t>
  </si>
  <si>
    <t>Tax Invoice : INW46985</t>
  </si>
  <si>
    <t>PO#PO0000416</t>
  </si>
  <si>
    <t>Tax Invoice : INW46986</t>
  </si>
  <si>
    <t>ATT: DEVINE DESIGN</t>
  </si>
  <si>
    <t>Tax Invoice : INW46987</t>
  </si>
  <si>
    <t>ATT: JUDY/KRIESEN</t>
  </si>
  <si>
    <t>Tax Invoice : INW46988</t>
  </si>
  <si>
    <t>Tax Invoice : INW46989</t>
  </si>
  <si>
    <t>ATTP: SEELAN</t>
  </si>
  <si>
    <t>CON001</t>
  </si>
  <si>
    <t>Tax Invoice : INW46990</t>
  </si>
  <si>
    <t>POD08547</t>
  </si>
  <si>
    <t>Tax Invoice : INW46991</t>
  </si>
  <si>
    <t>HAN009</t>
  </si>
  <si>
    <t>Tax Invoice : INW46992</t>
  </si>
  <si>
    <t>ELL001</t>
  </si>
  <si>
    <t>Tax Invoice : INW46993</t>
  </si>
  <si>
    <t>PAM003</t>
  </si>
  <si>
    <t>Tax Invoice : INW46994</t>
  </si>
  <si>
    <t>ATT: PATRICK</t>
  </si>
  <si>
    <t>BEL020</t>
  </si>
  <si>
    <t>Tax Invoice : INW46995</t>
  </si>
  <si>
    <t>Tax Invoice : INW46996</t>
  </si>
  <si>
    <t>GYP001</t>
  </si>
  <si>
    <t>Tax Invoice : INW46998</t>
  </si>
  <si>
    <t>TEF001</t>
  </si>
  <si>
    <t>Tax Invoice : INW46999</t>
  </si>
  <si>
    <t>WOR007</t>
  </si>
  <si>
    <t>Tax Invoice : INW47000</t>
  </si>
  <si>
    <t>ARC013</t>
  </si>
  <si>
    <t>Tax Invoice : INW47001</t>
  </si>
  <si>
    <t>ANJ001</t>
  </si>
  <si>
    <t>Tax Invoice : INW47002</t>
  </si>
  <si>
    <t>JAC013</t>
  </si>
  <si>
    <t>Tax Invoice : INW47003</t>
  </si>
  <si>
    <t>ATT: JACKIE</t>
  </si>
  <si>
    <t>VIN006</t>
  </si>
  <si>
    <t>Tax Invoice : INW47004</t>
  </si>
  <si>
    <t>TRE014</t>
  </si>
  <si>
    <t>Tax Invoice : INW47005</t>
  </si>
  <si>
    <t>LIL005</t>
  </si>
  <si>
    <t>Tax Invoice : INW47006</t>
  </si>
  <si>
    <t>Tax Invoice : INW47007</t>
  </si>
  <si>
    <t>UVA011</t>
  </si>
  <si>
    <t>Tax Invoice : INW47008</t>
  </si>
  <si>
    <t>DES008</t>
  </si>
  <si>
    <t>Tax Invoice : INW47009</t>
  </si>
  <si>
    <t>BAL002</t>
  </si>
  <si>
    <t>Tax Invoice : INW47010</t>
  </si>
  <si>
    <t>ATT: DESHAN</t>
  </si>
  <si>
    <t>LEW001</t>
  </si>
  <si>
    <t>Tax Invoice : INW47011</t>
  </si>
  <si>
    <t>THE051</t>
  </si>
  <si>
    <t>Tax Invoice : INW47012</t>
  </si>
  <si>
    <t>BEG001</t>
  </si>
  <si>
    <t>Tax Invoice : INW47013</t>
  </si>
  <si>
    <t>Tax Invoice : INW47014</t>
  </si>
  <si>
    <t>THEM01</t>
  </si>
  <si>
    <t>Tax Invoice : INW47015</t>
  </si>
  <si>
    <t>Tax Invoice : INW47016</t>
  </si>
  <si>
    <t>FEC001</t>
  </si>
  <si>
    <t>Tax Invoice : INW47017</t>
  </si>
  <si>
    <t>LEA028</t>
  </si>
  <si>
    <t>Tax Invoice : INW47018</t>
  </si>
  <si>
    <t>EVO001</t>
  </si>
  <si>
    <t>Tax Invoice : INW47019</t>
  </si>
  <si>
    <t>Tax Invoice : INW47020</t>
  </si>
  <si>
    <t>INTE02</t>
  </si>
  <si>
    <t>Tax Invoice : INW47021</t>
  </si>
  <si>
    <t>MEZ001</t>
  </si>
  <si>
    <t>Tax Invoice : INW47022</t>
  </si>
  <si>
    <t>SOT001</t>
  </si>
  <si>
    <t>Tax Invoice : INW47023</t>
  </si>
  <si>
    <t>Tax Invoice : INW47024</t>
  </si>
  <si>
    <t>ZAL001</t>
  </si>
  <si>
    <t>Tax Invoice : INW47025</t>
  </si>
  <si>
    <t>ATT: SUE</t>
  </si>
  <si>
    <t>Tax Invoice : INW47026</t>
  </si>
  <si>
    <t>ATT: ATHENE</t>
  </si>
  <si>
    <t>Tax Invoice : INW47027</t>
  </si>
  <si>
    <t>Tax Invoice : INW47028</t>
  </si>
  <si>
    <t>Tax Invoice : INW47029</t>
  </si>
  <si>
    <t>Tax Invoice : INW47030</t>
  </si>
  <si>
    <t>ATT: LEE</t>
  </si>
  <si>
    <t>LIM001</t>
  </si>
  <si>
    <t>Tax Invoice : INW47031</t>
  </si>
  <si>
    <t>PO#4/52-LIM CLAREMONT</t>
  </si>
  <si>
    <t>Tax Invoice : INW47032</t>
  </si>
  <si>
    <t>Tax Invoice : INW47033</t>
  </si>
  <si>
    <t>BES007</t>
  </si>
  <si>
    <t>Tax Invoice : INW47034</t>
  </si>
  <si>
    <t>Tax Invoice : INW47035</t>
  </si>
  <si>
    <t>Tax Invoice : INW47036</t>
  </si>
  <si>
    <t>Tax Invoice : INW47037</t>
  </si>
  <si>
    <t>HAW002</t>
  </si>
  <si>
    <t>Tax Invoice : INW47038</t>
  </si>
  <si>
    <t>Tax Invoice : INW47039</t>
  </si>
  <si>
    <t>Tax Invoice : INW47040</t>
  </si>
  <si>
    <t>Tax Invoice : INW47041</t>
  </si>
  <si>
    <t>OUT010</t>
  </si>
  <si>
    <t>Tax Invoice : INW47042</t>
  </si>
  <si>
    <t>Tax Invoice : INW47043</t>
  </si>
  <si>
    <t>TAN008</t>
  </si>
  <si>
    <t>Tax Invoice : INW47044</t>
  </si>
  <si>
    <t>NAA001</t>
  </si>
  <si>
    <t>Tax Invoice : INW47045</t>
  </si>
  <si>
    <t>Tax Invoice : INW47046</t>
  </si>
  <si>
    <t>S2Z001</t>
  </si>
  <si>
    <t>Tax Invoice : INW47047</t>
  </si>
  <si>
    <t>CKK001</t>
  </si>
  <si>
    <t>Tax Invoice : INW47048</t>
  </si>
  <si>
    <t>Tax Invoice : INW47049</t>
  </si>
  <si>
    <t>EQU003</t>
  </si>
  <si>
    <t>Tax Invoice : INW47050</t>
  </si>
  <si>
    <t>SAS018</t>
  </si>
  <si>
    <t>Tax Invoice : INW47051</t>
  </si>
  <si>
    <t>SGB001</t>
  </si>
  <si>
    <t>Tax Invoice : INW47052</t>
  </si>
  <si>
    <t>ISL002</t>
  </si>
  <si>
    <t>Tax Invoice : INW47053</t>
  </si>
  <si>
    <t>Tax Invoice : INW47054</t>
  </si>
  <si>
    <t>JOR003</t>
  </si>
  <si>
    <t>Tax Invoice : INW47055</t>
  </si>
  <si>
    <t>Tax Invoice : INW47056</t>
  </si>
  <si>
    <t>Tax Invoice : INW47057</t>
  </si>
  <si>
    <t>Tax Invoice : INW47058</t>
  </si>
  <si>
    <t>KOO001</t>
  </si>
  <si>
    <t>Tax Invoice : INW47059</t>
  </si>
  <si>
    <t>SEI001</t>
  </si>
  <si>
    <t>Tax Invoice : INW47060</t>
  </si>
  <si>
    <t>THE050</t>
  </si>
  <si>
    <t>Tax Invoice : INW47061</t>
  </si>
  <si>
    <t>COMM INV: 880/2026</t>
  </si>
  <si>
    <t>INV002</t>
  </si>
  <si>
    <t>Tax Invoice : INW47062</t>
  </si>
  <si>
    <t>ABR005</t>
  </si>
  <si>
    <t>Tax Invoice : INW47063</t>
  </si>
  <si>
    <t>DER003</t>
  </si>
  <si>
    <t>Tax Invoice : INW47064</t>
  </si>
  <si>
    <t>COT002</t>
  </si>
  <si>
    <t>Tax Invoice : INW47065</t>
  </si>
  <si>
    <t>CUR005</t>
  </si>
  <si>
    <t>Tax Invoice : INW47066</t>
  </si>
  <si>
    <t>Tax Invoice : INW47067</t>
  </si>
  <si>
    <t>Tax Invoice : INW47068</t>
  </si>
  <si>
    <t>RON005</t>
  </si>
  <si>
    <t>Tax Invoice : INW47069</t>
  </si>
  <si>
    <t>SKI003</t>
  </si>
  <si>
    <t>Tax Invoice : INW47070</t>
  </si>
  <si>
    <t>Tax Invoice : INW47071</t>
  </si>
  <si>
    <t>Tax Invoice : INW47072</t>
  </si>
  <si>
    <t>Tax Invoice : INW47073</t>
  </si>
  <si>
    <t>JOUBERT</t>
  </si>
  <si>
    <t>BOS010</t>
  </si>
  <si>
    <t>Tax Invoice : INW47074</t>
  </si>
  <si>
    <t>FOU004</t>
  </si>
  <si>
    <t>Tax Invoice : INW47075</t>
  </si>
  <si>
    <t>Tax Invoice : INW47076</t>
  </si>
  <si>
    <t>ATT: KRIESEN/JUDY</t>
  </si>
  <si>
    <t>Tax Invoice : INW47077</t>
  </si>
  <si>
    <t>POD08554</t>
  </si>
  <si>
    <t>LOFT00</t>
  </si>
  <si>
    <t>Tax Invoice : INW47078</t>
  </si>
  <si>
    <t>KAR012</t>
  </si>
  <si>
    <t>Tax Invoice : INW47079</t>
  </si>
  <si>
    <t>THE053</t>
  </si>
  <si>
    <t>Tax Invoice : INW47080</t>
  </si>
  <si>
    <t>LOU014</t>
  </si>
  <si>
    <t>Tax Invoice : INW47081</t>
  </si>
  <si>
    <t>Tax Invoice : INW47082</t>
  </si>
  <si>
    <t>LHS001</t>
  </si>
  <si>
    <t>Tax Invoice : INW47083</t>
  </si>
  <si>
    <t>ZER002</t>
  </si>
  <si>
    <t>Tax Invoice : INW47084</t>
  </si>
  <si>
    <t>COMM INV: 881/2026</t>
  </si>
  <si>
    <t>Tax Invoice : INW47085</t>
  </si>
  <si>
    <t>FAN002</t>
  </si>
  <si>
    <t>Tax Invoice : INW47086</t>
  </si>
  <si>
    <t>Tax Invoice : INW47087</t>
  </si>
  <si>
    <t>PO#101515</t>
  </si>
  <si>
    <t>ELS001</t>
  </si>
  <si>
    <t>Tax Invoice : INW47088</t>
  </si>
  <si>
    <t>EST001</t>
  </si>
  <si>
    <t>Tax Invoice : INW47089</t>
  </si>
  <si>
    <t>GOD001</t>
  </si>
  <si>
    <t>Tax Invoice : INW47090</t>
  </si>
  <si>
    <t>DAN008</t>
  </si>
  <si>
    <t>Tax Invoice : INW47091</t>
  </si>
  <si>
    <t>Tax Invoice : INW47092</t>
  </si>
  <si>
    <t>Tax Invoice : INW47093</t>
  </si>
  <si>
    <t>POD08567</t>
  </si>
  <si>
    <t>Tax Invoice : INW47094</t>
  </si>
  <si>
    <t>TUL002</t>
  </si>
  <si>
    <t>Tax Invoice : INW47095</t>
  </si>
  <si>
    <t>Tax Invoice : INW47096</t>
  </si>
  <si>
    <t>Tax Invoice : INW47097</t>
  </si>
  <si>
    <t>Tax Invoice : INW47098</t>
  </si>
  <si>
    <t>Tax Invoice : INW47099</t>
  </si>
  <si>
    <t>Tax Invoice : INW47100</t>
  </si>
  <si>
    <t>SAL008</t>
  </si>
  <si>
    <t>Tax Invoice : INW47101</t>
  </si>
  <si>
    <t>ATT: KOSHEEK</t>
  </si>
  <si>
    <t>Tax Invoice : INW47102</t>
  </si>
  <si>
    <t>ATT: KEVIN</t>
  </si>
  <si>
    <t>KEN003</t>
  </si>
  <si>
    <t>Tax Invoice : INW47103</t>
  </si>
  <si>
    <t>Tax Invoice : INW47104</t>
  </si>
  <si>
    <t>NGU002</t>
  </si>
  <si>
    <t>Tax Invoice : INW47105</t>
  </si>
  <si>
    <t>ATT: CRAIG</t>
  </si>
  <si>
    <t>TON001</t>
  </si>
  <si>
    <t>Tax Invoice : INW47106</t>
  </si>
  <si>
    <t>JOZ001</t>
  </si>
  <si>
    <t>Tax Invoice : INW47107</t>
  </si>
  <si>
    <t>OST001</t>
  </si>
  <si>
    <t>Tax Invoice : INW47108</t>
  </si>
  <si>
    <t>CAP025</t>
  </si>
  <si>
    <t>Tax Invoice : INW47109</t>
  </si>
  <si>
    <t>BLU011</t>
  </si>
  <si>
    <t>Tax Invoice : INW47110</t>
  </si>
  <si>
    <t>SUP001</t>
  </si>
  <si>
    <t>Tax Invoice : INW47111</t>
  </si>
  <si>
    <t>PO#BAM ARCHITECTS</t>
  </si>
  <si>
    <t>ALW010</t>
  </si>
  <si>
    <t>Tax Invoice : INW47112</t>
  </si>
  <si>
    <t>Tax Invoice : INW47113</t>
  </si>
  <si>
    <t>Tax Invoice : INW47114</t>
  </si>
  <si>
    <t>TAN001</t>
  </si>
  <si>
    <t>Tax Invoice : INW47115</t>
  </si>
  <si>
    <t>AFD INV29354</t>
  </si>
  <si>
    <t>MIS002</t>
  </si>
  <si>
    <t>Tax Invoice : INW47116</t>
  </si>
  <si>
    <t>GAT003</t>
  </si>
  <si>
    <t>Tax Invoice : INW47117</t>
  </si>
  <si>
    <t>ROW002</t>
  </si>
  <si>
    <t>Tax Invoice : INW47118</t>
  </si>
  <si>
    <t>Tax Invoice : INW47119</t>
  </si>
  <si>
    <t>Tax Invoice : INW47120</t>
  </si>
  <si>
    <t>BBG001</t>
  </si>
  <si>
    <t>Tax Invoice : INW47121</t>
  </si>
  <si>
    <t>CLA06</t>
  </si>
  <si>
    <t>Tax Invoice : INW47122</t>
  </si>
  <si>
    <t>ATT: RAMANTHA</t>
  </si>
  <si>
    <t>Tax Invoice : INW47123</t>
  </si>
  <si>
    <t>Tax Invoice : INW47124</t>
  </si>
  <si>
    <t>Tax Invoice : INW47125</t>
  </si>
  <si>
    <t>Tax Invoice : INW47126</t>
  </si>
  <si>
    <t>LMA001</t>
  </si>
  <si>
    <t>Tax Invoice : INW47127</t>
  </si>
  <si>
    <t>Tax Invoice : INW47128</t>
  </si>
  <si>
    <t>Tax Invoice : INW47129</t>
  </si>
  <si>
    <t>COM011</t>
  </si>
  <si>
    <t>Tax Invoice : INW47130</t>
  </si>
  <si>
    <t>Tax Invoice : INW47131</t>
  </si>
  <si>
    <t>COO002</t>
  </si>
  <si>
    <t>Tax Invoice : INW47132</t>
  </si>
  <si>
    <t>ATT: STEVE</t>
  </si>
  <si>
    <t>ZIP001</t>
  </si>
  <si>
    <t>Tax Invoice : INW47133</t>
  </si>
  <si>
    <t>Tax Invoice : INW47134</t>
  </si>
  <si>
    <t>NGA001</t>
  </si>
  <si>
    <t>Tax Invoice : INW47135</t>
  </si>
  <si>
    <t>ATT:</t>
  </si>
  <si>
    <t>PAN001</t>
  </si>
  <si>
    <t>Tax Invoice : INW47136</t>
  </si>
  <si>
    <t>ZAB001</t>
  </si>
  <si>
    <t>Tax Invoice : INW47137</t>
  </si>
  <si>
    <t>Tax Invoice : INW47138</t>
  </si>
  <si>
    <t>MBD001</t>
  </si>
  <si>
    <t>Tax Invoice : INW47139</t>
  </si>
  <si>
    <t>Tax Invoice : INW47140</t>
  </si>
  <si>
    <t>ATT: BARLETT &amp; DUNSTER</t>
  </si>
  <si>
    <t>Tax Invoice : INW47141</t>
  </si>
  <si>
    <t>Tax Invoice : INW47142</t>
  </si>
  <si>
    <t>PAP001</t>
  </si>
  <si>
    <t>Tax Invoice : INW47143</t>
  </si>
  <si>
    <t>TEP001</t>
  </si>
  <si>
    <t>Tax Invoice : INW47144</t>
  </si>
  <si>
    <t>Tax Invoice : INW47145</t>
  </si>
  <si>
    <t>Tax Invoice : INW47146</t>
  </si>
  <si>
    <t>Tax Invoice : INW47147</t>
  </si>
  <si>
    <t>DIE001</t>
  </si>
  <si>
    <t>Tax Invoice : INW47148</t>
  </si>
  <si>
    <t>COMM INV: 882/2026</t>
  </si>
  <si>
    <t>Tax Invoice : INW47149</t>
  </si>
  <si>
    <t>BEU001</t>
  </si>
  <si>
    <t>Tax Invoice : INW47150</t>
  </si>
  <si>
    <t>Tax Invoice : INW47151</t>
  </si>
  <si>
    <t>CH001</t>
  </si>
  <si>
    <t>Tax Invoice : INW47152</t>
  </si>
  <si>
    <t>Tax Invoice : INW47153</t>
  </si>
  <si>
    <t>DES026</t>
  </si>
  <si>
    <t>Tax Invoice : INW47154</t>
  </si>
  <si>
    <t>PO#109209 BMW CT</t>
  </si>
  <si>
    <t>SEV002</t>
  </si>
  <si>
    <t>Tax Invoice : INW47155</t>
  </si>
  <si>
    <t>Tax Invoice : INW47156</t>
  </si>
  <si>
    <t>Tax Invoice : INW47157</t>
  </si>
  <si>
    <t>PO#01697</t>
  </si>
  <si>
    <t>Tax Invoice : INW47158</t>
  </si>
  <si>
    <t>POD08326</t>
  </si>
  <si>
    <t>IKA001</t>
  </si>
  <si>
    <t>Tax Invoice : INW47159</t>
  </si>
  <si>
    <t>BUS004</t>
  </si>
  <si>
    <t>Tax Invoice : INW47160</t>
  </si>
  <si>
    <t>Tax Invoice : INW47161</t>
  </si>
  <si>
    <t>PO: LB260227-2</t>
  </si>
  <si>
    <t>CEC006</t>
  </si>
  <si>
    <t>Tax Invoice : INW47162</t>
  </si>
  <si>
    <t>Tax Invoice : INW47163</t>
  </si>
  <si>
    <t>LLM001</t>
  </si>
  <si>
    <t>Tax Invoice : INW47164</t>
  </si>
  <si>
    <t>ATT: LLOYD O/N: 040326</t>
  </si>
  <si>
    <t>Tax Invoice : INW47165</t>
  </si>
  <si>
    <t>Tax Invoice : INW47166</t>
  </si>
  <si>
    <t>Tax Invoice : INW47167</t>
  </si>
  <si>
    <t>Tax Invoice : INW47168</t>
  </si>
  <si>
    <t>Tax Invoice : INW47169</t>
  </si>
  <si>
    <t>LOV002</t>
  </si>
  <si>
    <t>Tax Invoice : INW47170</t>
  </si>
  <si>
    <t>Tax Invoice : INW47171</t>
  </si>
  <si>
    <t>ATT: ANG</t>
  </si>
  <si>
    <t>Tax Invoice : INW47172</t>
  </si>
  <si>
    <t>HAN003</t>
  </si>
  <si>
    <t>Tax Invoice : INW47173</t>
  </si>
  <si>
    <t>POD08492</t>
  </si>
  <si>
    <t>Tax Invoice : INW47174</t>
  </si>
  <si>
    <t>UPH011</t>
  </si>
  <si>
    <t>Tax Invoice : INW47175</t>
  </si>
  <si>
    <t>Tax Invoice : INW47176</t>
  </si>
  <si>
    <t>Tax Invoice : INW47177</t>
  </si>
  <si>
    <t>RET021</t>
  </si>
  <si>
    <t>Tax Invoice : INW47178</t>
  </si>
  <si>
    <t>KIN002</t>
  </si>
  <si>
    <t>Tax Invoice : INW47179</t>
  </si>
  <si>
    <t>Tax Invoice : INW47180</t>
  </si>
  <si>
    <t>BIN002</t>
  </si>
  <si>
    <t>Tax Invoice : INW47181</t>
  </si>
  <si>
    <t>Tax Invoice : INW47182</t>
  </si>
  <si>
    <t>Tax Invoice : INW47183</t>
  </si>
  <si>
    <t>MIS001</t>
  </si>
  <si>
    <t>Tax Invoice : INW47184</t>
  </si>
  <si>
    <t>STA012</t>
  </si>
  <si>
    <t>Tax Invoice : INW47185</t>
  </si>
  <si>
    <t>Tax Invoice : INW47186</t>
  </si>
  <si>
    <t>PJ002</t>
  </si>
  <si>
    <t>Tax Invoice : INW47187</t>
  </si>
  <si>
    <t>SLE001</t>
  </si>
  <si>
    <t>Tax Invoice : INW47188</t>
  </si>
  <si>
    <t>PIT001</t>
  </si>
  <si>
    <t>Tax Invoice : INW47189</t>
  </si>
  <si>
    <t>OLS001</t>
  </si>
  <si>
    <t>Tax Invoice : INW47190</t>
  </si>
  <si>
    <t>Tax Invoice : INW47191</t>
  </si>
  <si>
    <t>Tax Invoice : INW47192</t>
  </si>
  <si>
    <t>AFO002</t>
  </si>
  <si>
    <t>Tax Invoice : INW47193</t>
  </si>
  <si>
    <t>HNA001</t>
  </si>
  <si>
    <t>Tax Invoice : INW47194</t>
  </si>
  <si>
    <t>Tax Invoice : INW47195</t>
  </si>
  <si>
    <t>ATT: BUMMEL</t>
  </si>
  <si>
    <t>SHS001</t>
  </si>
  <si>
    <t>Tax Invoice : INW47196</t>
  </si>
  <si>
    <t>ALW002</t>
  </si>
  <si>
    <t>Tax Invoice : INW47197</t>
  </si>
  <si>
    <t>SWI001</t>
  </si>
  <si>
    <t>Tax Invoice : INW47198</t>
  </si>
  <si>
    <t>INN002</t>
  </si>
  <si>
    <t>Tax Invoice : INW47199</t>
  </si>
  <si>
    <t>Tax Invoice : INW47200</t>
  </si>
  <si>
    <t>Tax Invoice : INW47201</t>
  </si>
  <si>
    <t>POD08514</t>
  </si>
  <si>
    <t>Tax Invoice : INW47202</t>
  </si>
  <si>
    <t>MIG001</t>
  </si>
  <si>
    <t>Tax Invoice : INW47203</t>
  </si>
  <si>
    <t>LON003</t>
  </si>
  <si>
    <t>Tax Invoice : INW47204</t>
  </si>
  <si>
    <t>RAM004</t>
  </si>
  <si>
    <t>Tax Invoice : INW47205</t>
  </si>
  <si>
    <t>ATT:VANESHREE</t>
  </si>
  <si>
    <t>Tax Invoice : INW47206</t>
  </si>
  <si>
    <t>Tax Invoice : INW47207</t>
  </si>
  <si>
    <t>GOM001</t>
  </si>
  <si>
    <t>Tax Invoice : INW47208</t>
  </si>
  <si>
    <t>MEM006</t>
  </si>
  <si>
    <t>Tax Invoice : INW47209</t>
  </si>
  <si>
    <t>Tax Invoice : INW47210</t>
  </si>
  <si>
    <t>Tax Invoice : INW47211</t>
  </si>
  <si>
    <t>Tax Invoice : INW47212</t>
  </si>
  <si>
    <t>INS012</t>
  </si>
  <si>
    <t>Tax Invoice : INW47213</t>
  </si>
  <si>
    <t>ATT: DOUWE GANZEVOORT</t>
  </si>
  <si>
    <t>THE045</t>
  </si>
  <si>
    <t>Tax Invoice : INW47214</t>
  </si>
  <si>
    <t>BRU001</t>
  </si>
  <si>
    <t>Tax Invoice : INW47215</t>
  </si>
  <si>
    <t>Tax Invoice : INW47216</t>
  </si>
  <si>
    <t>ABE021</t>
  </si>
  <si>
    <t>Tax Invoice : INW47217</t>
  </si>
  <si>
    <t>INR001</t>
  </si>
  <si>
    <t>Tax Invoice : INW47218</t>
  </si>
  <si>
    <t>FOU003</t>
  </si>
  <si>
    <t>NAN005</t>
  </si>
  <si>
    <t>Tax Invoice : INW47219</t>
  </si>
  <si>
    <t>KIT001</t>
  </si>
  <si>
    <t>Tax Invoice : INW47220</t>
  </si>
  <si>
    <t>ATT: CARINA</t>
  </si>
  <si>
    <t>Tax Invoice : INW47221</t>
  </si>
  <si>
    <t>ATT: HAN  PO: LB260305-5</t>
  </si>
  <si>
    <t>Tax Invoice : INW47222</t>
  </si>
  <si>
    <t>PO#35850</t>
  </si>
  <si>
    <t>Tax Invoice : INW47223</t>
  </si>
  <si>
    <t>Tax Invoice : INW47224</t>
  </si>
  <si>
    <t>Tax Invoice : INW47225</t>
  </si>
  <si>
    <t>THE028</t>
  </si>
  <si>
    <t>Tax Invoice : INW47226</t>
  </si>
  <si>
    <t>SIG002</t>
  </si>
  <si>
    <t>Tax Invoice : INW47227</t>
  </si>
  <si>
    <t>Tax Invoice : INW47228</t>
  </si>
  <si>
    <t>COV021</t>
  </si>
  <si>
    <t>Tax Invoice : INW47229</t>
  </si>
  <si>
    <t>Tax Invoice : INW47230</t>
  </si>
  <si>
    <t>Tax Invoice : INW47231</t>
  </si>
  <si>
    <t>Tax Invoice : INW47232</t>
  </si>
  <si>
    <t>CAZ001</t>
  </si>
  <si>
    <t>Tax Invoice : INW47233</t>
  </si>
  <si>
    <t>Tax Invoice : INW47234</t>
  </si>
  <si>
    <t>DON015</t>
  </si>
  <si>
    <t>Tax Invoice : INW47235</t>
  </si>
  <si>
    <t>BLO006</t>
  </si>
  <si>
    <t>Tax Invoice : INW47236</t>
  </si>
  <si>
    <t>Tax Invoice : INW47237</t>
  </si>
  <si>
    <t>ULT002</t>
  </si>
  <si>
    <t>Tax Invoice : INW47238</t>
  </si>
  <si>
    <t>Tax Invoice : INW47239</t>
  </si>
  <si>
    <t>REF: INW47237</t>
  </si>
  <si>
    <t>Tax Invoice : INW47240</t>
  </si>
  <si>
    <t>LEM009</t>
  </si>
  <si>
    <t>Tax Invoice : INW47241</t>
  </si>
  <si>
    <t>THE000</t>
  </si>
  <si>
    <t>Tax Invoice : INW47242</t>
  </si>
  <si>
    <t>Tax Invoice : INW47243</t>
  </si>
  <si>
    <t>Tax Invoice : INW47244</t>
  </si>
  <si>
    <t>Tax Invoice : INW47245</t>
  </si>
  <si>
    <t>CRAIG</t>
  </si>
  <si>
    <t>Tax Invoice : INW47246</t>
  </si>
  <si>
    <t>PO#CHORUS</t>
  </si>
  <si>
    <t>Tax Invoice : INW47247</t>
  </si>
  <si>
    <t>PONTE INV29314</t>
  </si>
  <si>
    <t>Tax Invoice : INW47248</t>
  </si>
  <si>
    <t>Tax Invoice : INW47249</t>
  </si>
  <si>
    <t>PO#SAMPLES</t>
  </si>
  <si>
    <t>Tax Invoice : INW47250</t>
  </si>
  <si>
    <t>PONTE INV29386</t>
  </si>
  <si>
    <t>ART006</t>
  </si>
  <si>
    <t>Tax Invoice : INW47251</t>
  </si>
  <si>
    <t>Tax Invoice : INW47252</t>
  </si>
  <si>
    <t>Tax Invoice : INW47253</t>
  </si>
  <si>
    <t>Tax Invoice : INW47254</t>
  </si>
  <si>
    <t>Tax Invoice : INW47255</t>
  </si>
  <si>
    <t>POD08530</t>
  </si>
  <si>
    <t>TGK001</t>
  </si>
  <si>
    <t>Tax Invoice : INW47256</t>
  </si>
  <si>
    <t>Tax Invoice : INW47257</t>
  </si>
  <si>
    <t>Tax Invoice : INW47258</t>
  </si>
  <si>
    <t>WAL002</t>
  </si>
  <si>
    <t>Tax Invoice : INW47259</t>
  </si>
  <si>
    <t>Tax Invoice : INW47260</t>
  </si>
  <si>
    <t>Tax Invoice : INW47261</t>
  </si>
  <si>
    <t>FIN008</t>
  </si>
  <si>
    <t>Tax Invoice : INW47262</t>
  </si>
  <si>
    <t>MOH003</t>
  </si>
  <si>
    <t>Tax Invoice : INW47263</t>
  </si>
  <si>
    <t>ATT: MOH</t>
  </si>
  <si>
    <t>Tax Invoice : INW47264</t>
  </si>
  <si>
    <t>MILL00</t>
  </si>
  <si>
    <t>Tax Invoice : INW47265</t>
  </si>
  <si>
    <t>Tax Invoice : INW47266</t>
  </si>
  <si>
    <t>HAP002</t>
  </si>
  <si>
    <t>Tax Invoice : INW47267</t>
  </si>
  <si>
    <t>Tax Invoice : INW47268</t>
  </si>
  <si>
    <t>Tax Invoice : INW47269</t>
  </si>
  <si>
    <t>Tax Invoice : INW47270</t>
  </si>
  <si>
    <t>Tax Invoice : INW47271</t>
  </si>
  <si>
    <t>Tax Invoice : INW47272</t>
  </si>
  <si>
    <t>ATH002</t>
  </si>
  <si>
    <t>Tax Invoice : INW47273</t>
  </si>
  <si>
    <t>Tax Invoice : INW47274</t>
  </si>
  <si>
    <t>ATT: WAYNE</t>
  </si>
  <si>
    <t>Tax Invoice : INW47275</t>
  </si>
  <si>
    <t>PLA012</t>
  </si>
  <si>
    <t>Tax Invoice : INW47276</t>
  </si>
  <si>
    <t>Tax Invoice : INW47277</t>
  </si>
  <si>
    <t>BIR003</t>
  </si>
  <si>
    <t>Tax Invoice : INW47278</t>
  </si>
  <si>
    <t>MAJ001</t>
  </si>
  <si>
    <t>Tax Invoice : INW47279</t>
  </si>
  <si>
    <t>Tax Invoice : INW47280</t>
  </si>
  <si>
    <t>Tax Invoice : INW47281</t>
  </si>
  <si>
    <t>Tax Invoice : INW47282</t>
  </si>
  <si>
    <t>Tax Invoice : INW47283</t>
  </si>
  <si>
    <t>LUK002</t>
  </si>
  <si>
    <t>Tax Invoice : INW47284</t>
  </si>
  <si>
    <t>Tax Invoice : INW47285</t>
  </si>
  <si>
    <t>PO#1698</t>
  </si>
  <si>
    <t>Tax Invoice : INW47286</t>
  </si>
  <si>
    <t>Tax Invoice : INW47287</t>
  </si>
  <si>
    <t>DNA001</t>
  </si>
  <si>
    <t>Tax Invoice : INW47288</t>
  </si>
  <si>
    <t>ATT: DONNA</t>
  </si>
  <si>
    <t>Tax Invoice : INW47289</t>
  </si>
  <si>
    <t>Tax Invoice : INW47290</t>
  </si>
  <si>
    <t>Tax Invoice : INW47291</t>
  </si>
  <si>
    <t>Tax Invoice : INW47292</t>
  </si>
  <si>
    <t>SHA005</t>
  </si>
  <si>
    <t>Tax Invoice : INW47293</t>
  </si>
  <si>
    <t>Tax Invoice : INW47294</t>
  </si>
  <si>
    <t>Tax Invoice : INW47295</t>
  </si>
  <si>
    <t>SUN009</t>
  </si>
  <si>
    <t>Tax Invoice : INW47296</t>
  </si>
  <si>
    <t>Tax Invoice : INW47297</t>
  </si>
  <si>
    <t>KAM006</t>
  </si>
  <si>
    <t>Tax Invoice : INW47298</t>
  </si>
  <si>
    <t>Tax Invoice : INW47299</t>
  </si>
  <si>
    <t>Tax Invoice : INW47300</t>
  </si>
  <si>
    <t>BLA008</t>
  </si>
  <si>
    <t>Tax Invoice : INW47301</t>
  </si>
  <si>
    <t>Tax Invoice : INW47302</t>
  </si>
  <si>
    <t>Tax Invoice : INW47303</t>
  </si>
  <si>
    <t>Tax Invoice : INW47304</t>
  </si>
  <si>
    <t>Tax Invoice : INW47305</t>
  </si>
  <si>
    <t>MAR050</t>
  </si>
  <si>
    <t>Tax Invoice : INW47306</t>
  </si>
  <si>
    <t>Tax Invoice : INW47307</t>
  </si>
  <si>
    <t>Tax Invoice : INW47308</t>
  </si>
  <si>
    <t>Tax Invoice : INW47309</t>
  </si>
  <si>
    <t>Tax Invoice : INW47310</t>
  </si>
  <si>
    <t>Tax Invoice : INW47311</t>
  </si>
  <si>
    <t>CAP033</t>
  </si>
  <si>
    <t>Tax Invoice : INW47312</t>
  </si>
  <si>
    <t>Tax Invoice : INW47313</t>
  </si>
  <si>
    <t>Tax Invoice : INW47314</t>
  </si>
  <si>
    <t>ATT: HAN PO:LB260305-5</t>
  </si>
  <si>
    <t>Tax Invoice : INW47315</t>
  </si>
  <si>
    <t>Tax Invoice : INW47316</t>
  </si>
  <si>
    <t>XDL001</t>
  </si>
  <si>
    <t>Tax Invoice : INW47317</t>
  </si>
  <si>
    <t>Tax Invoice : INW47318</t>
  </si>
  <si>
    <t>GRE012</t>
  </si>
  <si>
    <t>Tax Invoice : INW47319</t>
  </si>
  <si>
    <t>Tax Invoice : INW47320</t>
  </si>
  <si>
    <t>LAZ006</t>
  </si>
  <si>
    <t>Tax Invoice : INW47321</t>
  </si>
  <si>
    <t>THE030</t>
  </si>
  <si>
    <t>Tax Invoice : INW47322</t>
  </si>
  <si>
    <t>Tax Invoice : INW47323</t>
  </si>
  <si>
    <t>JIK001</t>
  </si>
  <si>
    <t>Tax Invoice : INW47324</t>
  </si>
  <si>
    <t>Tax Invoice : INW47325</t>
  </si>
  <si>
    <t>Tax Invoice : INW47326</t>
  </si>
  <si>
    <t>Tax Invoice : INW47327</t>
  </si>
  <si>
    <t>Tax Invoice : INW47328</t>
  </si>
  <si>
    <t>Tax Invoice : INW47329</t>
  </si>
  <si>
    <t>GEL001</t>
  </si>
  <si>
    <t>Tax Invoice : INW47330</t>
  </si>
  <si>
    <t>STE014</t>
  </si>
  <si>
    <t>Tax Invoice : INW47331</t>
  </si>
  <si>
    <t>Tax Invoice : INW47332</t>
  </si>
  <si>
    <t>PREB00</t>
  </si>
  <si>
    <t>Tax Invoice : INW47333</t>
  </si>
  <si>
    <t>AMO001</t>
  </si>
  <si>
    <t>Tax Invoice : INW47334</t>
  </si>
  <si>
    <t>STY021</t>
  </si>
  <si>
    <t>Tax Invoice : INW47335</t>
  </si>
  <si>
    <t>Tax Invoice : INW47336</t>
  </si>
  <si>
    <t>Tax Invoice : INW47337</t>
  </si>
  <si>
    <t>LAS002</t>
  </si>
  <si>
    <t>Tax Invoice : INW47338</t>
  </si>
  <si>
    <t>Tax Invoice : INW47339</t>
  </si>
  <si>
    <t>ERG001</t>
  </si>
  <si>
    <t>Tax Invoice : INW47340</t>
  </si>
  <si>
    <t>PO# 28838</t>
  </si>
  <si>
    <t>Tax Invoice : INW47341</t>
  </si>
  <si>
    <t>Tax Invoice : INW47342</t>
  </si>
  <si>
    <t>PO#10255</t>
  </si>
  <si>
    <t>Tax Invoice : INW47343</t>
  </si>
  <si>
    <t>Tax Invoice : INW47344</t>
  </si>
  <si>
    <t>IMA005</t>
  </si>
  <si>
    <t>Tax Invoice : INW47345</t>
  </si>
  <si>
    <t>ATT:VUKANI</t>
  </si>
  <si>
    <t>LIN04</t>
  </si>
  <si>
    <t>Tax Invoice : INW47346</t>
  </si>
  <si>
    <t>EMMANUEL</t>
  </si>
  <si>
    <t>THF001</t>
  </si>
  <si>
    <t>Tax Invoice : INW47347</t>
  </si>
  <si>
    <t>Tax Invoice : INW47348</t>
  </si>
  <si>
    <t>Tax Invoice : INW47349</t>
  </si>
  <si>
    <t>ATT: KRIESEND/JUDY</t>
  </si>
  <si>
    <t>Tax Invoice : INW47350</t>
  </si>
  <si>
    <t>Tax Invoice : INW47351</t>
  </si>
  <si>
    <t>CRA004</t>
  </si>
  <si>
    <t>Tax Invoice : INW47352</t>
  </si>
  <si>
    <t>Tax Invoice : INW47353</t>
  </si>
  <si>
    <t>ATT: MARNICA</t>
  </si>
  <si>
    <t>STR002</t>
  </si>
  <si>
    <t>Tax Invoice : INW47354</t>
  </si>
  <si>
    <t>Tax Invoice : INW47355</t>
  </si>
  <si>
    <t>Tax Invoice : INW47356</t>
  </si>
  <si>
    <t>Tax Invoice : INW47357</t>
  </si>
  <si>
    <t>Tax Invoice : INW47358</t>
  </si>
  <si>
    <t>HOP001</t>
  </si>
  <si>
    <t>Tax Invoice : INW47359</t>
  </si>
  <si>
    <t>O/N: 15555</t>
  </si>
  <si>
    <t>Tax Invoice : INW47360</t>
  </si>
  <si>
    <t>TRE008</t>
  </si>
  <si>
    <t>Tax Invoice : INW47361</t>
  </si>
  <si>
    <t>ATT: NUREN</t>
  </si>
  <si>
    <t>CRA002</t>
  </si>
  <si>
    <t>Tax Invoice : INW47362</t>
  </si>
  <si>
    <t>MIC006</t>
  </si>
  <si>
    <t>Tax Invoice : INW47363</t>
  </si>
  <si>
    <t>ATT; WARREN</t>
  </si>
  <si>
    <t>Tax Invoice : INW47364</t>
  </si>
  <si>
    <t>Tax Invoice : INW47365</t>
  </si>
  <si>
    <t>Tax Invoice : INW47366</t>
  </si>
  <si>
    <t>SAI006</t>
  </si>
  <si>
    <t>Tax Invoice : INW47367</t>
  </si>
  <si>
    <t>JOR001</t>
  </si>
  <si>
    <t>Tax Invoice : INW47368</t>
  </si>
  <si>
    <t>PO#DW1314</t>
  </si>
  <si>
    <t>RGM001</t>
  </si>
  <si>
    <t>Tax Invoice : INW47369</t>
  </si>
  <si>
    <t>ATT: ISIAH</t>
  </si>
  <si>
    <t>OLL001</t>
  </si>
  <si>
    <t>Tax Invoice : INW47370</t>
  </si>
  <si>
    <t>SWA001</t>
  </si>
  <si>
    <t>Tax Invoice : INW47371</t>
  </si>
  <si>
    <t>POD08570</t>
  </si>
  <si>
    <t>Tax Invoice : INW47372</t>
  </si>
  <si>
    <t>Tax Invoice : INW47373</t>
  </si>
  <si>
    <t>Tax Invoice : INW47374</t>
  </si>
  <si>
    <t>Tax Invoice : INW47375</t>
  </si>
  <si>
    <t>Tax Invoice : INW47376</t>
  </si>
  <si>
    <t>WHA001</t>
  </si>
  <si>
    <t>Tax Invoice : INW47377</t>
  </si>
  <si>
    <t>KAR017</t>
  </si>
  <si>
    <t>Tax Invoice : INW47378</t>
  </si>
  <si>
    <t>Tax Invoice : INW47379</t>
  </si>
  <si>
    <t>Tax Invoice : INW47380</t>
  </si>
  <si>
    <t>HOF002</t>
  </si>
  <si>
    <t>Tax Invoice : INW47381</t>
  </si>
  <si>
    <t>ATT: MARK</t>
  </si>
  <si>
    <t>Tax Invoice : INW47382</t>
  </si>
  <si>
    <t>PO#73831</t>
  </si>
  <si>
    <t>Tax Invoice : INW47383</t>
  </si>
  <si>
    <t>Tax Invoice : INW47384</t>
  </si>
  <si>
    <t>GUI001</t>
  </si>
  <si>
    <t>Tax Invoice : INW47385</t>
  </si>
  <si>
    <t>COL006</t>
  </si>
  <si>
    <t>Tax Invoice : INW47386</t>
  </si>
  <si>
    <t>Tax Invoice : INW47387</t>
  </si>
  <si>
    <t>BRI012</t>
  </si>
  <si>
    <t>Tax Invoice : INW47388</t>
  </si>
  <si>
    <t>Tax Invoice : INW47389</t>
  </si>
  <si>
    <t>Tax Invoice : INW47390</t>
  </si>
  <si>
    <t>Tax Invoice : INW47391</t>
  </si>
  <si>
    <t>POD08555</t>
  </si>
  <si>
    <t>LEI002</t>
  </si>
  <si>
    <t>Tax Invoice : INW47392</t>
  </si>
  <si>
    <t>ATT: MICHELLE</t>
  </si>
  <si>
    <t>Tax Invoice : INW47393</t>
  </si>
  <si>
    <t>Tax Invoice : INW47394</t>
  </si>
  <si>
    <t>Tax Invoice : INW47395</t>
  </si>
  <si>
    <t>Tax Invoice : INW47396</t>
  </si>
  <si>
    <t>ARR002</t>
  </si>
  <si>
    <t>Tax Invoice : INW47397</t>
  </si>
  <si>
    <t>CRA010</t>
  </si>
  <si>
    <t>Tax Invoice : INW47398</t>
  </si>
  <si>
    <t>Tax Invoice : INW47399</t>
  </si>
  <si>
    <t>KAK009</t>
  </si>
  <si>
    <t>Tax Invoice : INW47400</t>
  </si>
  <si>
    <t>Tax Invoice : INW47401</t>
  </si>
  <si>
    <t>OAK005</t>
  </si>
  <si>
    <t>Tax Invoice : INW47402</t>
  </si>
  <si>
    <t>MAN021</t>
  </si>
  <si>
    <t>Tax Invoice : INW47403</t>
  </si>
  <si>
    <t>ATT: MANUAL</t>
  </si>
  <si>
    <t>Tax Invoice : INW47404</t>
  </si>
  <si>
    <t>Tax Invoice : INW47405</t>
  </si>
  <si>
    <t>POD08571</t>
  </si>
  <si>
    <t>Tax Invoice : INW47406</t>
  </si>
  <si>
    <t>Tax Invoice : INW47407</t>
  </si>
  <si>
    <t>Tax Invoice : INW47408</t>
  </si>
  <si>
    <t>Tax Invoice : INW47409</t>
  </si>
  <si>
    <t>POD08584</t>
  </si>
  <si>
    <t>PAC005</t>
  </si>
  <si>
    <t>Tax Invoice : INW47410</t>
  </si>
  <si>
    <t>YEL002</t>
  </si>
  <si>
    <t>Tax Invoice : INW47411</t>
  </si>
  <si>
    <t>IVO002</t>
  </si>
  <si>
    <t>Tax Invoice : INW47412</t>
  </si>
  <si>
    <t>WOO003</t>
  </si>
  <si>
    <t>Tax Invoice : INW47413</t>
  </si>
  <si>
    <t>COS001</t>
  </si>
  <si>
    <t>Tax Invoice : INW47414</t>
  </si>
  <si>
    <t>VARIOUS ORDERS</t>
  </si>
  <si>
    <t>Tax Invoice : INW47415</t>
  </si>
  <si>
    <t>FAM001</t>
  </si>
  <si>
    <t>Tax Invoice : INW47416</t>
  </si>
  <si>
    <t>PET008</t>
  </si>
  <si>
    <t>Tax Invoice : INW47417</t>
  </si>
  <si>
    <t>Tax Invoice : INW47418</t>
  </si>
  <si>
    <t>Tax Invoice : INW47419</t>
  </si>
  <si>
    <t>PO#DW1315</t>
  </si>
  <si>
    <t>DEK004</t>
  </si>
  <si>
    <t>Tax Invoice : INW47420</t>
  </si>
  <si>
    <t>Tax Invoice : INW47421</t>
  </si>
  <si>
    <t>CAR029</t>
  </si>
  <si>
    <t>Tax Invoice : INW47422</t>
  </si>
  <si>
    <t>Tax Invoice : INW47423</t>
  </si>
  <si>
    <t>SIL001</t>
  </si>
  <si>
    <t>Tax Invoice : INW47424</t>
  </si>
  <si>
    <t>PO#94673</t>
  </si>
  <si>
    <t>CAM003</t>
  </si>
  <si>
    <t>Tax Invoice : INW47425</t>
  </si>
  <si>
    <t>POD08503</t>
  </si>
  <si>
    <t>Tax Invoice : INW47426</t>
  </si>
  <si>
    <t>Tax Invoice : INW47427</t>
  </si>
  <si>
    <t>POD08504</t>
  </si>
  <si>
    <t>Tax Invoice : INW47428</t>
  </si>
  <si>
    <t>PRS001</t>
  </si>
  <si>
    <t>Tax Invoice : INW47429</t>
  </si>
  <si>
    <t>ATT:PREM</t>
  </si>
  <si>
    <t>Tax Invoice : INW47431</t>
  </si>
  <si>
    <t>POD08541</t>
  </si>
  <si>
    <t>CES021</t>
  </si>
  <si>
    <t>Tax Invoice : INW47432</t>
  </si>
  <si>
    <t>Tax Invoice : INW47433</t>
  </si>
  <si>
    <t>POD08551</t>
  </si>
  <si>
    <t>Tax Invoice : INW47434</t>
  </si>
  <si>
    <t>POD08561</t>
  </si>
  <si>
    <t>Tax Invoice : INW47435</t>
  </si>
  <si>
    <t>Tax Invoice : INW47436</t>
  </si>
  <si>
    <t>KLE004</t>
  </si>
  <si>
    <t>Tax Invoice : INW47437</t>
  </si>
  <si>
    <t>Tax Invoice : INW47438</t>
  </si>
  <si>
    <t>HOL004</t>
  </si>
  <si>
    <t>Tax Invoice : INW47439</t>
  </si>
  <si>
    <t>Tax Invoice : INW47440</t>
  </si>
  <si>
    <t>Tax Invoice : INW47441</t>
  </si>
  <si>
    <t>CRE007</t>
  </si>
  <si>
    <t>Tax Invoice : INW47442</t>
  </si>
  <si>
    <t>ATT: ROWAN</t>
  </si>
  <si>
    <t>Tax Invoice : INW47443</t>
  </si>
  <si>
    <t>Tax Invoice : INW47444</t>
  </si>
  <si>
    <t>Tax Invoice : INW47445</t>
  </si>
  <si>
    <t>Tax Invoice : INW47446</t>
  </si>
  <si>
    <t>Tax Invoice : INW47447</t>
  </si>
  <si>
    <t>Tax Invoice : INW47448</t>
  </si>
  <si>
    <t>AARD01</t>
  </si>
  <si>
    <t>Tax Invoice : INW47449</t>
  </si>
  <si>
    <t>KAR021</t>
  </si>
  <si>
    <t>Tax Invoice : INW47450</t>
  </si>
  <si>
    <t>DEY001</t>
  </si>
  <si>
    <t>Tax Invoice : INW47451</t>
  </si>
  <si>
    <t>Tax Invoice : INW47452</t>
  </si>
  <si>
    <t>KOM001</t>
  </si>
  <si>
    <t>Tax Invoice : INW47453</t>
  </si>
  <si>
    <t>PO#40</t>
  </si>
  <si>
    <t>HOB001</t>
  </si>
  <si>
    <t>Tax Invoice : INW47454</t>
  </si>
  <si>
    <t>Tax Invoice : INW47455</t>
  </si>
  <si>
    <t>MER001</t>
  </si>
  <si>
    <t>Tax Invoice : INW47456</t>
  </si>
  <si>
    <t>HOC001</t>
  </si>
  <si>
    <t>Tax Invoice : INW47457</t>
  </si>
  <si>
    <t>SILO 2 MIKE</t>
  </si>
  <si>
    <t>Tax Invoice : INW47458</t>
  </si>
  <si>
    <t>ATT: DR JOHANN DE WET</t>
  </si>
  <si>
    <t>LUL021</t>
  </si>
  <si>
    <t>Tax Invoice : INW47459</t>
  </si>
  <si>
    <t>Tax Invoice : INW47460</t>
  </si>
  <si>
    <t>Tax Invoice : INW47461</t>
  </si>
  <si>
    <t>CLA012</t>
  </si>
  <si>
    <t>Tax Invoice : INW47462</t>
  </si>
  <si>
    <t>Tax Invoice : INW47463</t>
  </si>
  <si>
    <t>RUS002</t>
  </si>
  <si>
    <t>Tax Invoice : INW47464</t>
  </si>
  <si>
    <t>Tax Invoice : INW47465</t>
  </si>
  <si>
    <t>PO#MOI MOI</t>
  </si>
  <si>
    <t>Tax Invoice : INW47466</t>
  </si>
  <si>
    <t>Tax Invoice : INW47467</t>
  </si>
  <si>
    <t>Tax Invoice : INW47468</t>
  </si>
  <si>
    <t>Tax Invoice : INW47469</t>
  </si>
  <si>
    <t>Tax Invoice : INW47470</t>
  </si>
  <si>
    <t>Tax Invoice : INW47471</t>
  </si>
  <si>
    <t>Tax Invoice : INW47472</t>
  </si>
  <si>
    <t>Tax Invoice : INW47473</t>
  </si>
  <si>
    <t>Tax Invoice : INW47474</t>
  </si>
  <si>
    <t>Tax Invoice : INW47475</t>
  </si>
  <si>
    <t>POR004</t>
  </si>
  <si>
    <t>Tax Invoice : INW47476</t>
  </si>
  <si>
    <t>ESS021</t>
  </si>
  <si>
    <t>Tax Invoice : INW47477</t>
  </si>
  <si>
    <t>ZAHIRA VORAJEE</t>
  </si>
  <si>
    <t>ELE002</t>
  </si>
  <si>
    <t>Tax Invoice : INW47478</t>
  </si>
  <si>
    <t>ATT: NICOLE</t>
  </si>
  <si>
    <t>Tax Invoice : INW47479</t>
  </si>
  <si>
    <t>CHO001</t>
  </si>
  <si>
    <t>Tax Invoice : INW47480</t>
  </si>
  <si>
    <t>PO#02252</t>
  </si>
  <si>
    <t>Tax Invoice : INW47481</t>
  </si>
  <si>
    <t>PO#2839</t>
  </si>
  <si>
    <t>Tax Invoice : INW47482</t>
  </si>
  <si>
    <t>MAG007</t>
  </si>
  <si>
    <t>Tax Invoice : INW47483</t>
  </si>
  <si>
    <t>BEN005</t>
  </si>
  <si>
    <t>Tax Invoice : INW47484</t>
  </si>
  <si>
    <t>ATT: NESH</t>
  </si>
  <si>
    <t>Tax Invoice : INW47485</t>
  </si>
  <si>
    <t>CAP028</t>
  </si>
  <si>
    <t>Tax Invoice : INW47486</t>
  </si>
  <si>
    <t>Tax Invoice : INW47487</t>
  </si>
  <si>
    <t>Tax Invoice : INW47488</t>
  </si>
  <si>
    <t>Tax Invoice : INW47489</t>
  </si>
  <si>
    <t>Tax Invoice : INW47490</t>
  </si>
  <si>
    <t>KZN001</t>
  </si>
  <si>
    <t>Tax Invoice : INW47491</t>
  </si>
  <si>
    <t>ATT: ANWAR</t>
  </si>
  <si>
    <t>Tax Invoice : INW47492</t>
  </si>
  <si>
    <t>Tax Invoice : INW47493</t>
  </si>
  <si>
    <t>Tax Invoice : INW47494</t>
  </si>
  <si>
    <t>Tax Invoice : INW47495</t>
  </si>
  <si>
    <t>Tax Invoice : INW47496</t>
  </si>
  <si>
    <t>Tax Invoice : INW47497</t>
  </si>
  <si>
    <t>LAMOO3</t>
  </si>
  <si>
    <t>Tax Invoice : INW47498</t>
  </si>
  <si>
    <t>ATT: MARTIN</t>
  </si>
  <si>
    <t>MAL009</t>
  </si>
  <si>
    <t>Tax Invoice : INW47499</t>
  </si>
  <si>
    <t>LAV003</t>
  </si>
  <si>
    <t>Tax Invoice : INW47500</t>
  </si>
  <si>
    <t>ATT: SHARON</t>
  </si>
  <si>
    <t>DES01</t>
  </si>
  <si>
    <t>Tax Invoice : INW47501</t>
  </si>
  <si>
    <t>PO#3</t>
  </si>
  <si>
    <t>Tax Invoice : INW47502</t>
  </si>
  <si>
    <t>Tax Invoice : INW47503</t>
  </si>
  <si>
    <t>Tax Invoice : INW47504</t>
  </si>
  <si>
    <t>Tax Invoice : INW47505</t>
  </si>
  <si>
    <t>TAL001</t>
  </si>
  <si>
    <t>Tax Invoice : INW47506</t>
  </si>
  <si>
    <t>VAN001</t>
  </si>
  <si>
    <t>Tax Invoice : INW47507</t>
  </si>
  <si>
    <t>Tax Invoice : INW47508</t>
  </si>
  <si>
    <t>ROS008</t>
  </si>
  <si>
    <t>Tax Invoice : INW47509</t>
  </si>
  <si>
    <t>Tax Invoice : INW47510</t>
  </si>
  <si>
    <t>Tax Invoice : INW47511</t>
  </si>
  <si>
    <t>Tax Invoice : INW47512</t>
  </si>
  <si>
    <t>Tax Invoice : INW47513</t>
  </si>
  <si>
    <t>Tax Invoice : INW47514</t>
  </si>
  <si>
    <t>Tax Invoice : INW47515</t>
  </si>
  <si>
    <t>ALR001</t>
  </si>
  <si>
    <t>Tax Invoice : INW47516</t>
  </si>
  <si>
    <t>Tax Invoice : INW47517</t>
  </si>
  <si>
    <t>VER006</t>
  </si>
  <si>
    <t>Tax Invoice : INW47518</t>
  </si>
  <si>
    <t>PIT002</t>
  </si>
  <si>
    <t>Tax Invoice : INW47519</t>
  </si>
  <si>
    <t>ATT: PETSO</t>
  </si>
  <si>
    <t>LEI001</t>
  </si>
  <si>
    <t>Tax Invoice : INW47520</t>
  </si>
  <si>
    <t>O/N: SMITH</t>
  </si>
  <si>
    <t>Tax Invoice : INW47521</t>
  </si>
  <si>
    <t>ATT: FAIZEL</t>
  </si>
  <si>
    <t>Tax Invoice : INW47522</t>
  </si>
  <si>
    <t>Tax Invoice : INW47523</t>
  </si>
  <si>
    <t>Tax Invoice : INW47524</t>
  </si>
  <si>
    <t>Tax Invoice : INW47525</t>
  </si>
  <si>
    <t>Tax Invoice : INW47526</t>
  </si>
  <si>
    <t>Tax Invoice : INW47527</t>
  </si>
  <si>
    <t>LEON</t>
  </si>
  <si>
    <t>Tax Invoice : INW47528</t>
  </si>
  <si>
    <t>Tax Invoice : INW47529</t>
  </si>
  <si>
    <t>Tax Invoice : INW47530</t>
  </si>
  <si>
    <t>Tax Invoice : INW47531</t>
  </si>
  <si>
    <t>FAP001</t>
  </si>
  <si>
    <t>Tax Invoice : INW47532</t>
  </si>
  <si>
    <t>Tax Invoice : INW47533</t>
  </si>
  <si>
    <t>Tax Invoice : INW47534</t>
  </si>
  <si>
    <t>Tax Invoice : INW47535</t>
  </si>
  <si>
    <t>Tax Invoice : INW47536</t>
  </si>
  <si>
    <t>Tax Invoice : INW47537</t>
  </si>
  <si>
    <t>ABE002</t>
  </si>
  <si>
    <t>Tax Invoice : INW47538</t>
  </si>
  <si>
    <t>Tax Invoice : INW47539</t>
  </si>
  <si>
    <t>Tax Invoice : INW47540</t>
  </si>
  <si>
    <t>ATT: MOG</t>
  </si>
  <si>
    <t>Tax Invoice : INW47541</t>
  </si>
  <si>
    <t>Tax Invoice : INW47542</t>
  </si>
  <si>
    <t>Tax Invoice : INW47543</t>
  </si>
  <si>
    <t>WEY005</t>
  </si>
  <si>
    <t>Tax Invoice : INW47544</t>
  </si>
  <si>
    <t>PRI011</t>
  </si>
  <si>
    <t>Tax Invoice : INW47545</t>
  </si>
  <si>
    <t>JAL001</t>
  </si>
  <si>
    <t>Tax Invoice : INW47546</t>
  </si>
  <si>
    <t>Tax Invoice : INW47547</t>
  </si>
  <si>
    <t>PO#DW1316</t>
  </si>
  <si>
    <t>BAR030</t>
  </si>
  <si>
    <t>Tax Invoice : INW47548</t>
  </si>
  <si>
    <t>PO - 0388</t>
  </si>
  <si>
    <t>Tax Invoice : INW47549</t>
  </si>
  <si>
    <t>ATT: TOMMY</t>
  </si>
  <si>
    <t>BOK002</t>
  </si>
  <si>
    <t>Tax Invoice : INW47550</t>
  </si>
  <si>
    <t>Tax Invoice : INW47551</t>
  </si>
  <si>
    <t>ZUL004</t>
  </si>
  <si>
    <t>Tax Invoice : INW47552</t>
  </si>
  <si>
    <t>KAY004</t>
  </si>
  <si>
    <t>Tax Invoice : INW47553</t>
  </si>
  <si>
    <t>Tax Invoice : INW47554</t>
  </si>
  <si>
    <t>EDD002</t>
  </si>
  <si>
    <t>Tax Invoice : INW47555</t>
  </si>
  <si>
    <t>ATT: CHRIS O/N:11-03-2026</t>
  </si>
  <si>
    <t>ZCR001</t>
  </si>
  <si>
    <t>Tax Invoice : INW47556</t>
  </si>
  <si>
    <t>Tax Invoice : INW47557</t>
  </si>
  <si>
    <t>Tax Invoice : INW47558</t>
  </si>
  <si>
    <t>PO#2850</t>
  </si>
  <si>
    <t>Tax Invoice : INW47559</t>
  </si>
  <si>
    <t>Tax Invoice : INW47560</t>
  </si>
  <si>
    <t>MEL010</t>
  </si>
  <si>
    <t>Tax Invoice : INW47561</t>
  </si>
  <si>
    <t>HEY001</t>
  </si>
  <si>
    <t>Tax Invoice : INW47562</t>
  </si>
  <si>
    <t>Tax Invoice : INW47563</t>
  </si>
  <si>
    <t>ATT: WEBBY</t>
  </si>
  <si>
    <t>Tax Invoice : INW47564</t>
  </si>
  <si>
    <t>Tax Invoice : INW47565</t>
  </si>
  <si>
    <t>Tax Invoice : INW47566</t>
  </si>
  <si>
    <t>LEA04</t>
  </si>
  <si>
    <t>Tax Invoice : INW47567</t>
  </si>
  <si>
    <t>PO#K2X8</t>
  </si>
  <si>
    <t>Tax Invoice : INW47568</t>
  </si>
  <si>
    <t>Tax Invoice : INW47569</t>
  </si>
  <si>
    <t>POD8470</t>
  </si>
  <si>
    <t>PRA002</t>
  </si>
  <si>
    <t>Tax Invoice : INW47570</t>
  </si>
  <si>
    <t>Tax Invoice : INW47571</t>
  </si>
  <si>
    <t>Tax Invoice : INW47572</t>
  </si>
  <si>
    <t>FAB011</t>
  </si>
  <si>
    <t>Tax Invoice : INW47573</t>
  </si>
  <si>
    <t>ATT: JOHAN</t>
  </si>
  <si>
    <t>Tax Invoice : INW47574</t>
  </si>
  <si>
    <t>Tax Invoice : INW47575</t>
  </si>
  <si>
    <t>Tax Invoice : INW47576</t>
  </si>
  <si>
    <t>SMI002</t>
  </si>
  <si>
    <t>Tax Invoice : INW47577</t>
  </si>
  <si>
    <t>Tax Invoice : INW47578</t>
  </si>
  <si>
    <t>Tax Invoice : INW47579</t>
  </si>
  <si>
    <t>RAV001</t>
  </si>
  <si>
    <t>Tax Invoice : INW47580</t>
  </si>
  <si>
    <t>ATT: RAVI</t>
  </si>
  <si>
    <t>Tax Invoice : INW47581</t>
  </si>
  <si>
    <t>Tax Invoice : INW47582</t>
  </si>
  <si>
    <t>Tax Invoice : INW47583</t>
  </si>
  <si>
    <t>Tax Invoice : INW47584</t>
  </si>
  <si>
    <t>Tax Invoice : INW47585</t>
  </si>
  <si>
    <t>DN269/45</t>
  </si>
  <si>
    <t>Tax Invoice : INW47586</t>
  </si>
  <si>
    <t>Tax Invoice : INW47587</t>
  </si>
  <si>
    <t>SCO005</t>
  </si>
  <si>
    <t>Tax Invoice : INW47588</t>
  </si>
  <si>
    <t>COMM INV: 891/2026</t>
  </si>
  <si>
    <t>NOV002</t>
  </si>
  <si>
    <t>Tax Invoice : INW47589</t>
  </si>
  <si>
    <t>Tax Invoice : INW47590</t>
  </si>
  <si>
    <t>Tax Invoice : INW47591</t>
  </si>
  <si>
    <t>Tax Invoice : INW47592</t>
  </si>
  <si>
    <t>PO#PO101541</t>
  </si>
  <si>
    <t>Tax Invoice : INW47593</t>
  </si>
  <si>
    <t>BIANCA JOHNATHAN</t>
  </si>
  <si>
    <t>Tax Invoice : INW47594</t>
  </si>
  <si>
    <t>Tax Invoice : INW47595</t>
  </si>
  <si>
    <t>Tax Invoice : INW47596</t>
  </si>
  <si>
    <t>Tax Invoice : INW47597</t>
  </si>
  <si>
    <t>Tax Invoice : INW47598</t>
  </si>
  <si>
    <t>Tax Invoice : INW47599</t>
  </si>
  <si>
    <t>NSW001</t>
  </si>
  <si>
    <t>Tax Invoice : INW47600</t>
  </si>
  <si>
    <t>COMM INV: 876/2026</t>
  </si>
  <si>
    <t>MEB001</t>
  </si>
  <si>
    <t>Tax Invoice : INW47601</t>
  </si>
  <si>
    <t>Tax Invoice : INW47602</t>
  </si>
  <si>
    <t>Tax Invoice : INW47603</t>
  </si>
  <si>
    <t>PO#35794</t>
  </si>
  <si>
    <t>Tax Invoice : INW47604</t>
  </si>
  <si>
    <t>OKH001</t>
  </si>
  <si>
    <t>Tax Invoice : INW47605</t>
  </si>
  <si>
    <t>PO#5933_27</t>
  </si>
  <si>
    <t>RAC002</t>
  </si>
  <si>
    <t>Tax Invoice : INW47606</t>
  </si>
  <si>
    <t>Tax Invoice : INW47607</t>
  </si>
  <si>
    <t>SOF022</t>
  </si>
  <si>
    <t>Tax Invoice : INW47608</t>
  </si>
  <si>
    <t>PO#SOLO3DIV</t>
  </si>
  <si>
    <t>Tax Invoice : INW47609</t>
  </si>
  <si>
    <t>PO#SOLO DAYBED</t>
  </si>
  <si>
    <t>Tax Invoice : INW47610</t>
  </si>
  <si>
    <t>Tax Invoice : INW47611</t>
  </si>
  <si>
    <t>Tax Invoice : INW47612</t>
  </si>
  <si>
    <t>Tax Invoice : INW47613</t>
  </si>
  <si>
    <t>Tax Invoice : INW47614</t>
  </si>
  <si>
    <t>POD08579</t>
  </si>
  <si>
    <t>Tax Invoice : INW47615</t>
  </si>
  <si>
    <t>WLF001</t>
  </si>
  <si>
    <t>Tax Invoice : INW47616</t>
  </si>
  <si>
    <t>Tax Invoice : INW47617</t>
  </si>
  <si>
    <t>POD08481</t>
  </si>
  <si>
    <t>Tax Invoice : INW47618</t>
  </si>
  <si>
    <t>JOY001</t>
  </si>
  <si>
    <t>Tax Invoice : INW47619</t>
  </si>
  <si>
    <t>Tax Invoice : INW47620</t>
  </si>
  <si>
    <t>Tax Invoice : INW47621</t>
  </si>
  <si>
    <t>Tax Invoice : INW47622</t>
  </si>
  <si>
    <t>Tax Invoice : INW47623</t>
  </si>
  <si>
    <t>ATT:SHARON</t>
  </si>
  <si>
    <t>SOF008</t>
  </si>
  <si>
    <t>Tax Invoice : INW47624</t>
  </si>
  <si>
    <t>PO: 00101967`</t>
  </si>
  <si>
    <t>Tax Invoice : INW47625</t>
  </si>
  <si>
    <t>ATT:NESH</t>
  </si>
  <si>
    <t>TEB003</t>
  </si>
  <si>
    <t>Tax Invoice : INW47626</t>
  </si>
  <si>
    <t>Tax Invoice : INW47627</t>
  </si>
  <si>
    <t>MEY001</t>
  </si>
  <si>
    <t>Tax Invoice : INW47628</t>
  </si>
  <si>
    <t>PO#23725</t>
  </si>
  <si>
    <t>MAD008</t>
  </si>
  <si>
    <t>Tax Invoice : INW47629</t>
  </si>
  <si>
    <t>UGF001</t>
  </si>
  <si>
    <t>Tax Invoice : INW47630</t>
  </si>
  <si>
    <t>PO: 0022813</t>
  </si>
  <si>
    <t>WIL008</t>
  </si>
  <si>
    <t>Tax Invoice : INW47631</t>
  </si>
  <si>
    <t>Tax Invoice : INW47632</t>
  </si>
  <si>
    <t>Tax Invoice : INW47633</t>
  </si>
  <si>
    <t>Tax Invoice : INW47634</t>
  </si>
  <si>
    <t>Tax Invoice : INW47635</t>
  </si>
  <si>
    <t>Tax Invoice : INW47636</t>
  </si>
  <si>
    <t>Tax Invoice : INW47637</t>
  </si>
  <si>
    <t>Tax Invoice : INW47638</t>
  </si>
  <si>
    <t>ANG002</t>
  </si>
  <si>
    <t>Tax Invoice : INW47639</t>
  </si>
  <si>
    <t>PO: 111240</t>
  </si>
  <si>
    <t>Tax Invoice : INW47640</t>
  </si>
  <si>
    <t>OKI001</t>
  </si>
  <si>
    <t>Tax Invoice : INW47641</t>
  </si>
  <si>
    <t>Tax Invoice : INW47642</t>
  </si>
  <si>
    <t>PO: 15580 &amp; PO: 15591</t>
  </si>
  <si>
    <t>Tax Invoice : INW47643</t>
  </si>
  <si>
    <t>Tax Invoice : INW47644</t>
  </si>
  <si>
    <t>Tax Invoice : INW47645</t>
  </si>
  <si>
    <t>Tax Invoice : INW47646</t>
  </si>
  <si>
    <t>Tax Invoice : INW47647</t>
  </si>
  <si>
    <t>Tax Invoice : INW47648</t>
  </si>
  <si>
    <t>PO:LB260227-2 RE-INVOICE</t>
  </si>
  <si>
    <t>Tax Invoice : INW47649</t>
  </si>
  <si>
    <t>WAL004</t>
  </si>
  <si>
    <t>Tax Invoice : INW47650</t>
  </si>
  <si>
    <t>Tax Invoice : INW47651</t>
  </si>
  <si>
    <t>POD08586</t>
  </si>
  <si>
    <t>Tax Invoice : INW47652</t>
  </si>
  <si>
    <t>Tax Invoice : INW47653</t>
  </si>
  <si>
    <t>Tax Invoice : INW47654</t>
  </si>
  <si>
    <t>Tax Invoice : INW47655</t>
  </si>
  <si>
    <t>Tax Invoice : INW47656</t>
  </si>
  <si>
    <t>Tax Invoice : INW47657</t>
  </si>
  <si>
    <t>PO: LB260305-5</t>
  </si>
  <si>
    <t>Tax Invoice : INW47658</t>
  </si>
  <si>
    <t>Tax Invoice : INW47659</t>
  </si>
  <si>
    <t>Tax Invoice : INW47660</t>
  </si>
  <si>
    <t>LOU011</t>
  </si>
  <si>
    <t>Tax Invoice : INW47661</t>
  </si>
  <si>
    <t>Tax Invoice : INW47662</t>
  </si>
  <si>
    <t>PO #36222</t>
  </si>
  <si>
    <t>Tax Invoice : INW47663</t>
  </si>
  <si>
    <t>Tax Invoice : INW47664</t>
  </si>
  <si>
    <t>Tax Invoice : INW47665</t>
  </si>
  <si>
    <t>Tax Invoice : INW47666</t>
  </si>
  <si>
    <t>Tax Invoice : INW47667</t>
  </si>
  <si>
    <t>Tax Invoice : INW47668</t>
  </si>
  <si>
    <t>Tax Invoice : INW47669</t>
  </si>
  <si>
    <t>Tax Invoice : INW47670</t>
  </si>
  <si>
    <t>POD08536</t>
  </si>
  <si>
    <t>Tax Invoice : INW47671</t>
  </si>
  <si>
    <t>POD08533</t>
  </si>
  <si>
    <t>MAK006</t>
  </si>
  <si>
    <t>Tax Invoice : INW47672</t>
  </si>
  <si>
    <t>Tax Invoice : INW47673</t>
  </si>
  <si>
    <t>Tax Invoice : INW47674</t>
  </si>
  <si>
    <t>Tax Invoice : INW47675</t>
  </si>
  <si>
    <t>PO#K3X8</t>
  </si>
  <si>
    <t>Tax Invoice : INW47676</t>
  </si>
  <si>
    <t>PO#95011</t>
  </si>
  <si>
    <t>Tax Invoice : INW47677</t>
  </si>
  <si>
    <t>PO#19497</t>
  </si>
  <si>
    <t>Tax Invoice : INW47678</t>
  </si>
  <si>
    <t>PO#2862</t>
  </si>
  <si>
    <t>Tax Invoice : INW47679</t>
  </si>
  <si>
    <t>Tax Invoice : INW47680</t>
  </si>
  <si>
    <t>Tax Invoice : INW47681</t>
  </si>
  <si>
    <t>Tax Invoice : INW47682</t>
  </si>
  <si>
    <t>GUMEDES GUEST BEDROOMS</t>
  </si>
  <si>
    <t>AND004</t>
  </si>
  <si>
    <t>Tax Invoice : INW47683</t>
  </si>
  <si>
    <t>POD08598</t>
  </si>
  <si>
    <t>HHC001</t>
  </si>
  <si>
    <t>Tax Invoice : INW47684</t>
  </si>
  <si>
    <t>COW002</t>
  </si>
  <si>
    <t>Tax Invoice : INW47685</t>
  </si>
  <si>
    <t>Tax Invoice : INW47686</t>
  </si>
  <si>
    <t>RED001</t>
  </si>
  <si>
    <t>Tax Invoice : INW47687</t>
  </si>
  <si>
    <t>Tax Invoice : INW47688</t>
  </si>
  <si>
    <t>PO#36234</t>
  </si>
  <si>
    <t>PER007</t>
  </si>
  <si>
    <t>Tax Invoice : INW47689</t>
  </si>
  <si>
    <t>NICK01</t>
  </si>
  <si>
    <t>Tax Invoice : INW47690</t>
  </si>
  <si>
    <t>Tax Invoice : INW47691</t>
  </si>
  <si>
    <t>Tax Invoice : INW47692</t>
  </si>
  <si>
    <t>Tax Invoice : INW47693</t>
  </si>
  <si>
    <t>Tax Invoice : INW47694</t>
  </si>
  <si>
    <t>SO1002</t>
  </si>
  <si>
    <t>Tax Invoice : INW47695</t>
  </si>
  <si>
    <t>Tax Invoice : INW47696</t>
  </si>
  <si>
    <t>JAN012</t>
  </si>
  <si>
    <t>Tax Invoice : INW47697</t>
  </si>
  <si>
    <t>JIM001</t>
  </si>
  <si>
    <t>Tax Invoice : INW47698</t>
  </si>
  <si>
    <t>Tax Invoice : INW47699</t>
  </si>
  <si>
    <t>Tax Invoice : INW47700</t>
  </si>
  <si>
    <t>Tax Invoice : INW47701</t>
  </si>
  <si>
    <t>BOS003</t>
  </si>
  <si>
    <t>Tax Invoice : INW47702</t>
  </si>
  <si>
    <t>CAP017</t>
  </si>
  <si>
    <t>Tax Invoice : INW47703</t>
  </si>
  <si>
    <t>PO#L/1038</t>
  </si>
  <si>
    <t>Tax Invoice : INW47704</t>
  </si>
  <si>
    <t>Tax Invoice : INW47705</t>
  </si>
  <si>
    <t>Tax Invoice : INW47706</t>
  </si>
  <si>
    <t>Tax Invoice : INW47707</t>
  </si>
  <si>
    <t>PON002</t>
  </si>
  <si>
    <t>Tax Invoice : INW47708</t>
  </si>
  <si>
    <t>SA001</t>
  </si>
  <si>
    <t>Tax Invoice : INW47709</t>
  </si>
  <si>
    <t>Tax Invoice : INW47710</t>
  </si>
  <si>
    <t>LUKAS</t>
  </si>
  <si>
    <t>Tax Invoice : INW47711</t>
  </si>
  <si>
    <t>TORRENS</t>
  </si>
  <si>
    <t>Tax Invoice : INW47712</t>
  </si>
  <si>
    <t>Tax Invoice : INW47713</t>
  </si>
  <si>
    <t>ALBERT</t>
  </si>
  <si>
    <t>Tax Invoice : INW47714</t>
  </si>
  <si>
    <t>Tax Invoice : INW47715</t>
  </si>
  <si>
    <t>CLIVE</t>
  </si>
  <si>
    <t>Tax Invoice : INW47716</t>
  </si>
  <si>
    <t>DANIE</t>
  </si>
  <si>
    <t>Tax Invoice : INW47717</t>
  </si>
  <si>
    <t>RUS003</t>
  </si>
  <si>
    <t>Tax Invoice : INW47718</t>
  </si>
  <si>
    <t>NAS005</t>
  </si>
  <si>
    <t>Tax Invoice : INW47719</t>
  </si>
  <si>
    <t>Tax Invoice : INW47720</t>
  </si>
  <si>
    <t>TAN003</t>
  </si>
  <si>
    <t>Tax Invoice : INW47721</t>
  </si>
  <si>
    <t>Tax Invoice : INW47722</t>
  </si>
  <si>
    <t>DOU002</t>
  </si>
  <si>
    <t>Tax Invoice : INW47723</t>
  </si>
  <si>
    <t>Tax Invoice : INW47724</t>
  </si>
  <si>
    <t>PONTE INV29472</t>
  </si>
  <si>
    <t>SYM002</t>
  </si>
  <si>
    <t>Tax Invoice : INW47725</t>
  </si>
  <si>
    <t>Tax Invoice : INW47726</t>
  </si>
  <si>
    <t>Tax Invoice : INW47727</t>
  </si>
  <si>
    <t>Tax Invoice : INW47728</t>
  </si>
  <si>
    <t>SA002</t>
  </si>
  <si>
    <t>Tax Invoice : INW47729</t>
  </si>
  <si>
    <t>ATT: ANDRE</t>
  </si>
  <si>
    <t>Tax Invoice : INW47730</t>
  </si>
  <si>
    <t>SHOWROOM SKINS</t>
  </si>
  <si>
    <t>SAV003</t>
  </si>
  <si>
    <t>Tax Invoice : INW47731</t>
  </si>
  <si>
    <t>ATT: MAX</t>
  </si>
  <si>
    <t>Tax Invoice : INW47732</t>
  </si>
  <si>
    <t>THA003</t>
  </si>
  <si>
    <t>Tax Invoice : INW47733</t>
  </si>
  <si>
    <t>VARIOUS O/N</t>
  </si>
  <si>
    <t>Tax Invoice : INW47734</t>
  </si>
  <si>
    <t>MEU001</t>
  </si>
  <si>
    <t>Tax Invoice : INW47735</t>
  </si>
  <si>
    <t>NAUD01</t>
  </si>
  <si>
    <t>Tax Invoice : INW47736</t>
  </si>
  <si>
    <t>Tax Invoice : INW47737</t>
  </si>
  <si>
    <t>ATT: WYNNE</t>
  </si>
  <si>
    <t>Tax Invoice : INW47738</t>
  </si>
  <si>
    <t>Tax Invoice : INW47739</t>
  </si>
  <si>
    <t>DOU005</t>
  </si>
  <si>
    <t>Tax Invoice : INW47740</t>
  </si>
  <si>
    <t>BAT033</t>
  </si>
  <si>
    <t>Tax Invoice : INW47741</t>
  </si>
  <si>
    <t>BAO002</t>
  </si>
  <si>
    <t>Tax Invoice : INW47742</t>
  </si>
  <si>
    <t>ATT: BIANCA</t>
  </si>
  <si>
    <t>Tax Invoice : INW47743</t>
  </si>
  <si>
    <t>DAN004</t>
  </si>
  <si>
    <t>Tax Invoice : INW47744</t>
  </si>
  <si>
    <t>Tax Invoice : INW47745</t>
  </si>
  <si>
    <t>Tax Invoice : INW47746</t>
  </si>
  <si>
    <t>POD08543</t>
  </si>
  <si>
    <t>Tax Invoice : INW47747</t>
  </si>
  <si>
    <t>Tax Invoice : INW47748</t>
  </si>
  <si>
    <t>Tax Invoice : INW47749</t>
  </si>
  <si>
    <t>Tax Invoice : INW47750</t>
  </si>
  <si>
    <t>Tax Invoice : INW47751</t>
  </si>
  <si>
    <t>LES010</t>
  </si>
  <si>
    <t>Tax Invoice : INW47752</t>
  </si>
  <si>
    <t>Tax Invoice : INW47753</t>
  </si>
  <si>
    <t>Tax Invoice : INW47754</t>
  </si>
  <si>
    <t>Tax Invoice : INW47755</t>
  </si>
  <si>
    <t>Tax Invoice : INW47756</t>
  </si>
  <si>
    <t>Tax Invoice : INW47757</t>
  </si>
  <si>
    <t>Tax Invoice : INW47758</t>
  </si>
  <si>
    <t>NIC012</t>
  </si>
  <si>
    <t>Tax Invoice : INW47759</t>
  </si>
  <si>
    <t>Tax Invoice : INW47760</t>
  </si>
  <si>
    <t>DME001</t>
  </si>
  <si>
    <t>Tax Invoice : INW47761</t>
  </si>
  <si>
    <t>Tax Invoice : INW47762</t>
  </si>
  <si>
    <t>PO: 11/03/2026 CHRIS</t>
  </si>
  <si>
    <t>Tax Invoice : INW47763</t>
  </si>
  <si>
    <t>Tax Invoice : INW47764</t>
  </si>
  <si>
    <t>ATT; MOH</t>
  </si>
  <si>
    <t>COB002</t>
  </si>
  <si>
    <t>Tax Invoice : INW47765</t>
  </si>
  <si>
    <t>Tax Invoice : INW47766</t>
  </si>
  <si>
    <t>SLE002</t>
  </si>
  <si>
    <t>Tax Invoice : INW47767</t>
  </si>
  <si>
    <t>PO#46</t>
  </si>
  <si>
    <t>Tax Invoice : INW47768</t>
  </si>
  <si>
    <t>Tax Invoice : INW47769</t>
  </si>
  <si>
    <t>Tax Invoice : INW47770</t>
  </si>
  <si>
    <t>SEB011</t>
  </si>
  <si>
    <t>Tax Invoice : INW47771</t>
  </si>
  <si>
    <t>Tax Invoice : INW47772</t>
  </si>
  <si>
    <t>Tax Invoice : INW47773</t>
  </si>
  <si>
    <t>Tax Invoice : INW47774</t>
  </si>
  <si>
    <t>Tax Invoice : INW47775</t>
  </si>
  <si>
    <t>Tax Invoice : INW47776</t>
  </si>
  <si>
    <t>Tax Invoice : INW47777</t>
  </si>
  <si>
    <t>YEL003</t>
  </si>
  <si>
    <t>Tax Invoice : INW47778</t>
  </si>
  <si>
    <t>Tax Invoice : INW47779</t>
  </si>
  <si>
    <t>Tax Invoice : INW47780</t>
  </si>
  <si>
    <t>POD08557</t>
  </si>
  <si>
    <t>Tax Invoice : INW47781</t>
  </si>
  <si>
    <t>Tax Invoice : INW47782</t>
  </si>
  <si>
    <t>POD08600</t>
  </si>
  <si>
    <t>Tax Invoice : INW47783</t>
  </si>
  <si>
    <t>ELA003</t>
  </si>
  <si>
    <t>Tax Invoice : INW47784</t>
  </si>
  <si>
    <t>Tax Invoice : INW47785</t>
  </si>
  <si>
    <t>COO001</t>
  </si>
  <si>
    <t>Tax Invoice : INW47786</t>
  </si>
  <si>
    <t>Tax Invoice : INW47787</t>
  </si>
  <si>
    <t>Tax Invoice : INW47788</t>
  </si>
  <si>
    <t>PO#MARIUS</t>
  </si>
  <si>
    <t>Tax Invoice : INW47789</t>
  </si>
  <si>
    <t>Tax Invoice : INW47790</t>
  </si>
  <si>
    <t>PO# GLENN</t>
  </si>
  <si>
    <t>Tax Invoice : INW47791</t>
  </si>
  <si>
    <t>Tax Invoice : INW47792</t>
  </si>
  <si>
    <t>Tax Invoice : INW47793</t>
  </si>
  <si>
    <t>Tax Invoice : INW47794</t>
  </si>
  <si>
    <t>Tax Invoice : INW47795</t>
  </si>
  <si>
    <t>PO#NANDOS DANCASTER</t>
  </si>
  <si>
    <t>Tax Invoice : INW47796</t>
  </si>
  <si>
    <t>MET003</t>
  </si>
  <si>
    <t>Tax Invoice : INW47797</t>
  </si>
  <si>
    <t>BEAT01</t>
  </si>
  <si>
    <t>Tax Invoice : INW47798</t>
  </si>
  <si>
    <t>GDE001</t>
  </si>
  <si>
    <t>Tax Invoice : INW47799</t>
  </si>
  <si>
    <t>Tax Invoice : INW47800</t>
  </si>
  <si>
    <t>TOU005</t>
  </si>
  <si>
    <t>Tax Invoice : INW47801</t>
  </si>
  <si>
    <t>RAG002</t>
  </si>
  <si>
    <t>Tax Invoice : INW47802</t>
  </si>
  <si>
    <t>Tax Invoice : INW47803</t>
  </si>
  <si>
    <t>Tax Invoice : INW47804</t>
  </si>
  <si>
    <t>DEO008</t>
  </si>
  <si>
    <t>Tax Invoice : INW47805</t>
  </si>
  <si>
    <t>Tax Invoice : INW47806</t>
  </si>
  <si>
    <t>MARC06</t>
  </si>
  <si>
    <t>Tax Invoice : INW47807</t>
  </si>
  <si>
    <t>Tax Invoice : INW47808</t>
  </si>
  <si>
    <t>DIAZ01</t>
  </si>
  <si>
    <t>Tax Invoice : INW47809</t>
  </si>
  <si>
    <t>ATT:ZAID</t>
  </si>
  <si>
    <t>Tax Invoice : INW47810</t>
  </si>
  <si>
    <t>RHU003</t>
  </si>
  <si>
    <t>Tax Invoice : INW47811</t>
  </si>
  <si>
    <t>ATT: RHU</t>
  </si>
  <si>
    <t>GAM003</t>
  </si>
  <si>
    <t>Tax Invoice : INW47812</t>
  </si>
  <si>
    <t>Tax Invoice : INW47813</t>
  </si>
  <si>
    <t>Tax Invoice : INW47814</t>
  </si>
  <si>
    <t>SME001</t>
  </si>
  <si>
    <t>Tax Invoice : INW47815</t>
  </si>
  <si>
    <t>ART.SKS</t>
  </si>
  <si>
    <t>HID021</t>
  </si>
  <si>
    <t>Tax Invoice : INW47816</t>
  </si>
  <si>
    <t>Tax Invoice : INW47817</t>
  </si>
  <si>
    <t>Tax Invoice : INW47818</t>
  </si>
  <si>
    <t>PO#ART.GIAN</t>
  </si>
  <si>
    <t>Tax Invoice : INW47819</t>
  </si>
  <si>
    <t>Tax Invoice : INW47820</t>
  </si>
  <si>
    <t>Tax Invoice : INW47821</t>
  </si>
  <si>
    <t>Tax Invoice : INW47822</t>
  </si>
  <si>
    <t>POD08602</t>
  </si>
  <si>
    <t>STU008</t>
  </si>
  <si>
    <t>Tax Invoice : INW47823</t>
  </si>
  <si>
    <t>Tax Invoice : INW47824</t>
  </si>
  <si>
    <t>Tax Invoice : INW47825</t>
  </si>
  <si>
    <t>Tax Invoice : INW47826</t>
  </si>
  <si>
    <t>Tax Invoice : INW47827</t>
  </si>
  <si>
    <t>Tax Invoice : INW47828</t>
  </si>
  <si>
    <t>Tax Invoice : INW47829</t>
  </si>
  <si>
    <t>Tax Invoice : INW47830</t>
  </si>
  <si>
    <t>Tax Invoice : INW47831</t>
  </si>
  <si>
    <t>D3F001</t>
  </si>
  <si>
    <t>Tax Invoice : INW47832</t>
  </si>
  <si>
    <t>BEC002</t>
  </si>
  <si>
    <t>Tax Invoice : INW47833</t>
  </si>
  <si>
    <t>Tax Invoice : INW47834</t>
  </si>
  <si>
    <t>Tax Invoice : INW47835</t>
  </si>
  <si>
    <t>PO#A3X8</t>
  </si>
  <si>
    <t>Tax Invoice : INW47836</t>
  </si>
  <si>
    <t>BLU004</t>
  </si>
  <si>
    <t>Tax Invoice : INW47837</t>
  </si>
  <si>
    <t>Tax Invoice : INW47838</t>
  </si>
  <si>
    <t>CHEIKU</t>
  </si>
  <si>
    <t>Tax Invoice : INW47839</t>
  </si>
  <si>
    <t>O/N: DUBE</t>
  </si>
  <si>
    <t>TAG001</t>
  </si>
  <si>
    <t>Tax Invoice : INW47840</t>
  </si>
  <si>
    <t>ATT: CASSANDRA</t>
  </si>
  <si>
    <t>ILOV00</t>
  </si>
  <si>
    <t>Tax Invoice : INW47841</t>
  </si>
  <si>
    <t>ATT: DINGAAN</t>
  </si>
  <si>
    <t>Tax Invoice : INW47842</t>
  </si>
  <si>
    <t>PO:3111</t>
  </si>
  <si>
    <t>NIN002</t>
  </si>
  <si>
    <t>Tax Invoice : INW47843</t>
  </si>
  <si>
    <t>MAR000</t>
  </si>
  <si>
    <t>Tax Invoice : INW47844</t>
  </si>
  <si>
    <t>HOU015</t>
  </si>
  <si>
    <t>Tax Invoice : INW47845</t>
  </si>
  <si>
    <t>Tax Invoice : INW47846</t>
  </si>
  <si>
    <t>PO#2881</t>
  </si>
  <si>
    <t>Tax Invoice : INW47847</t>
  </si>
  <si>
    <t>Tax Invoice : INW47848</t>
  </si>
  <si>
    <t>Tax Invoice : INW47849</t>
  </si>
  <si>
    <t>Tax Invoice : INW47850</t>
  </si>
  <si>
    <t>Tax Invoice : INW47851</t>
  </si>
  <si>
    <t>Tax Invoice : INW47852</t>
  </si>
  <si>
    <t>Tax Invoice : INW47853</t>
  </si>
  <si>
    <t>MAR051</t>
  </si>
  <si>
    <t>Tax Invoice : INW47854</t>
  </si>
  <si>
    <t>Tax Invoice : INW47855</t>
  </si>
  <si>
    <t>Tax Invoice : INW47856</t>
  </si>
  <si>
    <t>Tax Invoice : INW47857</t>
  </si>
  <si>
    <t>IVY001</t>
  </si>
  <si>
    <t>Tax Invoice : INW47858</t>
  </si>
  <si>
    <t>WIL019</t>
  </si>
  <si>
    <t>Tax Invoice : INW47859</t>
  </si>
  <si>
    <t>Tax Invoice : INW47860</t>
  </si>
  <si>
    <t>Tax Invoice : INW47861</t>
  </si>
  <si>
    <t>Tax Invoice : INW47862</t>
  </si>
  <si>
    <t>JAY001</t>
  </si>
  <si>
    <t>Tax Invoice : INW47863</t>
  </si>
  <si>
    <t>ATT; VEEZ</t>
  </si>
  <si>
    <t>SOL005</t>
  </si>
  <si>
    <t>Tax Invoice : INW47864</t>
  </si>
  <si>
    <t>ATT: BLAKE</t>
  </si>
  <si>
    <t>Tax Invoice : INW47865</t>
  </si>
  <si>
    <t>Tax Invoice : INW47866</t>
  </si>
  <si>
    <t>PO#01702</t>
  </si>
  <si>
    <t>Tax Invoice : INW47867</t>
  </si>
  <si>
    <t>PAI003</t>
  </si>
  <si>
    <t>Tax Invoice : INW47868</t>
  </si>
  <si>
    <t>Tax Invoice : INW47869</t>
  </si>
  <si>
    <t>Tax Invoice : INW47870</t>
  </si>
  <si>
    <t>Tax Invoice : INW47871</t>
  </si>
  <si>
    <t>Tax Invoice : INW47872</t>
  </si>
  <si>
    <t>Tax Invoice : INW47873</t>
  </si>
  <si>
    <t>Tax Invoice : INW47874</t>
  </si>
  <si>
    <t>SAL012</t>
  </si>
  <si>
    <t>Tax Invoice : INW47875</t>
  </si>
  <si>
    <t>ATT: TIM</t>
  </si>
  <si>
    <t>Tax Invoice : INW47876</t>
  </si>
  <si>
    <t>Tax Invoice : INW47877</t>
  </si>
  <si>
    <t>Tax Invoice : INW47878</t>
  </si>
  <si>
    <t>MAG010</t>
  </si>
  <si>
    <t>Tax Invoice : INW47879</t>
  </si>
  <si>
    <t>Tax Invoice : INW47880</t>
  </si>
  <si>
    <t>34820-COMPLETE</t>
  </si>
  <si>
    <t>Tax Invoice : INW47881</t>
  </si>
  <si>
    <t>TSH001</t>
  </si>
  <si>
    <t>Tax Invoice : INW47882</t>
  </si>
  <si>
    <t>Tax Invoice : INW47883</t>
  </si>
  <si>
    <t>CRE016</t>
  </si>
  <si>
    <t>Tax Invoice : INW47884</t>
  </si>
  <si>
    <t>AND006</t>
  </si>
  <si>
    <t>Tax Invoice : INW47885</t>
  </si>
  <si>
    <t>AND013</t>
  </si>
  <si>
    <t>Tax Invoice : INW47886</t>
  </si>
  <si>
    <t>PJM001</t>
  </si>
  <si>
    <t>Tax Invoice : INW47887</t>
  </si>
  <si>
    <t>Tax Invoice : INW47888</t>
  </si>
  <si>
    <t>Tax Invoice : INW47889</t>
  </si>
  <si>
    <t>Tax Invoice : INW47890</t>
  </si>
  <si>
    <t>Tax Invoice : INW47891</t>
  </si>
  <si>
    <t>FOR015</t>
  </si>
  <si>
    <t>Tax Invoice : INW47892</t>
  </si>
  <si>
    <t>Tax Invoice : INW47893</t>
  </si>
  <si>
    <t>THE018</t>
  </si>
  <si>
    <t>Tax Invoice : INW47894</t>
  </si>
  <si>
    <t>Tax Invoice : INW47895</t>
  </si>
  <si>
    <t>Tax Invoice : INW47896</t>
  </si>
  <si>
    <t>PO#106575</t>
  </si>
  <si>
    <t>Tax Invoice : INW47897</t>
  </si>
  <si>
    <t>ERI001</t>
  </si>
  <si>
    <t>Tax Invoice : INW47898</t>
  </si>
  <si>
    <t>ABM002</t>
  </si>
  <si>
    <t>Tax Invoice : INW47899</t>
  </si>
  <si>
    <t>Tax Invoice : INW47900</t>
  </si>
  <si>
    <t>EGG001</t>
  </si>
  <si>
    <t>Tax Invoice : INW47901</t>
  </si>
  <si>
    <t>O/N: NG2673</t>
  </si>
  <si>
    <t>SCH004</t>
  </si>
  <si>
    <t>Tax Invoice : INW47902</t>
  </si>
  <si>
    <t>JOU001</t>
  </si>
  <si>
    <t>Tax Invoice : INW47903</t>
  </si>
  <si>
    <t>ATT: NINA</t>
  </si>
  <si>
    <t>NAV002</t>
  </si>
  <si>
    <t>Tax Invoice : INW47904</t>
  </si>
  <si>
    <t>Tax Invoice : INW47905</t>
  </si>
  <si>
    <t>Tax Invoice : INW47906</t>
  </si>
  <si>
    <t>Tax Invoice : INW47907</t>
  </si>
  <si>
    <t>Tax Invoice : INW47908</t>
  </si>
  <si>
    <t>Tax Invoice : INW47909</t>
  </si>
  <si>
    <t>AND007</t>
  </si>
  <si>
    <t>Tax Invoice : INW47910</t>
  </si>
  <si>
    <t>OLI008</t>
  </si>
  <si>
    <t>Tax Invoice : INW47911</t>
  </si>
  <si>
    <t>Tax Invoice : INW47912</t>
  </si>
  <si>
    <t>Tax Invoice : INW47913</t>
  </si>
  <si>
    <t>Tax Invoice : INW47914</t>
  </si>
  <si>
    <t>Tax Invoice : INW47915</t>
  </si>
  <si>
    <t>Tax Invoice : INW47916</t>
  </si>
  <si>
    <t>Tax Invoice : INW47917</t>
  </si>
  <si>
    <t>ALC001</t>
  </si>
  <si>
    <t>Tax Invoice : INW47918</t>
  </si>
  <si>
    <t>ATT; GLORIA</t>
  </si>
  <si>
    <t>DJE001</t>
  </si>
  <si>
    <t>Tax Invoice : INW47919</t>
  </si>
  <si>
    <t>Tax Invoice : INW47920</t>
  </si>
  <si>
    <t>Tax Invoice : INW47921</t>
  </si>
  <si>
    <t>Tax Invoice : INW47922</t>
  </si>
  <si>
    <t>PO: LB260317-2</t>
  </si>
  <si>
    <t>GH001</t>
  </si>
  <si>
    <t>Tax Invoice : INW47923</t>
  </si>
  <si>
    <t>COMM INV: 890/2026</t>
  </si>
  <si>
    <t>Tax Invoice : INW47924</t>
  </si>
  <si>
    <t>Tax Invoice : INW47925</t>
  </si>
  <si>
    <t>Tax Invoice : INW47926</t>
  </si>
  <si>
    <t>Tax Invoice : INW47927</t>
  </si>
  <si>
    <t>POD08604</t>
  </si>
  <si>
    <t>TSO003</t>
  </si>
  <si>
    <t>Tax Invoice : INW47928</t>
  </si>
  <si>
    <t>HOR003</t>
  </si>
  <si>
    <t>Tax Invoice : INW47929</t>
  </si>
  <si>
    <t>Tax Invoice : INW47930</t>
  </si>
  <si>
    <t>DANMAR</t>
  </si>
  <si>
    <t>Tax Invoice : INW47931</t>
  </si>
  <si>
    <t>Tax Invoice : INW47932</t>
  </si>
  <si>
    <t>Tax Invoice : INW47933</t>
  </si>
  <si>
    <t>DON009</t>
  </si>
  <si>
    <t>Tax Invoice : INW47934</t>
  </si>
  <si>
    <t>PO#26/02/44</t>
  </si>
  <si>
    <t>Tax Invoice : INW47935</t>
  </si>
  <si>
    <t>Tax Invoice : INW47936</t>
  </si>
  <si>
    <t>Tax Invoice : INW47937</t>
  </si>
  <si>
    <t>PMI001</t>
  </si>
  <si>
    <t>Tax Invoice : INW47938</t>
  </si>
  <si>
    <t>Tax Invoice : INW47939</t>
  </si>
  <si>
    <t>Tax Invoice : INW47940</t>
  </si>
  <si>
    <t>Tax Invoice : INW47941</t>
  </si>
  <si>
    <t>Tax Invoice : INW47942</t>
  </si>
  <si>
    <t>Tax Invoice : INW47943</t>
  </si>
  <si>
    <t>Tax Invoice : INW47944</t>
  </si>
  <si>
    <t>Tax Invoice : INW47945</t>
  </si>
  <si>
    <t>Tax Invoice : INW47946</t>
  </si>
  <si>
    <t>IBR001</t>
  </si>
  <si>
    <t>Tax Invoice : INW47947</t>
  </si>
  <si>
    <t>Tax Invoice : INW47948</t>
  </si>
  <si>
    <t>MAR037</t>
  </si>
  <si>
    <t>Tax Invoice : INW47949</t>
  </si>
  <si>
    <t>Tax Invoice : INW47950</t>
  </si>
  <si>
    <t>ATT: ORSELY</t>
  </si>
  <si>
    <t>Tax Invoice : INW47951</t>
  </si>
  <si>
    <t>Tax Invoice : INW47952</t>
  </si>
  <si>
    <t>CRA020</t>
  </si>
  <si>
    <t>Tax Invoice : INW47953</t>
  </si>
  <si>
    <t>ATT: KUDA</t>
  </si>
  <si>
    <t>Tax Invoice : INW47954</t>
  </si>
  <si>
    <t>Tax Invoice : INW47955</t>
  </si>
  <si>
    <t>Tax Invoice : INW47956</t>
  </si>
  <si>
    <t>BAB001</t>
  </si>
  <si>
    <t>Tax Invoice : INW47957</t>
  </si>
  <si>
    <t>Tax Invoice : INW47958</t>
  </si>
  <si>
    <t>HAD002</t>
  </si>
  <si>
    <t>Tax Invoice : INW47959</t>
  </si>
  <si>
    <t>Tax Invoice : INW47960</t>
  </si>
  <si>
    <t>PO#19503</t>
  </si>
  <si>
    <t>Tax Invoice : INW47961</t>
  </si>
  <si>
    <t>Tax Invoice : INW47962</t>
  </si>
  <si>
    <t>Tax Invoice : INW47963</t>
  </si>
  <si>
    <t>POD08606</t>
  </si>
  <si>
    <t>LUT004</t>
  </si>
  <si>
    <t>Tax Invoice : INW47964</t>
  </si>
  <si>
    <t>ATT: ALAN CUBA FOR LUTHER</t>
  </si>
  <si>
    <t>Tax Invoice : INW47965</t>
  </si>
  <si>
    <t>Tax Invoice : INW47966</t>
  </si>
  <si>
    <t>Tax Invoice : INW47967</t>
  </si>
  <si>
    <t>Tax Invoice : INW47968</t>
  </si>
  <si>
    <t>Tax Invoice : INW47969</t>
  </si>
  <si>
    <t>DADA KITCHEN</t>
  </si>
  <si>
    <t>Tax Invoice : INW47970</t>
  </si>
  <si>
    <t>Tax Invoice : INW47971</t>
  </si>
  <si>
    <t>POD08607</t>
  </si>
  <si>
    <t>NEL020</t>
  </si>
  <si>
    <t>Tax Invoice : INW47972</t>
  </si>
  <si>
    <t>SPOTIFY</t>
  </si>
  <si>
    <t>Tax Invoice : INW47973</t>
  </si>
  <si>
    <t>SOF021</t>
  </si>
  <si>
    <t>Tax Invoice : INW47974</t>
  </si>
  <si>
    <t>ATT: MFUNDO</t>
  </si>
  <si>
    <t>Tax Invoice : INW47975</t>
  </si>
  <si>
    <t>Tax Invoice : INW47976</t>
  </si>
  <si>
    <t>Tax Invoice : INW47977</t>
  </si>
  <si>
    <t>Tax Invoice : INW47978</t>
  </si>
  <si>
    <t>Tax Invoice : INW47979</t>
  </si>
  <si>
    <t>Tax Invoice : INW47980</t>
  </si>
  <si>
    <t>Tax Invoice : INW47981</t>
  </si>
  <si>
    <t>Tax Invoice : INW47982</t>
  </si>
  <si>
    <t>Tax Invoice : INW47983</t>
  </si>
  <si>
    <t>Tax Invoice : INW47984</t>
  </si>
  <si>
    <t>HOU013</t>
  </si>
  <si>
    <t>Tax Invoice : INW47985</t>
  </si>
  <si>
    <t>ATT : TIM 081 339 8206</t>
  </si>
  <si>
    <t>DEA011</t>
  </si>
  <si>
    <t>Tax Invoice : INW47986</t>
  </si>
  <si>
    <t>ATT: DEAN</t>
  </si>
  <si>
    <t>Tax Invoice : INW47987</t>
  </si>
  <si>
    <t>Tax Invoice : INW47988</t>
  </si>
  <si>
    <t>Tax Invoice : INW47989</t>
  </si>
  <si>
    <t>Tax Invoice : INW47990</t>
  </si>
  <si>
    <t>ATT: VEEZ</t>
  </si>
  <si>
    <t>LEA025</t>
  </si>
  <si>
    <t>Tax Invoice : INW47991</t>
  </si>
  <si>
    <t>Tax Invoice : INW47992</t>
  </si>
  <si>
    <t>VAR001</t>
  </si>
  <si>
    <t>Tax Invoice : INW47993</t>
  </si>
  <si>
    <t>EP10</t>
  </si>
  <si>
    <t>Tax Invoice : INW47994</t>
  </si>
  <si>
    <t>TOM006</t>
  </si>
  <si>
    <t>Tax Invoice : INW47995</t>
  </si>
  <si>
    <t>Tax Invoice : INW47996</t>
  </si>
  <si>
    <t>Tax Invoice : INW47997</t>
  </si>
  <si>
    <t>Tax Invoice : INW47998</t>
  </si>
  <si>
    <t>Tax Invoice : INW47999</t>
  </si>
  <si>
    <t>Tax Invoice : INW48000</t>
  </si>
  <si>
    <t>Tax Invoice : INW48001</t>
  </si>
  <si>
    <t>WAL010</t>
  </si>
  <si>
    <t>Tax Invoice : INW48002</t>
  </si>
  <si>
    <t>Tax Invoice : INW48003</t>
  </si>
  <si>
    <t>Tax Invoice : INW48004</t>
  </si>
  <si>
    <t>SOM006</t>
  </si>
  <si>
    <t>Tax Invoice : INW48005</t>
  </si>
  <si>
    <t>Tax Invoice : INW48006</t>
  </si>
  <si>
    <t>Tax Invoice : INW48007</t>
  </si>
  <si>
    <t>Tax Invoice : INW48008</t>
  </si>
  <si>
    <t>Tax Invoice : INW48009</t>
  </si>
  <si>
    <t>PO 36367</t>
  </si>
  <si>
    <t>Tax Invoice : INW48010</t>
  </si>
  <si>
    <t>Tax Invoice : INW48011</t>
  </si>
  <si>
    <t>CHAPANDUKA</t>
  </si>
  <si>
    <t>Tax Invoice : INW48012</t>
  </si>
  <si>
    <t>PO# A3 X 8</t>
  </si>
  <si>
    <t>Tax Invoice : INW48013</t>
  </si>
  <si>
    <t>Tax Invoice : INW48014</t>
  </si>
  <si>
    <t>Tax Invoice : INW48015</t>
  </si>
  <si>
    <t>Tax Invoice : INW48016</t>
  </si>
  <si>
    <t>Tax Invoice : INW48017</t>
  </si>
  <si>
    <t>Tax Invoice : INW48018</t>
  </si>
  <si>
    <t>Tax Invoice : INW48019</t>
  </si>
  <si>
    <t>Tax Invoice : INW48020</t>
  </si>
  <si>
    <t>HAM003</t>
  </si>
  <si>
    <t>Tax Invoice : INW48021</t>
  </si>
  <si>
    <t>Tax Invoice : INW48022</t>
  </si>
  <si>
    <t>Tax Invoice : INW48023</t>
  </si>
  <si>
    <t>Tax Invoice : INW48024</t>
  </si>
  <si>
    <t>Tax Invoice : INW48025</t>
  </si>
  <si>
    <t>Tax Invoice : INW48026</t>
  </si>
  <si>
    <t>PO#6852</t>
  </si>
  <si>
    <t>Tax Invoice : INW48027</t>
  </si>
  <si>
    <t>Tax Invoice : INW48028</t>
  </si>
  <si>
    <t>ATT: CHRIS</t>
  </si>
  <si>
    <t>Tax Invoice : INW48029</t>
  </si>
  <si>
    <t>ATT: ALISTAIR</t>
  </si>
  <si>
    <t>EXP001</t>
  </si>
  <si>
    <t>Tax Invoice : INW48030</t>
  </si>
  <si>
    <t>MAG008</t>
  </si>
  <si>
    <t>Tax Invoice : INW48031</t>
  </si>
  <si>
    <t>THE11</t>
  </si>
  <si>
    <t>Tax Invoice : INW48032</t>
  </si>
  <si>
    <t>Tax Invoice : INW48033</t>
  </si>
  <si>
    <t>Tax Invoice : INW48034</t>
  </si>
  <si>
    <t>Tax Invoice : INW48035</t>
  </si>
  <si>
    <t>RIK001</t>
  </si>
  <si>
    <t>Tax Invoice : INW48036</t>
  </si>
  <si>
    <t>Tax Invoice : INW48037</t>
  </si>
  <si>
    <t>Tax Invoice : INW48038</t>
  </si>
  <si>
    <t>COA003</t>
  </si>
  <si>
    <t>Tax Invoice : INW48039</t>
  </si>
  <si>
    <t>Tax Invoice : INW48040</t>
  </si>
  <si>
    <t>Tax Invoice : INW48041</t>
  </si>
  <si>
    <t>Tax Invoice : INW48042</t>
  </si>
  <si>
    <t>Tax Invoice : INW48043</t>
  </si>
  <si>
    <t>Tax Invoice : INW48044</t>
  </si>
  <si>
    <t>Tax Invoice : INW48045</t>
  </si>
  <si>
    <t>Tax Invoice : INW48046</t>
  </si>
  <si>
    <t>Tax Invoice : INW48047</t>
  </si>
  <si>
    <t>Tax Invoice : INW48048</t>
  </si>
  <si>
    <t>ATT:BLAKE SORRENTO COFFEE</t>
  </si>
  <si>
    <t>Tax Invoice : INW48049</t>
  </si>
  <si>
    <t>Tax Invoice : INW48050</t>
  </si>
  <si>
    <t>Tax Invoice : INW48051</t>
  </si>
  <si>
    <t>Tax Invoice : INW48052</t>
  </si>
  <si>
    <t>ROS021</t>
  </si>
  <si>
    <t>Tax Invoice : INW48053</t>
  </si>
  <si>
    <t>Tax Invoice : INW48054</t>
  </si>
  <si>
    <t>ANG004</t>
  </si>
  <si>
    <t>Tax Invoice : INW48055</t>
  </si>
  <si>
    <t>BUL001</t>
  </si>
  <si>
    <t>Tax Invoice : INW48056</t>
  </si>
  <si>
    <t>Tax Invoice : INW48057</t>
  </si>
  <si>
    <t>DN272.06</t>
  </si>
  <si>
    <t>RED008</t>
  </si>
  <si>
    <t>Tax Invoice : INW48058</t>
  </si>
  <si>
    <t>HAN006</t>
  </si>
  <si>
    <t>Tax Invoice : INW48059</t>
  </si>
  <si>
    <t>MAL005</t>
  </si>
  <si>
    <t>Tax Invoice : INW48060</t>
  </si>
  <si>
    <t>Tax Invoice : INW48061</t>
  </si>
  <si>
    <t>Tax Invoice : INW48062</t>
  </si>
  <si>
    <t>KEL002</t>
  </si>
  <si>
    <t>Tax Invoice : INW48063</t>
  </si>
  <si>
    <t>KAN001</t>
  </si>
  <si>
    <t>Tax Invoice : INW48064</t>
  </si>
  <si>
    <t>Tax Invoice : INW48065</t>
  </si>
  <si>
    <t>Tax Invoice : INW48066</t>
  </si>
  <si>
    <t>Tax Invoice : INW48067</t>
  </si>
  <si>
    <t>AFD INV29509</t>
  </si>
  <si>
    <t>Tax Invoice : INW48068</t>
  </si>
  <si>
    <t>Tax Invoice : INW48069</t>
  </si>
  <si>
    <t>Tax Invoice : INW48070</t>
  </si>
  <si>
    <t>Tax Invoice : INW48071</t>
  </si>
  <si>
    <t>Tax Invoice : INW48072</t>
  </si>
  <si>
    <t>BOR013</t>
  </si>
  <si>
    <t>Tax Invoice : INW48073</t>
  </si>
  <si>
    <t>Tax Invoice : INW48074</t>
  </si>
  <si>
    <t>AFD INV29525</t>
  </si>
  <si>
    <t>Tax Invoice : INW48075</t>
  </si>
  <si>
    <t>Tax Invoice : INW48076</t>
  </si>
  <si>
    <t>Tax Invoice : INW48077</t>
  </si>
  <si>
    <t>POD08556</t>
  </si>
  <si>
    <t>Tax Invoice : INW48078</t>
  </si>
  <si>
    <t>PO: 3095 &amp;DN270.10</t>
  </si>
  <si>
    <t>MAN001</t>
  </si>
  <si>
    <t>Tax Invoice : INW48079</t>
  </si>
  <si>
    <t>ATT: CLAUS</t>
  </si>
  <si>
    <t>Tax Invoice : INW48080</t>
  </si>
  <si>
    <t>Tax Invoice : INW48081</t>
  </si>
  <si>
    <t>ADA011</t>
  </si>
  <si>
    <t>Tax Invoice : INW48082</t>
  </si>
  <si>
    <t>Tax Invoice : INW48083</t>
  </si>
  <si>
    <t>PO# MOI MOI</t>
  </si>
  <si>
    <t>Tax Invoice : INW48084</t>
  </si>
  <si>
    <t>SER009</t>
  </si>
  <si>
    <t>Tax Invoice : INW48085</t>
  </si>
  <si>
    <t>Tax Invoice : INW48086</t>
  </si>
  <si>
    <t>MKL001</t>
  </si>
  <si>
    <t>Tax Invoice : INW48087</t>
  </si>
  <si>
    <t>Tax Invoice : INW48088</t>
  </si>
  <si>
    <t>PAT006</t>
  </si>
  <si>
    <t>Tax Invoice : INW48089</t>
  </si>
  <si>
    <t>Tax Invoice : INW48090</t>
  </si>
  <si>
    <t>ARM004</t>
  </si>
  <si>
    <t>Tax Invoice : INW48091</t>
  </si>
  <si>
    <t>Tax Invoice : INW48092</t>
  </si>
  <si>
    <t>Tax Invoice : INW48093</t>
  </si>
  <si>
    <t>Tax Invoice : INW48094</t>
  </si>
  <si>
    <t>Tax Invoice : INW48095</t>
  </si>
  <si>
    <t>PO#BW1340</t>
  </si>
  <si>
    <t>Tax Invoice : INW48096</t>
  </si>
  <si>
    <t>Tax Invoice : INW48097</t>
  </si>
  <si>
    <t>DEE001</t>
  </si>
  <si>
    <t>Tax Invoice : INW48098</t>
  </si>
  <si>
    <t>NANDO'S CARDINAL CORNER</t>
  </si>
  <si>
    <t>Tax Invoice : INW48099</t>
  </si>
  <si>
    <t>Tax Invoice : INW48100</t>
  </si>
  <si>
    <t>Tax Invoice : INW48101</t>
  </si>
  <si>
    <t>Tax Invoice : INW48102</t>
  </si>
  <si>
    <t>PAT001</t>
  </si>
  <si>
    <t>Tax Invoice : INW48103</t>
  </si>
  <si>
    <t>PO#BROOKLYN MALL</t>
  </si>
  <si>
    <t>Tax Invoice : INW48104</t>
  </si>
  <si>
    <t>Tax Invoice : INW48105</t>
  </si>
  <si>
    <t>Tax Invoice : INW48106</t>
  </si>
  <si>
    <t>MAG001</t>
  </si>
  <si>
    <t>Tax Invoice : INW48107</t>
  </si>
  <si>
    <t>Tax Invoice : INW48108</t>
  </si>
  <si>
    <t>Tax Invoice : INW48109</t>
  </si>
  <si>
    <t>Tax Invoice : INW48110</t>
  </si>
  <si>
    <t>Tax Invoice : INW48111</t>
  </si>
  <si>
    <t>Tax Invoice : INW48112</t>
  </si>
  <si>
    <t>TRANSPORT</t>
  </si>
  <si>
    <t>MCO001</t>
  </si>
  <si>
    <t>Tax Invoice : INW48113</t>
  </si>
  <si>
    <t>AJK003</t>
  </si>
  <si>
    <t>Tax Invoice : INW48114</t>
  </si>
  <si>
    <t>EAS004</t>
  </si>
  <si>
    <t>Tax Invoice : INW48115</t>
  </si>
  <si>
    <t>THE04</t>
  </si>
  <si>
    <t>Tax Invoice : INW48116</t>
  </si>
  <si>
    <t>Tax Invoice : INW48117</t>
  </si>
  <si>
    <t>Tax Invoice : INW48118</t>
  </si>
  <si>
    <t>LIY001</t>
  </si>
  <si>
    <t>Tax Invoice : INW48119</t>
  </si>
  <si>
    <t>ATT: NADIA</t>
  </si>
  <si>
    <t>Tax Invoice : INW48120</t>
  </si>
  <si>
    <t>MAN020</t>
  </si>
  <si>
    <t>Tax Invoice : INW48121</t>
  </si>
  <si>
    <t>Tax Invoice : INW48122</t>
  </si>
  <si>
    <t>TFC001</t>
  </si>
  <si>
    <t>Tax Invoice : INW48123</t>
  </si>
  <si>
    <t>Tax Invoice : INW48124</t>
  </si>
  <si>
    <t>Tax Invoice : INW48125</t>
  </si>
  <si>
    <t>Tax Invoice : INW48126</t>
  </si>
  <si>
    <t>Tax Invoice : INW48127</t>
  </si>
  <si>
    <t>Tax Invoice : INW48128</t>
  </si>
  <si>
    <t>Tax Invoice : INW48129</t>
  </si>
  <si>
    <t>LEA053</t>
  </si>
  <si>
    <t>Tax Invoice : INW48130</t>
  </si>
  <si>
    <t>Tax Invoice : INW48131</t>
  </si>
  <si>
    <t>Tax Invoice : INW48132</t>
  </si>
  <si>
    <t>Tax Invoice : INW48133</t>
  </si>
  <si>
    <t>Tax Invoice : INW48134</t>
  </si>
  <si>
    <t>Tax Invoice : INW48135</t>
  </si>
  <si>
    <t>PO - SK SHOWROOM</t>
  </si>
  <si>
    <t>Tax Invoice : INW48136</t>
  </si>
  <si>
    <t>Tax Invoice : INW48137</t>
  </si>
  <si>
    <t>DOK001</t>
  </si>
  <si>
    <t>Tax Invoice : INW48138</t>
  </si>
  <si>
    <t>Tax Invoice : INW48139</t>
  </si>
  <si>
    <t>Tax Invoice : INW48140</t>
  </si>
  <si>
    <t>Tax Invoice : INW48141</t>
  </si>
  <si>
    <t>Tax Invoice : INW48142</t>
  </si>
  <si>
    <t>Tax Invoice : INW48143</t>
  </si>
  <si>
    <t>Tax Invoice : INW48144</t>
  </si>
  <si>
    <t>Tax Invoice : INW48145</t>
  </si>
  <si>
    <t>EGA002</t>
  </si>
  <si>
    <t>Tax Invoice : INW48146</t>
  </si>
  <si>
    <t>Tax Invoice : INW48147</t>
  </si>
  <si>
    <t>Tax Invoice : INW48148</t>
  </si>
  <si>
    <t>Tax Invoice : INW48149</t>
  </si>
  <si>
    <t>Tax Invoice : INW48150</t>
  </si>
  <si>
    <t>LEA034</t>
  </si>
  <si>
    <t>Tax Invoice : INW48151</t>
  </si>
  <si>
    <t>Tax Invoice : INW48152</t>
  </si>
  <si>
    <t>Tax Invoice : INW48153</t>
  </si>
  <si>
    <t>Tax Invoice : INW48154</t>
  </si>
  <si>
    <t>PO#K3X5</t>
  </si>
  <si>
    <t>Tax Invoice : INW48155</t>
  </si>
  <si>
    <t>PO#94515</t>
  </si>
  <si>
    <t>GLE004</t>
  </si>
  <si>
    <t>Tax Invoice : INW48156</t>
  </si>
  <si>
    <t>Tax Invoice : INW48157</t>
  </si>
  <si>
    <t>ATT: JASON</t>
  </si>
  <si>
    <t>THE077</t>
  </si>
  <si>
    <t>Tax Invoice : INW48158</t>
  </si>
  <si>
    <t>ATT: MIDLANDS COBBLER</t>
  </si>
  <si>
    <t>Tax Invoice : INW48159</t>
  </si>
  <si>
    <t>Tax Invoice : INW48160</t>
  </si>
  <si>
    <t>KER021</t>
  </si>
  <si>
    <t>Tax Invoice : INW48161</t>
  </si>
  <si>
    <t>Tax Invoice : INW48162</t>
  </si>
  <si>
    <t>Tax Invoice : INW48163</t>
  </si>
  <si>
    <t>Tax Invoice : INW48164</t>
  </si>
  <si>
    <t>Tax Invoice : INW48165</t>
  </si>
  <si>
    <t>ATT: DARREN BARNARD</t>
  </si>
  <si>
    <t>TRI020</t>
  </si>
  <si>
    <t>Tax Invoice : INW48166</t>
  </si>
  <si>
    <t>ATT: MANDIE</t>
  </si>
  <si>
    <t>Tax Invoice : INW48167</t>
  </si>
  <si>
    <t>Tax Invoice : INW48168</t>
  </si>
  <si>
    <t>Tax Invoice : INW48169</t>
  </si>
  <si>
    <t>SWE002</t>
  </si>
  <si>
    <t>Tax Invoice : INW48170</t>
  </si>
  <si>
    <t>ATT: STACY/CHEY</t>
  </si>
  <si>
    <t>Tax Invoice : INW48171</t>
  </si>
  <si>
    <t>FUR006</t>
  </si>
  <si>
    <t>Tax Invoice : INW48172</t>
  </si>
  <si>
    <t>Tax Invoice : INW48173</t>
  </si>
  <si>
    <t>ZUK001</t>
  </si>
  <si>
    <t>Tax Invoice : INW48174</t>
  </si>
  <si>
    <t>Tax Invoice : INW48175</t>
  </si>
  <si>
    <t>Tax Invoice : INW48176</t>
  </si>
  <si>
    <t>Tax Invoice : INW48177</t>
  </si>
  <si>
    <t>Tax Invoice : INW48178</t>
  </si>
  <si>
    <t>Tax Invoice : INW48179</t>
  </si>
  <si>
    <t>Tax Invoice : INW48180</t>
  </si>
  <si>
    <t>CANCEL</t>
  </si>
  <si>
    <t>Tax Invoice : INW48181</t>
  </si>
  <si>
    <t>Tax Invoice : INW48182</t>
  </si>
  <si>
    <t>PO# CLAIM</t>
  </si>
  <si>
    <t>Tax Invoice : INW48183</t>
  </si>
  <si>
    <t>MOT006</t>
  </si>
  <si>
    <t>Tax Invoice : INW48184</t>
  </si>
  <si>
    <t>Tax Invoice : INW48185</t>
  </si>
  <si>
    <t>BUR001</t>
  </si>
  <si>
    <t>Tax Invoice : INW48186</t>
  </si>
  <si>
    <t>POD08577</t>
  </si>
  <si>
    <t>Tax Invoice : INW48187</t>
  </si>
  <si>
    <t>POD08566</t>
  </si>
  <si>
    <t>CAL003</t>
  </si>
  <si>
    <t>Tax Invoice : INW48188</t>
  </si>
  <si>
    <t>Tax Invoice : INW48189</t>
  </si>
  <si>
    <t>POD08578</t>
  </si>
  <si>
    <t>HEE001</t>
  </si>
  <si>
    <t>Tax Invoice : INW48190</t>
  </si>
  <si>
    <t>Tax Invoice : INW48191</t>
  </si>
  <si>
    <t>Tax Invoice : INW48192</t>
  </si>
  <si>
    <t>POD08590</t>
  </si>
  <si>
    <t>Tax Invoice : INW48193</t>
  </si>
  <si>
    <t>Tax Invoice : INW48194</t>
  </si>
  <si>
    <t>POD08558</t>
  </si>
  <si>
    <t>Tax Invoice : INW48195</t>
  </si>
  <si>
    <t>POD08580</t>
  </si>
  <si>
    <t>Tax Invoice : INW48196</t>
  </si>
  <si>
    <t>Tax Invoice : INW48197</t>
  </si>
  <si>
    <t>POD08553</t>
  </si>
  <si>
    <t>Tax Invoice : INW48198</t>
  </si>
  <si>
    <t>Tax Invoice : INW48199</t>
  </si>
  <si>
    <t>Tax Invoice : INW48200</t>
  </si>
  <si>
    <t>Tax Invoice : INW48201</t>
  </si>
  <si>
    <t>Tax Invoice : INW48202</t>
  </si>
  <si>
    <t>Tax Invoice : INW48203</t>
  </si>
  <si>
    <t>Tax Invoice : INW48204</t>
  </si>
  <si>
    <t>Tax Invoice : INW48205</t>
  </si>
  <si>
    <t>Tax Invoice : INW48206</t>
  </si>
  <si>
    <t>Tax Invoice : INW48207</t>
  </si>
  <si>
    <t>Tax Invoice : INW48208</t>
  </si>
  <si>
    <t>POD08615</t>
  </si>
  <si>
    <t>Tax Invoice : INW48209</t>
  </si>
  <si>
    <t>Tax Invoice : INW48210</t>
  </si>
  <si>
    <t>DEA015</t>
  </si>
  <si>
    <t>Tax Invoice : INW48211</t>
  </si>
  <si>
    <t>Tax Invoice : INW48212</t>
  </si>
  <si>
    <t>NEW012</t>
  </si>
  <si>
    <t>Tax Invoice : INW48213</t>
  </si>
  <si>
    <t>Tax Invoice : INW48214</t>
  </si>
  <si>
    <t>DEW003</t>
  </si>
  <si>
    <t>Tax Invoice : INW48215</t>
  </si>
  <si>
    <t>Tax Invoice : INW48216</t>
  </si>
  <si>
    <t>COMM INV:894/2026</t>
  </si>
  <si>
    <t>Tax Invoice : INW48217</t>
  </si>
  <si>
    <t>Tax Invoice : INW48218</t>
  </si>
  <si>
    <t>LIO003</t>
  </si>
  <si>
    <t>Tax Invoice : INW48219</t>
  </si>
  <si>
    <t>MYS001</t>
  </si>
  <si>
    <t>Tax Invoice : INW48220</t>
  </si>
  <si>
    <t>Tax Invoice : INW48221</t>
  </si>
  <si>
    <t>Tax Invoice : INW48222</t>
  </si>
  <si>
    <t>Tax Invoice : INW48224</t>
  </si>
  <si>
    <t>Tax Invoice : INW48225</t>
  </si>
  <si>
    <t>PO#6646</t>
  </si>
  <si>
    <t>Tax Invoice : INW48226</t>
  </si>
  <si>
    <t>PO#23801</t>
  </si>
  <si>
    <t>CAT007</t>
  </si>
  <si>
    <t>Tax Invoice : INW48227</t>
  </si>
  <si>
    <t>BUS002</t>
  </si>
  <si>
    <t>Tax Invoice : INW48228</t>
  </si>
  <si>
    <t>Tax Invoice : INW48229</t>
  </si>
  <si>
    <t>Tax Invoice : INW48230</t>
  </si>
  <si>
    <t>GECO PROFIT INVEST</t>
  </si>
  <si>
    <t>Tax Invoice : INW48231</t>
  </si>
  <si>
    <t>Tax Invoice : INW48232</t>
  </si>
  <si>
    <t>PO#02289</t>
  </si>
  <si>
    <t>ELI009</t>
  </si>
  <si>
    <t>Tax Invoice : INW48233</t>
  </si>
  <si>
    <t>SKA001</t>
  </si>
  <si>
    <t>Tax Invoice : INW48234</t>
  </si>
  <si>
    <t>Tax Invoice : INW48235</t>
  </si>
  <si>
    <t>Tax Invoice : INW48236</t>
  </si>
  <si>
    <t>Tax Invoice : INW48237</t>
  </si>
  <si>
    <t>INT030</t>
  </si>
  <si>
    <t>Tax Invoice : INW48238</t>
  </si>
  <si>
    <t>Tax Invoice : INW48239</t>
  </si>
  <si>
    <t>Tax Invoice : INW48240</t>
  </si>
  <si>
    <t>LEATHERWIZE STUDENT</t>
  </si>
  <si>
    <t>Tax Invoice : INW48241</t>
  </si>
  <si>
    <t>Tax Invoice : INW48242</t>
  </si>
  <si>
    <t>Tax Invoice : INW48243</t>
  </si>
  <si>
    <t>Tax Invoice : INW48244</t>
  </si>
  <si>
    <t>CAR01</t>
  </si>
  <si>
    <t>Tax Invoice : INW48245</t>
  </si>
  <si>
    <t>FOR009</t>
  </si>
  <si>
    <t>Tax Invoice : INW48246</t>
  </si>
  <si>
    <t>LYN004</t>
  </si>
  <si>
    <t>Tax Invoice : INW48247</t>
  </si>
  <si>
    <t>MAR038</t>
  </si>
  <si>
    <t>Tax Invoice : INW48248</t>
  </si>
  <si>
    <t>GLO004</t>
  </si>
  <si>
    <t>Tax Invoice : INW48249</t>
  </si>
  <si>
    <t>Tax Invoice : INW48250</t>
  </si>
  <si>
    <t>Tax Invoice : INW48251</t>
  </si>
  <si>
    <t>HZ001</t>
  </si>
  <si>
    <t>Tax Invoice : INW48252</t>
  </si>
  <si>
    <t>SLE004</t>
  </si>
  <si>
    <t>Tax Invoice : INW48253</t>
  </si>
  <si>
    <t>Tax Invoice : INW48254</t>
  </si>
  <si>
    <t>Tax Invoice : INW48255</t>
  </si>
  <si>
    <t>Tax Invoice : INW48256</t>
  </si>
  <si>
    <t>Tax Invoice : INW48257</t>
  </si>
  <si>
    <t>CHA030</t>
  </si>
  <si>
    <t>Tax Invoice : INW48258</t>
  </si>
  <si>
    <t>Tax Invoice : INW48259</t>
  </si>
  <si>
    <t>Tax Invoice : INW48260</t>
  </si>
  <si>
    <t>LOC003</t>
  </si>
  <si>
    <t>Tax Invoice : INW48261</t>
  </si>
  <si>
    <t>Tax Invoice : INW48262</t>
  </si>
  <si>
    <t>Tax Invoice : INW48263</t>
  </si>
  <si>
    <t>Tax Invoice : INW48264</t>
  </si>
  <si>
    <t>Tax Invoice : INW48265</t>
  </si>
  <si>
    <t>Tax Invoice : INW48266</t>
  </si>
  <si>
    <t>Tax Invoice : INW48267</t>
  </si>
  <si>
    <t>MORNE</t>
  </si>
  <si>
    <t>Tax Invoice : INW48268</t>
  </si>
  <si>
    <t>Tax Invoice : INW48269</t>
  </si>
  <si>
    <t>PO - MOZAMBIK 2</t>
  </si>
  <si>
    <t>Tax Invoice : INW48270</t>
  </si>
  <si>
    <t>PO - MOZAMBIK 1</t>
  </si>
  <si>
    <t>Tax Invoice : INW48271</t>
  </si>
  <si>
    <t>PO - MOZAMBIK 3</t>
  </si>
  <si>
    <t>Tax Invoice : INW48272</t>
  </si>
  <si>
    <t>Tax Invoice : INW48273</t>
  </si>
  <si>
    <t>Tax Invoice : INW48274</t>
  </si>
  <si>
    <t>Tax Invoice : INW48275</t>
  </si>
  <si>
    <t>Tax Invoice : INW48276</t>
  </si>
  <si>
    <t>Tax Invoice : INW48277</t>
  </si>
  <si>
    <t>Tax Invoice : INW48278</t>
  </si>
  <si>
    <t>Tax Invoice : INW48279</t>
  </si>
  <si>
    <t>Tax Invoice : INW48280</t>
  </si>
  <si>
    <t>Tax Invoice : INW48281</t>
  </si>
  <si>
    <t>Tax Invoice : INW48282</t>
  </si>
  <si>
    <t>Tax Invoice : INW48283</t>
  </si>
  <si>
    <t>Tax Invoice : INW48284</t>
  </si>
  <si>
    <t>Tax Invoice : INW48285</t>
  </si>
  <si>
    <t>Tax Invoice : INW48286</t>
  </si>
  <si>
    <t>Tax Invoice : INW48287</t>
  </si>
  <si>
    <t>Tax Invoice : INW48288</t>
  </si>
  <si>
    <t>Tax Invoice : INW48289</t>
  </si>
  <si>
    <t>Tax Invoice : INW48290</t>
  </si>
  <si>
    <t>Tax Invoice : INW48291</t>
  </si>
  <si>
    <t>Tax Invoice : INW48292</t>
  </si>
  <si>
    <t>Tax Invoice : INW48293</t>
  </si>
  <si>
    <t>Tax Invoice : INW48294</t>
  </si>
  <si>
    <t>ATT: PREM</t>
  </si>
  <si>
    <t>Tax Invoice : INW48295</t>
  </si>
  <si>
    <t>Tax Invoice : INW48296</t>
  </si>
  <si>
    <t>PO: 111265</t>
  </si>
  <si>
    <t>Tax Invoice : INW48297</t>
  </si>
  <si>
    <t>ATT:NUREN</t>
  </si>
  <si>
    <t>Tax Invoice : INW48298</t>
  </si>
  <si>
    <t>Tax Invoice : INW48299</t>
  </si>
  <si>
    <t>NKA001</t>
  </si>
  <si>
    <t>Tax Invoice : INW48300</t>
  </si>
  <si>
    <t>ATT: NKANYISO</t>
  </si>
  <si>
    <t>Tax Invoice : INW48301</t>
  </si>
  <si>
    <t>Tax Invoice : INW48302</t>
  </si>
  <si>
    <t>COMM INV: 883/2026</t>
  </si>
  <si>
    <t>Tax Invoice : INW48303</t>
  </si>
  <si>
    <t>COMM INV: 884/2026</t>
  </si>
  <si>
    <t>Tax Invoice : INW48304</t>
  </si>
  <si>
    <t>Tax Invoice : INW48305</t>
  </si>
  <si>
    <t>Tax Invoice : INW48306</t>
  </si>
  <si>
    <t>COMM INV: 885/2026</t>
  </si>
  <si>
    <t>Tax Invoice : INW48307</t>
  </si>
  <si>
    <t>Tax Invoice : INW48308</t>
  </si>
  <si>
    <t>COMM INV: 886/2026</t>
  </si>
  <si>
    <t>Tax Invoice : INW48309</t>
  </si>
  <si>
    <t>COMM INV: 887/2026</t>
  </si>
  <si>
    <t>Tax Invoice : INW48310</t>
  </si>
  <si>
    <t>Tax Invoice : INW48311</t>
  </si>
  <si>
    <t>Tax Invoice : INW48312</t>
  </si>
  <si>
    <t>Tax Invoice : INW48313</t>
  </si>
  <si>
    <t>Tax Invoice : INW48314</t>
  </si>
  <si>
    <t>Tax Invoice : INW48315</t>
  </si>
  <si>
    <t>Tax Invoice : INW48316</t>
  </si>
  <si>
    <t>Tax Invoice : INW48317</t>
  </si>
  <si>
    <t>Tax Invoice : INW48318</t>
  </si>
  <si>
    <t>ATT: CANDICE</t>
  </si>
  <si>
    <t>JAK012</t>
  </si>
  <si>
    <t>Tax Invoice : INW48319</t>
  </si>
  <si>
    <t>Tax Invoice : INW48320</t>
  </si>
  <si>
    <t>Tax Invoice : INW48321</t>
  </si>
  <si>
    <t>Tax Invoice : INW48323</t>
  </si>
  <si>
    <t>Tax Invoice : INW48324</t>
  </si>
  <si>
    <t>Tax Invoice : INW48325</t>
  </si>
  <si>
    <t>Tax Invoice : INW48326</t>
  </si>
  <si>
    <t>LIN013</t>
  </si>
  <si>
    <t>Tax Invoice : INW48327</t>
  </si>
  <si>
    <t>Tax Invoice : INW48328</t>
  </si>
  <si>
    <t>Tax Invoice : INW48329</t>
  </si>
  <si>
    <t>BAN001</t>
  </si>
  <si>
    <t>Tax Invoice : INW48330</t>
  </si>
  <si>
    <t>Tax Invoice : INW48331</t>
  </si>
  <si>
    <t>Tax Invoice : INW48332</t>
  </si>
  <si>
    <t>Tax Invoice : INW48333</t>
  </si>
  <si>
    <t>Tax Invoice : INW48334</t>
  </si>
  <si>
    <t>HDM001</t>
  </si>
  <si>
    <t>Tax Invoice : INW48335</t>
  </si>
  <si>
    <t>IPI001</t>
  </si>
  <si>
    <t>Tax Invoice : INW48336</t>
  </si>
  <si>
    <t>Tax Invoice : INW48337</t>
  </si>
  <si>
    <t>Tax Invoice : INW48338</t>
  </si>
  <si>
    <t>THE03</t>
  </si>
  <si>
    <t>Tax Invoice : INW48339</t>
  </si>
  <si>
    <t>ATT: THEO</t>
  </si>
  <si>
    <t>Tax Invoice : INW48340</t>
  </si>
  <si>
    <t>QUA002</t>
  </si>
  <si>
    <t>Tax Invoice : INW48341</t>
  </si>
  <si>
    <t>Tax Invoice : INW48342</t>
  </si>
  <si>
    <t>Tax Invoice : INW48343</t>
  </si>
  <si>
    <t>Tax Invoice : INW48344</t>
  </si>
  <si>
    <t>Tax Invoice : INW48345</t>
  </si>
  <si>
    <t>Tax Invoice : INW48346</t>
  </si>
  <si>
    <t>Tax Invoice : INW48347</t>
  </si>
  <si>
    <t>MOZAMBIK LOUNGE CHAIRS</t>
  </si>
  <si>
    <t>Tax Invoice : INW48348</t>
  </si>
  <si>
    <t>PO: HOUSE WOOD</t>
  </si>
  <si>
    <t>Tax Invoice : INW48349</t>
  </si>
  <si>
    <t>PO # 36678</t>
  </si>
  <si>
    <t>Tax Invoice : INW48350</t>
  </si>
  <si>
    <t>Tax Invoice : INW48351</t>
  </si>
  <si>
    <t>Tax Invoice : INW48353</t>
  </si>
  <si>
    <t>Tax Invoice : INW48354</t>
  </si>
  <si>
    <t>VIS002</t>
  </si>
  <si>
    <t>Tax Invoice : INW48355</t>
  </si>
  <si>
    <t>BUD001</t>
  </si>
  <si>
    <t>Tax Invoice : INW48357</t>
  </si>
  <si>
    <t>Tax Invoice : INW48358</t>
  </si>
  <si>
    <t>Tax Invoice : INW48359</t>
  </si>
  <si>
    <t>Tax Invoice : INW48360</t>
  </si>
  <si>
    <t>WIG001</t>
  </si>
  <si>
    <t>Tax Invoice : INW48361</t>
  </si>
  <si>
    <t>Tax Invoice : INW48362</t>
  </si>
  <si>
    <t>Tax Invoice : INW48363</t>
  </si>
  <si>
    <t>Tax Invoice : INW48364</t>
  </si>
  <si>
    <t>Tax Invoice : INW48365</t>
  </si>
  <si>
    <t>Tax Invoice : INW48366</t>
  </si>
  <si>
    <t>Tax Invoice : INW48367</t>
  </si>
  <si>
    <t>MAR045</t>
  </si>
  <si>
    <t>Tax Invoice : INW48368</t>
  </si>
  <si>
    <t>Tax Invoice : INW48369</t>
  </si>
  <si>
    <t>Tax Invoice : INW48370</t>
  </si>
  <si>
    <t>Tax Invoice : INW48371</t>
  </si>
  <si>
    <t>Tax Invoice : INW48372</t>
  </si>
  <si>
    <t>Tax Invoice : INW48373</t>
  </si>
  <si>
    <t>Tax Invoice : INW48374</t>
  </si>
  <si>
    <t>Tax Invoice : INW48375</t>
  </si>
  <si>
    <t>ALE007</t>
  </si>
  <si>
    <t>Tax Invoice : INW48376</t>
  </si>
  <si>
    <t>ATT: ALEHANDRO</t>
  </si>
  <si>
    <t>Tax Invoice : INW48377</t>
  </si>
  <si>
    <t>Tax Invoice : INW48378</t>
  </si>
  <si>
    <t>Tax Invoice : INW48379</t>
  </si>
  <si>
    <t>Tax Invoice : INW48380</t>
  </si>
  <si>
    <t>Tax Invoice : INW48381</t>
  </si>
  <si>
    <t>Tax Invoice : INW48382</t>
  </si>
  <si>
    <t>JAN015</t>
  </si>
  <si>
    <t>Tax Invoice : INW48383</t>
  </si>
  <si>
    <t>Tax Invoice : INW48384</t>
  </si>
  <si>
    <t>LEO007</t>
  </si>
  <si>
    <t>Tax Invoice : INW48385</t>
  </si>
  <si>
    <t>COMM INV: 896/2026</t>
  </si>
  <si>
    <t>COM013</t>
  </si>
  <si>
    <t>Tax Invoice : INW48386</t>
  </si>
  <si>
    <t>Tax Invoice : INW48387</t>
  </si>
  <si>
    <t>Tax Invoice : INW48388</t>
  </si>
  <si>
    <t>Tax Invoice : INW48389</t>
  </si>
  <si>
    <t>Tax Invoice : INW48390</t>
  </si>
  <si>
    <t>LLO003</t>
  </si>
  <si>
    <t>Tax Invoice : INW48391</t>
  </si>
  <si>
    <t>BUR008</t>
  </si>
  <si>
    <t>Tax Invoice : INW48392</t>
  </si>
  <si>
    <t>Tax Invoice : INW48393</t>
  </si>
  <si>
    <t>POD08624</t>
  </si>
  <si>
    <t>Tax Invoice : INW48394</t>
  </si>
  <si>
    <t>Tax Invoice : INW48395</t>
  </si>
  <si>
    <t>Tax Invoice : INW48396</t>
  </si>
  <si>
    <t>Tax Invoice : INW48397</t>
  </si>
  <si>
    <t>MEG009</t>
  </si>
  <si>
    <t>Tax Invoice : INW48398</t>
  </si>
  <si>
    <t>Tax Invoice : INW48399</t>
  </si>
  <si>
    <t>STY008</t>
  </si>
  <si>
    <t>Tax Invoice : INW48400</t>
  </si>
  <si>
    <t>Tax Invoice : INW48401</t>
  </si>
  <si>
    <t>Tax Invoice : INW48402</t>
  </si>
  <si>
    <t>Tax Invoice : INW48403</t>
  </si>
  <si>
    <t>Tax Invoice : INW48404</t>
  </si>
  <si>
    <t>PO#11181</t>
  </si>
  <si>
    <t>SER021</t>
  </si>
  <si>
    <t>Tax Invoice : INW48405</t>
  </si>
  <si>
    <t>Tax Invoice : INW48406</t>
  </si>
  <si>
    <t>Tax Invoice : INW48407</t>
  </si>
  <si>
    <t>Tax Invoice : INW48408</t>
  </si>
  <si>
    <t>CREDIT NOTES: 119x CREDIT NOTES)</t>
  </si>
  <si>
    <t>Customer Age Analysis for Monthly Customers as at 31/03/2026</t>
  </si>
  <si>
    <t>Name</t>
  </si>
  <si>
    <t>120+ Days</t>
  </si>
  <si>
    <t>90 Days</t>
  </si>
  <si>
    <t>60 Days</t>
  </si>
  <si>
    <t>30 Days</t>
  </si>
  <si>
    <t>Current</t>
  </si>
  <si>
    <t>Total Due</t>
  </si>
  <si>
    <t>AARD01 - AARD BRAND</t>
  </si>
  <si>
    <t>AFI001 - AFIKA PROMOTIONS</t>
  </si>
  <si>
    <t>ALE003 - ALEXIOU LEATHER COUCHES</t>
  </si>
  <si>
    <t>ALW002 - ALWAYS AROUND (PTY) LTD T/A BEESDAM</t>
  </si>
  <si>
    <t>AMO001 - AMOS JONES LEATHER</t>
  </si>
  <si>
    <t>ANG002 - ANGEL FOOTWEAR</t>
  </si>
  <si>
    <t>ARR002 - QUIVER TRUST T/A ARROW LEATHER GOODS</t>
  </si>
  <si>
    <t>ATP001 - ATPHOTO PTY LTD</t>
  </si>
  <si>
    <t>BAR003 - E BARONOS LEATHER MANUFACTURERS CC</t>
  </si>
  <si>
    <t>BAR004 - BARNO (PTY) LTD</t>
  </si>
  <si>
    <t>BEN005 - BENZE UPHOLSTERY</t>
  </si>
  <si>
    <t>BLU004 - AMBI &amp; CO t/a BLUEBERRY BLUSH</t>
  </si>
  <si>
    <t>BLU011 - BLUE SERIF</t>
  </si>
  <si>
    <t>BOO002 - BOOT &amp; RALLY (PTY) (LTD)</t>
  </si>
  <si>
    <t>BOR013 - BORDER UPHOLSTERY SOLUTIONS</t>
  </si>
  <si>
    <t>BOS010 - BOSVELD CANVAS AND LEATHER</t>
  </si>
  <si>
    <t>BRA013 - BRANDO LEATHER GOODS (PTY) LTD</t>
  </si>
  <si>
    <t>BRE003 - BRESAN FOOTWEAR (PTY) LTD</t>
  </si>
  <si>
    <t>BRI012 - BRIAN TRIMMING SERVICE</t>
  </si>
  <si>
    <t>BSE001 - B SEATED (PTY) LTD</t>
  </si>
  <si>
    <t>BUR001 - WH Burgundy Collective (Pty) Ltd</t>
  </si>
  <si>
    <t>BUS002 - BUSHILL RSA</t>
  </si>
  <si>
    <t>CAP003 - CAPE KNIFE CUTTING CC</t>
  </si>
  <si>
    <t>CAP028 - CAPE MASAI LEATHER ART AND CRAFT T/A</t>
  </si>
  <si>
    <t>COO001 - HOT SHEET MANUFACTURING CC T/A COOCH</t>
  </si>
  <si>
    <t>COR004 - CORVARI FOOTWEAR CC</t>
  </si>
  <si>
    <t>COS001 - TH STEVENS T/A COSY COUCH</t>
  </si>
  <si>
    <t>COV005 - COVERUP CONCEPTS</t>
  </si>
  <si>
    <t>CRE007 - CREATIVE LEATHER GOODS</t>
  </si>
  <si>
    <t>CUR005 - CURTAINS UP</t>
  </si>
  <si>
    <t>CUR009 - CURLICUE PTY LTD</t>
  </si>
  <si>
    <t>DAR001 - The Dark Horse Brand (PTY) LTD</t>
  </si>
  <si>
    <t>DERL01 - DER LEDERHANDLER</t>
  </si>
  <si>
    <t>DIE001 - LEERMEESTER LEATHER FACTORY CC</t>
  </si>
  <si>
    <t>DIR001 - DIRTY LEATHER</t>
  </si>
  <si>
    <t>DOK001 - DOKTER &amp; MISSES</t>
  </si>
  <si>
    <t>EAS004 - STEVENSON T/A INTERNATIONAL WHOLESALERS</t>
  </si>
  <si>
    <t>EDD002 - EDDELS SHOES</t>
  </si>
  <si>
    <t>ELS001 - EL SOLE HOLDINGS PTY LTD T/A EL SOLE</t>
  </si>
  <si>
    <t>EQU003 - EQUESTRIAN FOOTWEAR HOLDINGS PTY</t>
  </si>
  <si>
    <t>FAT004 - FF CLOTHING GROUP CC</t>
  </si>
  <si>
    <t>FEC001 - FECHTERS FURNITURE MNF (PTY) LTD</t>
  </si>
  <si>
    <t>FIL015 - TAU LEATHER SOUTH AFRICA (PTY) LTD</t>
  </si>
  <si>
    <t>FIO001 - FSP COLLECTION</t>
  </si>
  <si>
    <t>FOA002 - FOAM FLEX</t>
  </si>
  <si>
    <t>GH001 - GH LEATHERS LTD</t>
  </si>
  <si>
    <t>GLE004 - HARKER MOTOR TRIMMERS</t>
  </si>
  <si>
    <t>GOM001 - F. GOMES UPHOLSTERS</t>
  </si>
  <si>
    <t>GRA002 - GRANTS TRUE LEATHER</t>
  </si>
  <si>
    <t>GRO021 - GRONDPAD VELLIES</t>
  </si>
  <si>
    <t>GWO001 - G-WORX THREE CC</t>
  </si>
  <si>
    <t>GYP001 - LOUISE LEGGATT T/A GYPSEY LOU</t>
  </si>
  <si>
    <t>HAD002 - HADASSAH INTERIORS (PTY) LTD</t>
  </si>
  <si>
    <t>HAN003 - HANNITAN LEATHER</t>
  </si>
  <si>
    <t>HAN006 - HANSEL &amp; GRETEL BAGS</t>
  </si>
  <si>
    <t>HEL002 - HELLO QUALITY (PTY) LTD</t>
  </si>
  <si>
    <t>HHC001 - ORIGIN MANUFACTURERS &amp; DISTRIBUTORS (PTY</t>
  </si>
  <si>
    <t>HIG001 - HIGH THORN</t>
  </si>
  <si>
    <t>HOF002 - HOFFMANN FURNITURE</t>
  </si>
  <si>
    <t>HOL004 - HOLSTER CO T/A SOJOURN</t>
  </si>
  <si>
    <t>HOP001 - HOPEWELL FOOTWEAR</t>
  </si>
  <si>
    <t>HOU015 - HOUSE OF VALOUR</t>
  </si>
  <si>
    <t>IBR001 - ISAACARE HEALTH</t>
  </si>
  <si>
    <t>IKA001 - IKHAYA AFRICA</t>
  </si>
  <si>
    <t>INK003 - INKABI LEATHER</t>
  </si>
  <si>
    <t>INN002 - INNOVATIVE FOOTWEAR</t>
  </si>
  <si>
    <t>INS011 - INSPIRE RENTALS PTY LTD</t>
  </si>
  <si>
    <t>INY011 - INYATHI LOUNGE (PTY) LTD</t>
  </si>
  <si>
    <t>ISL002 - ISLAND HOUSE TRADING 53 (Pty) Ltd t/a</t>
  </si>
  <si>
    <t>JAK012 - JAKS TRUST</t>
  </si>
  <si>
    <t>JAY001 - JAYS UPHOLSTERS</t>
  </si>
  <si>
    <t>JIK001 - JIKA TECHNOLOGIES</t>
  </si>
  <si>
    <t>JOI001 - THE JOINERY FASHION CONCEPTS (Pty) Ltd</t>
  </si>
  <si>
    <t>JOR001 - BOLTON FOOTWEAR (PTY) LTD</t>
  </si>
  <si>
    <t>JOU004 - JOUBERT FURNITURE</t>
  </si>
  <si>
    <t>JOY001 - JOY HOLDINGS 123 PTY</t>
  </si>
  <si>
    <t>JUL003 - JULIANA DESIGNS (PTY) LTD</t>
  </si>
  <si>
    <t>JUS001 - JUST SOFAS</t>
  </si>
  <si>
    <t>KIN002 - King Kong Leather and Cellular CC</t>
  </si>
  <si>
    <t>KUR001 - KURGAN KENANI LEATHER PTY LTD</t>
  </si>
  <si>
    <t>KZN001 - KZN FASTNERS (PTY) LTD</t>
  </si>
  <si>
    <t>LEA028 - LEATHERWIZE (PTY) LTD</t>
  </si>
  <si>
    <t>LEA030 - PARIS MANUFACTURING (PTY) LTD</t>
  </si>
  <si>
    <t>LEA04 - LEATHER DIRECT (Pty) Ltd</t>
  </si>
  <si>
    <t>LED003 - BUMMEL SHOES</t>
  </si>
  <si>
    <t>LEE001 - LEE CUSTOM FURNITURES</t>
  </si>
  <si>
    <t>LEI001 - LEISURE LOUNGE</t>
  </si>
  <si>
    <t>LEO007 - LEON ENGELBRECHT DESIGN (NAMIBIA)</t>
  </si>
  <si>
    <t>LHS001 - LHSA T/A LUXE</t>
  </si>
  <si>
    <t>LIT002 - FASTFOX FOOTWEAR T/A LITTLE SLIPPER</t>
  </si>
  <si>
    <t>LLM001 - LL MANUFACTURING</t>
  </si>
  <si>
    <t>LMA001 - LEATHER MASTER</t>
  </si>
  <si>
    <t>LON003 - LONE LEATHERS (PTY) LTD</t>
  </si>
  <si>
    <t>LUB001 - LUBAN FURNITURE CC</t>
  </si>
  <si>
    <t>LUU001 - LUUKS STUDIO (PTY) LTD</t>
  </si>
  <si>
    <t>MAC007 - MACTAVISH CLOTHING</t>
  </si>
  <si>
    <t>MAG001 - MAGDA'S LEATHER</t>
  </si>
  <si>
    <t>MAG007 - MAGNOLIAN DESIGN</t>
  </si>
  <si>
    <t>MAI002 - MAISTER CT</t>
  </si>
  <si>
    <t>MAR000 - MAREE MEUBELS</t>
  </si>
  <si>
    <t>MAR037 - MARKS LEATHER</t>
  </si>
  <si>
    <t>MAR051 - MARQUERITE SCHUTTE T/A EM'S MARKETS</t>
  </si>
  <si>
    <t>MAV002 - MAVRICAN INTERNATIONAL (PTY) LTD</t>
  </si>
  <si>
    <t>MAZ002 - LEATHER CONNECTIONS</t>
  </si>
  <si>
    <t>MEY001 - MEYER &amp; FERREIRA STIKLAND CC</t>
  </si>
  <si>
    <t>MIC006 - MICHELLE FOOTWEAR (PTY) LTD</t>
  </si>
  <si>
    <t>MKL001 - McFarlane &amp; Joseph t/a MKLA AFRICA</t>
  </si>
  <si>
    <t>MOD002 - MODART (PTY) LTD</t>
  </si>
  <si>
    <t>MOO008 - MOOO SHOES HANDCRAFTED LEATHER GOODS</t>
  </si>
  <si>
    <t>MOO009 - MOORE-PEARSALL TANNERY WAREHOUSE</t>
  </si>
  <si>
    <t>MSJ001 - MSJ UPHOLSTERY</t>
  </si>
  <si>
    <t>MWI001 - MWIBA HOLDINGS LIMITED</t>
  </si>
  <si>
    <t>NAP001 - NAPOLEON MARKETING (PTY) LTD</t>
  </si>
  <si>
    <t>NAT004 - NATURALIS</t>
  </si>
  <si>
    <t>NIC005 - NICHE LEATHERWARE COLLECTION</t>
  </si>
  <si>
    <t>NOM002 - NOMIA BAGS</t>
  </si>
  <si>
    <t>NSW001 - NSW LEATHER CO (PTY) LTD</t>
  </si>
  <si>
    <t>OAK002 - OAK LEATHER</t>
  </si>
  <si>
    <t>OLI008 - OLIVE COFFEE BEANS PTY LTD</t>
  </si>
  <si>
    <t>OLL001 - OLLI AND ROSE (PTY) LTD</t>
  </si>
  <si>
    <t>OUT010 - OUTBACK LEATHER</t>
  </si>
  <si>
    <t>OWE002 - OWEN LEATHER</t>
  </si>
  <si>
    <t>PAN001 - PANGA PANGA FURNITURE</t>
  </si>
  <si>
    <t>PAP001 - THE PAPERY PTY LTD</t>
  </si>
  <si>
    <t>PAR004 - PARANAO FOOTWEAR</t>
  </si>
  <si>
    <t>PAT001 - PATRICK UPHOLSTERY</t>
  </si>
  <si>
    <t>PDJ001 - PDJ COLLECTIVE (PTY) LTD</t>
  </si>
  <si>
    <t>PJ002 - PJ BOOKBINDERS</t>
  </si>
  <si>
    <t>PSE001 - ILIFA DEVELOPMENTS (PTY) LTD</t>
  </si>
  <si>
    <t>RED001 - REDEMPTION FINE HANDCRAFTED LEATHER</t>
  </si>
  <si>
    <t>ROW002 - ROWDY INTERNATIONAL (Pty) Ltd</t>
  </si>
  <si>
    <t>RUS001 - RUSTIC LOVE</t>
  </si>
  <si>
    <t>RUS003 - RUSIKE</t>
  </si>
  <si>
    <t>SAD001 - SADDLER BELTS &amp; LEATHERCRAFT</t>
  </si>
  <si>
    <t>SAL008 - SALSA FOOTWEAR</t>
  </si>
  <si>
    <t>SAN006 - SANNA LEATHER</t>
  </si>
  <si>
    <t>SAV003 - SAVIOR BRAND CO. (Pty) Ltd</t>
  </si>
  <si>
    <t>SEB011 - SEBOGODI HOUSE OF LEATHER</t>
  </si>
  <si>
    <t>SEV002 - SEVENS DESIGNS PTY LTD</t>
  </si>
  <si>
    <t>SGB001 - SGB SHOE MANUFACTURING</t>
  </si>
  <si>
    <t>SIG002 - WAKEFIELD ENTERPRISES (PTY) LTD</t>
  </si>
  <si>
    <t>SIL001 - THE SOFA WORX</t>
  </si>
  <si>
    <t>SKI003 - SKINS FABRICATION (PTY) LTD</t>
  </si>
  <si>
    <t>SLE002 - SLEEPING COUCH &amp; SOFA MANUFACTURERS</t>
  </si>
  <si>
    <t>SLY001 - SLYDO LEATHER WORKS</t>
  </si>
  <si>
    <t>SME001 - SMERILLI DESIGN MANUFACTURING (PTY) LTD</t>
  </si>
  <si>
    <t>SOF008 - LANE IMPORT&amp; EXPORT INT CC T/A SOFAFURN</t>
  </si>
  <si>
    <t>SOF010 - SOFA DIVINE</t>
  </si>
  <si>
    <t>SOF022 - SOFA DIVINE - SHOWROOM</t>
  </si>
  <si>
    <t>SOL005 - SOLES FOR AFRICA CC T/A BOET &amp; BETTY</t>
  </si>
  <si>
    <t>SOT001 - SOTRAN TRADING 57 CC</t>
  </si>
  <si>
    <t>SPI006 - SPITFIRE FURNITURE</t>
  </si>
  <si>
    <t>STR002 - Strassbergers</t>
  </si>
  <si>
    <t>STR006 - STRAYZ</t>
  </si>
  <si>
    <t>SUN009 - SUNNINGDALE INTERIORS</t>
  </si>
  <si>
    <t>SUP001 - SUPREME UPHOLSTERERS</t>
  </si>
  <si>
    <t>SWE002 - SWEET PEAS</t>
  </si>
  <si>
    <t>TAN001 - FUSION LEATHER WORLD (PTY) LTD</t>
  </si>
  <si>
    <t>TAN003 - TAN LEATHER GOODS (PTY) LTD</t>
  </si>
  <si>
    <t>TEF001 - TE FRAAI DIENA</t>
  </si>
  <si>
    <t>TEP001 - TEPLOV (PTY) LTD T/A TEPLOV BALLET SHOES</t>
  </si>
  <si>
    <t>THA003 - CARLA ASHTON T/A THANDANA BAGS</t>
  </si>
  <si>
    <t>THE000 - THE FOLLOW THROUGH APPROACH (PTY) LTD</t>
  </si>
  <si>
    <t>THE030 - THE OLDFANGLED LEATHER CO</t>
  </si>
  <si>
    <t>THE062 - THE LITTLE LEATHER SHOP</t>
  </si>
  <si>
    <t>THE077 - THE MIDLAND COBBLER</t>
  </si>
  <si>
    <t>THEM01 - THEMBA LIZE HOLDINGS (PTY) LTD</t>
  </si>
  <si>
    <t>TOM003 - TOM VOYAGER/RACHY</t>
  </si>
  <si>
    <t>TOP009 - TOPMAN LEATHERS</t>
  </si>
  <si>
    <t>TRE008 - TRENZADO FOOTWEAR</t>
  </si>
  <si>
    <t>TRI016 - TRIMWISE T/A LEATHER &amp; STYLE</t>
  </si>
  <si>
    <t>TRI020 - TRINITY DESIGNS (IGALAJI BOYS INVESTMENT</t>
  </si>
  <si>
    <t>UGF001 - U &amp; G FABRICS</t>
  </si>
  <si>
    <t>UNL001 - UN LODGE EN AFRIQUE</t>
  </si>
  <si>
    <t>UPH012 - UPHOLSTERY PERFECTIONIST</t>
  </si>
  <si>
    <t>VAN020 - VAN DER SPUY STOFFEERDERS (PTY) LTD</t>
  </si>
  <si>
    <t>VER001 - VERMONT LEATHER</t>
  </si>
  <si>
    <t>VER005 - VERSE STUDIO (Pty) Ltd T/A VERSE</t>
  </si>
  <si>
    <t>WAL004 - WALKING WOOD Pty Ltd</t>
  </si>
  <si>
    <t>WHA001 - WHATNOT NATURAL FABRICS CC</t>
  </si>
  <si>
    <t>WIL008 - WILLOW TREE</t>
  </si>
  <si>
    <t>WUN001 - WUNDERS FINE FURNISHINGS</t>
  </si>
  <si>
    <t>XIL001 - Xilutsi Trading (Pty) Ltd</t>
  </si>
  <si>
    <t>YEL002 - YELLOW DUCK</t>
  </si>
  <si>
    <t>ZAP001 - ZAPPHIRE UPHOLSTERY</t>
  </si>
  <si>
    <t>ZER002 - ZERA LEATHER  (NAMIBIA)</t>
  </si>
  <si>
    <t>Totals :</t>
  </si>
  <si>
    <t>PERCENTAGE :</t>
  </si>
  <si>
    <t>3.59%</t>
  </si>
  <si>
    <t>2.17%</t>
  </si>
  <si>
    <t>4.31%</t>
  </si>
  <si>
    <t>35.29%</t>
  </si>
  <si>
    <t>54.64%</t>
  </si>
  <si>
    <t>100.00%</t>
  </si>
  <si>
    <t>GRAND TOTALS :</t>
  </si>
  <si>
    <t>Supplier Age Analysis as at   31/03/2026</t>
  </si>
  <si>
    <t>CEZ001 - CEZ Investements</t>
  </si>
  <si>
    <t>CLO001 - CLOUD LOGISTICS</t>
  </si>
  <si>
    <t>COP001 - COPYWRITE BUSINESS CENTRE CC T/A</t>
  </si>
  <si>
    <t>FRE001 - FREIGHTMORE</t>
  </si>
  <si>
    <t>HAN001 - HANNITAN LEATHER CC</t>
  </si>
  <si>
    <t>HIL001 - HILDENE INVESTMENTS</t>
  </si>
  <si>
    <t>HIL002 - HILLSPARK</t>
  </si>
  <si>
    <t>OLI001 - OLIVETTI</t>
  </si>
  <si>
    <t>TAN001 - FUSION LEATHER WORLD</t>
  </si>
  <si>
    <t>THE005 - THE COURIER GUY</t>
  </si>
  <si>
    <t>TOS001 - TOSHIBA</t>
  </si>
  <si>
    <t>TSS001 - Technical Support Solutions</t>
  </si>
  <si>
    <t>VAN001 - Vandah's Packaging</t>
  </si>
  <si>
    <t>WOR002 - Rhenus Express</t>
  </si>
  <si>
    <t>TOTAL :</t>
  </si>
  <si>
    <t>0.00%</t>
  </si>
  <si>
    <t>GRAND TOTAL :</t>
  </si>
  <si>
    <t>GAT003 - GATES 2 AFRICA - MIKE</t>
  </si>
  <si>
    <t>BIR003 - BIRTHMARK INTERIORS</t>
  </si>
  <si>
    <t>EST001 - ESTHE'  LEATHER SHOES</t>
  </si>
  <si>
    <t>CA001 - CASH CUSTOMERS</t>
  </si>
  <si>
    <t>KNA002 - KNAP SAK (PTY) LTD</t>
  </si>
  <si>
    <t>GUI001 - GUIDELINE mnf</t>
  </si>
  <si>
    <t>CASH - CASH CUSTOMER</t>
  </si>
  <si>
    <t>THE051 - THE GREAT BREAK (pty) LTD</t>
  </si>
  <si>
    <t>PRO015 - PROJECT DYAD</t>
  </si>
  <si>
    <t>LUK002 - LUK 4X4 ACCESSORIES PTY LTD</t>
  </si>
  <si>
    <t>ASH004 - ASHOK NARSAI INTERIORS</t>
  </si>
  <si>
    <t>ATH002 - A2HR COSMETIC SOLUTIONS (PTY) LTD</t>
  </si>
  <si>
    <t>TRE014 - TREND BESPOKE (PTY) LTD</t>
  </si>
  <si>
    <t>THE050 - THE HUMBLE BEGINNINGS CC (NAMIBIA)</t>
  </si>
  <si>
    <t>EVO001 - EVOTECH TRADING</t>
  </si>
  <si>
    <t>INV002 - Invictus Leather</t>
  </si>
  <si>
    <t>MEZ001 - MEZZANINE</t>
  </si>
  <si>
    <t>INR001 - INTERIO SA (PTY) LTD</t>
  </si>
  <si>
    <t>IVO002 - IVORY PALM  INTERIORS</t>
  </si>
  <si>
    <t>CAP025 - CAPE SPACE INTERIORS</t>
  </si>
  <si>
    <t>THE031 - THE LEATHER SHOPPE</t>
  </si>
  <si>
    <t>BBG001 - BBAGZZ SECURITY</t>
  </si>
  <si>
    <t>SNY001 - SNYMAN QUALITY FURNISHERS</t>
  </si>
  <si>
    <t>IPI001 - IPINI PTY LTD</t>
  </si>
  <si>
    <t>JOZ001 - CALADO FOOTWEAR (PTY) LTD</t>
  </si>
  <si>
    <t>JOU001 - JOURNEY TRADERS (PTY) LTD</t>
  </si>
  <si>
    <t>CAM003 - CAMPBELL ARMOURY (PTY) LTD</t>
  </si>
  <si>
    <t>CAR029 - CAR &amp; COUCH - MT EDGECOMBE</t>
  </si>
  <si>
    <t>LOFT00 - LOFT AND LUXE</t>
  </si>
  <si>
    <t>MEG009 - Meg Vaun Interiors cc</t>
  </si>
  <si>
    <t>WOR007 - WORSHOND VELLIES</t>
  </si>
  <si>
    <t>BAR019 - BARLETT &amp; DUNSTER FABRIC</t>
  </si>
  <si>
    <t>RET002 - FINECAST PTY T/A RETROFITBOSS</t>
  </si>
  <si>
    <t>DOU002 - DOUBLE BARREL CC</t>
  </si>
  <si>
    <t>SLE004 - SLEEP JOY</t>
  </si>
  <si>
    <t>BUL001 - BULLISH DESIGNS (PTY) LTD</t>
  </si>
  <si>
    <t>TOM006 - TOM SHOE MANUFACTURING CC</t>
  </si>
  <si>
    <t>DON009 - DONKEY LONG TONG (PTY) LTD</t>
  </si>
  <si>
    <t>COO002 - COOL BAGS</t>
  </si>
  <si>
    <t>LEA03 - LEATHER DIRECT  (Pty) Ltd</t>
  </si>
  <si>
    <t>TGK001 - TGK UPHOLSTERY</t>
  </si>
  <si>
    <t>MIS002 - MISCELLANIA (PTY) LTD</t>
  </si>
  <si>
    <t>CEN015 - AAJKARAN ENTERPRISES (PTY) LTD</t>
  </si>
  <si>
    <t>BOK002 - BOKSBURG UPHOLSTERY</t>
  </si>
  <si>
    <t>MOT006 - MOTIFE INTERIORS</t>
  </si>
  <si>
    <t>SHA005 - THE SHALOM INTERIORS (PTY) LTD</t>
  </si>
  <si>
    <t>CEC006 - CECIL NURSE A DIV BIDVEST OFFICE (PTY) L</t>
  </si>
  <si>
    <t>BUD001 - BUDGET FURN</t>
  </si>
  <si>
    <t>RGM001 - RGM FURNITURE MANUFACTURES</t>
  </si>
  <si>
    <t>SCH004 - SCHMIDT'S SKRYNWERKE (EDMS.) BPK</t>
  </si>
  <si>
    <t>ART006 - ARTMORE LEATHER</t>
  </si>
  <si>
    <t>MAN021 - MANUAL MOZAMBIQUE UPHOLSTER</t>
  </si>
  <si>
    <t>WIL020 - WILLEBOK LEATHER</t>
  </si>
  <si>
    <t>LIN04 - LINEAR CONCEPTS PTY LTD</t>
  </si>
  <si>
    <t>FOU004 - FOUR CORNERS HOME</t>
  </si>
  <si>
    <t>LOV002 - LOVE LEATHER SA (PTY) LTD</t>
  </si>
  <si>
    <t>LIY001 - LIYAAN LEATHERS</t>
  </si>
  <si>
    <t>SWI001 - SWISH &amp; SWANK</t>
  </si>
  <si>
    <t>MET003 - METRO LIFESTYLE CENTRE CENTURION</t>
  </si>
  <si>
    <t>DEE001 - DEEP BLUE ENTERPRISES</t>
  </si>
  <si>
    <t>VIN006 - VINTAGE UPHOLSTERY</t>
  </si>
  <si>
    <t>SA001 - SA ROADTRIPPERS</t>
  </si>
  <si>
    <t>MIG001 - MIGHTY HAND</t>
  </si>
  <si>
    <t>OLS001 - OLSENS UPHOLSTERY</t>
  </si>
  <si>
    <t>DAN008 - DANIEL'S SHOE MANUFACTURNING</t>
  </si>
  <si>
    <t>HAN009 - THE HANDWORK HUB PTY LTD</t>
  </si>
  <si>
    <t>ERG001 - ERGO FORM FURNITURE INNOVATION</t>
  </si>
  <si>
    <t>DME001 - DE MEILLON ENTERPRISE PTY LTD</t>
  </si>
  <si>
    <t>INTE02 - INTERWOVEN DECOR FABRICS (PTY) LTD</t>
  </si>
  <si>
    <t>THE053 - THEMBA MAPHUKI T/A LEATHER DESIGNS</t>
  </si>
  <si>
    <t>CRA004 - CRAFFORD &amp; CO INTERIORS</t>
  </si>
  <si>
    <t>LAS002 - LASER CANDY T/A LOOI LEATHER</t>
  </si>
  <si>
    <t>ALC001 - ALCHEMY DESIGN STUDIO</t>
  </si>
  <si>
    <t>HEY001 - HEY SUGA</t>
  </si>
  <si>
    <t>FFUN01 - THE FURNITURE FUNDI</t>
  </si>
  <si>
    <t>VER006 - VERTEX UPHOLSTERY (PTY) LTD</t>
  </si>
  <si>
    <t>MEM006 - MEM DECOR DESIGNS</t>
  </si>
  <si>
    <t>ZIP001 - BIG SKY TRADING 449BK</t>
  </si>
  <si>
    <t>UMH001 - UMHLALI UPHOLSTERS</t>
  </si>
  <si>
    <t>BAO002 - BAO-BAGS</t>
  </si>
  <si>
    <t>PHE001 - PHELAN LEATHERWORKS</t>
  </si>
  <si>
    <t>LES010 - LESOTHO SHOE PARTS</t>
  </si>
  <si>
    <t>STE018 - STEPH &amp; TAY</t>
  </si>
  <si>
    <t>ABM002 - ABM UPHOLSTERERS</t>
  </si>
  <si>
    <t>EBO001 - EBONY DESIGN</t>
  </si>
  <si>
    <t>LEA053 - LEATHER CO</t>
  </si>
  <si>
    <t>SAI006 - SA INTERIORS</t>
  </si>
  <si>
    <t>BLA008 - BLACK PLASTIC SA (PTY) LTD</t>
  </si>
  <si>
    <t>NIC012 - NICHE BOARD PRODUCTIONS T/A AT URBAN ART</t>
  </si>
  <si>
    <t>COM013 - COMFORT ZONE</t>
  </si>
  <si>
    <t>LEM009 - LEMY UPHOLSTERER</t>
  </si>
  <si>
    <t>LOU016 - LOUISE ALEXANDRA HOME</t>
  </si>
  <si>
    <t>ROC003 - ROCHER VISSER UPHOLSTERY</t>
  </si>
  <si>
    <t>LIO003 - LIONEL UPHOLSTERY</t>
  </si>
  <si>
    <t>S2Z001 - S2ZERO PTY LTD</t>
  </si>
  <si>
    <t>LYN004 - Lynnette Annandale</t>
  </si>
  <si>
    <t>COT002 - COTO INTERIORS</t>
  </si>
  <si>
    <t>EGA002 - EGAL</t>
  </si>
  <si>
    <t>ERI001 - ERIC LLOYD DESIGN</t>
  </si>
  <si>
    <t>KAR017 - KAROO BABA (PTY) LTD</t>
  </si>
  <si>
    <t>ARC013 - ARCADIA DESIGNZ</t>
  </si>
  <si>
    <t>DIAZ01 - DIAZ DESIGN</t>
  </si>
  <si>
    <t>INT030 - INTERNATIONAL COMMODOTIES PTY LTD</t>
  </si>
  <si>
    <t>GDE001 - GDE LEATHER CC</t>
  </si>
  <si>
    <t>PER007 - BOVINE LEATHER</t>
  </si>
  <si>
    <t>THE04 - THE DS FACTORY</t>
  </si>
  <si>
    <t>WIG001 - WIGGS COOLERS</t>
  </si>
  <si>
    <t>STA012 - STADVELD LEERPRODUKTE</t>
  </si>
  <si>
    <t>JAN015 - BLOSSOMS CAPE TOWN</t>
  </si>
  <si>
    <t>TUL002 - TULIPS &amp; TEA BABY BOUTIQUE</t>
  </si>
  <si>
    <t>D3F001 - D3 DECOR PTY LTD</t>
  </si>
  <si>
    <t>LLO003 - LLOYD SITHOLE</t>
  </si>
  <si>
    <t>MAR045 - MARK OF LEGEND</t>
  </si>
  <si>
    <t>HAW001 - HAWAII COMMODITIES</t>
  </si>
  <si>
    <t>MAJ001 - MAJOR JOHN</t>
  </si>
  <si>
    <t>CAP017 - CAPE COBRA (PTY) LTD</t>
  </si>
  <si>
    <t>THE11 - THE COOT CLUB (PTY) LTD</t>
  </si>
  <si>
    <t>TAN008 - TAN-RU LEATHER</t>
  </si>
  <si>
    <t>RAV001 - RAVI - SPRINGFIELD</t>
  </si>
  <si>
    <t>EXP001 - EXPERT UPHOLSTERY</t>
  </si>
  <si>
    <t>NAS005 - NASHMART UPHOLSTERY</t>
  </si>
  <si>
    <t>MOH003 - MOH AUTOMATIVE INTERIOR SOLUTIONS</t>
  </si>
  <si>
    <t>JAN012 - JANE MERVIS INTERIORS</t>
  </si>
  <si>
    <t>CES021 - C’est La Vie Design and Create (Pty) Ltd</t>
  </si>
  <si>
    <t>DEA011 - DEAN UPHOLSTERS - CHATSWORTH</t>
  </si>
  <si>
    <t>SOF021 - SOFTLINE INTERIORS - KWAMASHU</t>
  </si>
  <si>
    <t>VAN001 - S. Van der Scyff Uph</t>
  </si>
  <si>
    <t>DAN004 - DANCEWELL SHOES</t>
  </si>
  <si>
    <t>MILL00 - THE MILL</t>
  </si>
  <si>
    <t>FIN008 - FINE FURNITURE</t>
  </si>
  <si>
    <t>SCO005 - SCOPE LEATHER COMPANY</t>
  </si>
  <si>
    <t>LEW001 - LEWIS AND MADGE</t>
  </si>
  <si>
    <t>NOV002 - NOVO MODERN CLASSICS</t>
  </si>
  <si>
    <t>UVA011 - UVAMI GUN ACCESSORIES CC</t>
  </si>
  <si>
    <t>CHA030 - LIVING GREEN MOVEMENT</t>
  </si>
  <si>
    <t>GEL001 - SKOONSUS</t>
  </si>
  <si>
    <t>LEI002 - LEIGHJER DESIGNS</t>
  </si>
  <si>
    <t>MAR038 - MARSHALL'S UPHOLSTERY</t>
  </si>
  <si>
    <t>DES01 - THE SOMMELIER CAFE CC T/A DESIGN UNIQUE</t>
  </si>
  <si>
    <t>PRS001 - PR SHOES - PIETERMARITZBURG</t>
  </si>
  <si>
    <t>LEA034 - LEATHERBACK HANDCRAFTED</t>
  </si>
  <si>
    <t>LEG005 - LEGACI STUDIOS</t>
  </si>
  <si>
    <t>CAZ001 - CAZCO RE-UPHOLSTERY &amp; NEW FURNITURE</t>
  </si>
  <si>
    <t>CHO001 - CHOMMIES CAPE TOWN PTY LTD</t>
  </si>
  <si>
    <t>HDM001 - HD Maintenance &amp; construction Pty Ltd</t>
  </si>
  <si>
    <t>MCO001 - M COHEN BOERDERY</t>
  </si>
  <si>
    <t>NGU002 - NGUNI COW HIDE COMPANY</t>
  </si>
  <si>
    <t>BEG001 - BEGIN WITH END IN MIND INTERIORS</t>
  </si>
  <si>
    <t>SAG002 - A.WILSON T/A BOKMAKIERIE</t>
  </si>
  <si>
    <t>DAV006 - DAVID DINDI (PTY) LTD</t>
  </si>
  <si>
    <t>DER003 - STEVENSON SHOE REPAIRS</t>
  </si>
  <si>
    <t>ABE002 - ABEL INTERIORS</t>
  </si>
  <si>
    <t>CAP033 - CAPITAL AUTO TRIMMERS</t>
  </si>
  <si>
    <t>ELL001 - JAN ELLIS</t>
  </si>
  <si>
    <t>CAL004 - CALABASH LEATHER</t>
  </si>
  <si>
    <t>AFO002 - AFRO COMFORT</t>
  </si>
  <si>
    <t>PON002 - PON STEYN MOTORS</t>
  </si>
  <si>
    <t>DNA001 - DNA INTERIOR DESIGN</t>
  </si>
  <si>
    <t>LUL021 - LULLU &amp; ME</t>
  </si>
  <si>
    <t>DEA015 - DEAR LOVE</t>
  </si>
  <si>
    <t>OKA001 - OKAPI-LUXURY BAGS ON ACCESSORIES Pty Ltd</t>
  </si>
  <si>
    <t>GAM003 - GAMETAN</t>
  </si>
  <si>
    <t>FOR009 - FORSHORE SPORT PTY LTD</t>
  </si>
  <si>
    <t>WAL002 - WALLY'S TRIMMING WORKS</t>
  </si>
  <si>
    <t>MEU001 - MEUBEL &amp; MOTOR STOFFEERDERS</t>
  </si>
  <si>
    <t>RAM004 - RAM SHOPFITTING (PTY) LTD</t>
  </si>
  <si>
    <t>DJE001 - DJ EQUIPMENT SALES CC</t>
  </si>
  <si>
    <t>CRE016 - CREATIVE TRANSITION</t>
  </si>
  <si>
    <t>ZCR001 - Z CREATIONS</t>
  </si>
  <si>
    <t>DES008 - SORELLE FURNITURE (PTY) LTD</t>
  </si>
  <si>
    <t>RED008 - RED NOSE LEATHER</t>
  </si>
  <si>
    <t>LIN013 - LINO CLOTHING</t>
  </si>
  <si>
    <t>TFC001 - 21ST CENTURY CHAIRS</t>
  </si>
  <si>
    <t>MEB001 - MEBALA (PTY) LTD</t>
  </si>
  <si>
    <t>KAN001 - KANA LEATHER</t>
  </si>
  <si>
    <t>NEL020 - NEL DESIGN SA (PTY) LTD</t>
  </si>
  <si>
    <t>PAT006 - PAT UPHOLSTERERS</t>
  </si>
  <si>
    <t>FAB011 - FABER COLLECTIVE PTY LTD</t>
  </si>
  <si>
    <t>QUA002 - QUALITY MOTOR TRIMMING AND UPHOLSTERY</t>
  </si>
  <si>
    <t>TON001 - TONIC DESIGN CC</t>
  </si>
  <si>
    <t>MARC06 - MARCEL NTEE</t>
  </si>
  <si>
    <t>HNA001 - HNA</t>
  </si>
  <si>
    <t>SMI002 - SMITHCO LEATHER</t>
  </si>
  <si>
    <t>RAG002 - RAGS TO RICHES UPHOLSTERERS</t>
  </si>
  <si>
    <t>TEB003 - TEBOGO KEKANA</t>
  </si>
  <si>
    <t>BES007 - BESTIIL</t>
  </si>
  <si>
    <t>VAR001 - VA-ROOM INTERIORS</t>
  </si>
  <si>
    <t>LOU014 - LOUIS VAN ROOYEN LEATHER</t>
  </si>
  <si>
    <t>LOU011 - LOUIS HEYNS LEATHER</t>
  </si>
  <si>
    <t>KER021 - KERF HANDSTITCHED</t>
  </si>
  <si>
    <t>KIT002 - KITTY'S GENUINE LEATHER BOUTIQUE</t>
  </si>
  <si>
    <t>GRE009 - GREGORY MELLOR INTERIORS</t>
  </si>
  <si>
    <t>ARN001 - ARNOLD SHOES</t>
  </si>
  <si>
    <t>DOU005 - DOUBLEPURPLE</t>
  </si>
  <si>
    <t>BEC002 - BECK ERNST LIVING</t>
  </si>
  <si>
    <t>GOD001 - GODFREY PRINCE</t>
  </si>
  <si>
    <t>WEY005 - WEYLANDTS FURNITURE CREATIONS</t>
  </si>
  <si>
    <t>LAZ006 - LAZARUS LEATHER</t>
  </si>
  <si>
    <t>TAL001 - TALA SOUTH AFRICA</t>
  </si>
  <si>
    <t>CAT007 - CATTLE &amp; CO LEATHER</t>
  </si>
  <si>
    <t>BAN001 - BANTU NOMAD</t>
  </si>
  <si>
    <t>HAW002 - HAWE VAN HOOP</t>
  </si>
  <si>
    <t>ULT002 - ULTIMATE UPHOLSTERY</t>
  </si>
  <si>
    <t>BLO006 - BLOEM UPHOLSTERY</t>
  </si>
  <si>
    <t>ARM004 - ARMIC DESIGN STUDIO</t>
  </si>
  <si>
    <t>MBD001 - MB DESIGN</t>
  </si>
  <si>
    <t>DEY001 - DEYZI</t>
  </si>
  <si>
    <t>CRA010 - CRAWLERS</t>
  </si>
  <si>
    <t>PRA002 - PRAG LEATHER &amp; LUGGAGE</t>
  </si>
  <si>
    <t>JAC013 - KWA NATAL DRILLING</t>
  </si>
  <si>
    <t>DON015 - DONNAPAT PROPERTY &amp; FAMING Cc t/a</t>
  </si>
  <si>
    <t>SWA001 - SWARTLAND LEERMEUBELS</t>
  </si>
  <si>
    <t>OKH001 - OKHA INTERIORS CC</t>
  </si>
  <si>
    <t>HOR003 - HORIZONTE CAR SEATS &amp; ENGINEERING</t>
  </si>
  <si>
    <t>NAN005 - NA-NA SA HANDMADE</t>
  </si>
  <si>
    <t>HOB001 - HOBNOB MANUFACTURING (Pty) Ltd</t>
  </si>
  <si>
    <t>ANJ001 - ANOEK</t>
  </si>
  <si>
    <t>SA002 - SA LEATHER COMPANY</t>
  </si>
  <si>
    <t>SYM002 - SYMPHONY OF LEATHER</t>
  </si>
  <si>
    <t>MAG008 - MAGGIE M</t>
  </si>
  <si>
    <t>GRE012 - GREYLING UPHOLSTERY</t>
  </si>
  <si>
    <t>OKI001 - OKI LEATHERGOODS</t>
  </si>
  <si>
    <t>PAC005 - PACHIPAMWE AFRICA</t>
  </si>
  <si>
    <t>LAMOO3 - LAMAS FURNITURE MANUFACTURING &amp; RECOVERI</t>
  </si>
  <si>
    <t>RAC002 - RAY'S LEATHER CREATIONS</t>
  </si>
  <si>
    <t>BAR030 - BARKER STREET OFFICE FURNITURE</t>
  </si>
  <si>
    <t>YEL003 - YELO BUTTON UPHOLSTERY</t>
  </si>
  <si>
    <t>KIT001 - KITH &amp; KIN DESIGN</t>
  </si>
  <si>
    <t>ADE002 - ADELE EXCLUSIVE LUXURY DESIGN</t>
  </si>
  <si>
    <t>CLA012 - CLASS A UPHOLSTERY</t>
  </si>
  <si>
    <t>CLA06 - KANDASWAMI INVESTMENTS CC T/A CLASSIC IN</t>
  </si>
  <si>
    <t>BUR008 - BURGER LEATHER PRODUCTS</t>
  </si>
  <si>
    <t>MEL010 - MELANDRI VOS</t>
  </si>
  <si>
    <t>PIT001 - PITTA-PATTA</t>
  </si>
  <si>
    <t>FAM001 - FOAM AND MORE</t>
  </si>
  <si>
    <t>KAK009 - KAKIEBOS HOLDINGS (PTY) LTD</t>
  </si>
  <si>
    <t>THE028 - THE URBANATIVE</t>
  </si>
  <si>
    <t>HOC001 - HOCUS INTERIOR DESIGN STUDIO</t>
  </si>
  <si>
    <t>WOO003 - WOODLAM</t>
  </si>
  <si>
    <t>IVY001 - IVY + SAMUEL</t>
  </si>
  <si>
    <t>INS012 - INSPRI PTY TD</t>
  </si>
  <si>
    <t>THE045 - THE STELLA CLIP (PTY) LTD</t>
  </si>
  <si>
    <t>ABE021 - ABEEZ UPHOLSTERY AND MOTOR TRIMMERS</t>
  </si>
  <si>
    <t>LAV003 - LAVISH LEATHER</t>
  </si>
  <si>
    <t>KAR021 - KARIRI</t>
  </si>
  <si>
    <t>DEO008 - DEON</t>
  </si>
  <si>
    <t>BEAT01 - BEATUS GENUINE LEATHER</t>
  </si>
  <si>
    <t>PET008 - PETITE HOME DECOR</t>
  </si>
  <si>
    <t>BRU001 - BRUCE UPHOLSTERY</t>
  </si>
  <si>
    <t>MAG010 - MAGDA HUMAN</t>
  </si>
  <si>
    <t>XDL001 - XD LEATHER</t>
  </si>
  <si>
    <t>GLO004 - GLOBAL TRANS</t>
  </si>
  <si>
    <t>ABR005 - ABRAMS LEATHER</t>
  </si>
  <si>
    <t>SAS018 - SASOL</t>
  </si>
  <si>
    <t>PMI001 - PMI STUDIO PTY LTD</t>
  </si>
  <si>
    <t>KEN003 - KENYON COLLECTIVE</t>
  </si>
  <si>
    <t>TAG001 - TAGS BY ELYSIAN</t>
  </si>
  <si>
    <t>HID021 - HIDE &amp; STITCH</t>
  </si>
  <si>
    <t>MAD008 - MADISON BOUTIQUE</t>
  </si>
  <si>
    <t>MAN020 - MANTSHOLO CREATIONS PTY LTD</t>
  </si>
  <si>
    <t>COV021 - COVERFRESH UPHOLSTERY</t>
  </si>
  <si>
    <t>POR004 - PORTER LUXURY CARRIERS</t>
  </si>
  <si>
    <t>AND006 - ANDRE LEER PRODUKTE</t>
  </si>
  <si>
    <t>COB002 - COBBLER BOX</t>
  </si>
  <si>
    <t>CH001 - CRAFTY HIDE</t>
  </si>
  <si>
    <t>HOU013 - HOUT STREET DESIGN STUDIOS</t>
  </si>
  <si>
    <t>ALW010 - ALWYN ESTERHUIZEN</t>
  </si>
  <si>
    <t>KOM001 - KOMMAWEER STOFFEERDERS BK</t>
  </si>
  <si>
    <t>OAK005 - OAK TREE TRAVEL</t>
  </si>
  <si>
    <t>CRA002 - CRAZY COW LEATHERWARE</t>
  </si>
  <si>
    <t>NICK01 - NICK VAN DER WALT</t>
  </si>
  <si>
    <t>JAL001 - JALAD AFRICA PTY LTD</t>
  </si>
  <si>
    <t>BEL020 - BELLE AME DE DIEU</t>
  </si>
  <si>
    <t>ANG004 - D LAWFIVE/ NINA AND I</t>
  </si>
  <si>
    <t>ZUL004 - ZULFA</t>
  </si>
  <si>
    <t>FAN002 - FANLU LEATHER &amp; CANVAS</t>
  </si>
  <si>
    <t>HAM003 - HAMBA NAMI</t>
  </si>
  <si>
    <t>TOU005 - TOUCH OF STYLE</t>
  </si>
  <si>
    <t>CRA020 - CARLHORNS LEATHER</t>
  </si>
  <si>
    <t>AND013 - SOSTANZA</t>
  </si>
  <si>
    <t>AND007 - ANDI'S BAGS</t>
  </si>
  <si>
    <t>JIM001 - JAMMING &amp; JAZ (PTY) LTD</t>
  </si>
  <si>
    <t>KEL002 - KELLET UPHOLSTERY CENTRE &amp; SUNROOFS</t>
  </si>
  <si>
    <t>SKY002 - SKY &amp; EDEN</t>
  </si>
  <si>
    <t>ROS008 - Ross Buttle</t>
  </si>
  <si>
    <t>LIL005 - LILO LEATHER</t>
  </si>
  <si>
    <t>KAR012 - KARONGWE FURNITURE</t>
  </si>
  <si>
    <t>KLE004 - MOOI NE</t>
  </si>
  <si>
    <t>HEE001 - HEEL TO TOE</t>
  </si>
  <si>
    <t>KAM006 - KAMEELMOSSIE OUTDOOR</t>
  </si>
  <si>
    <t>LIM001 - LIM SPACES (PTY) T/A LIM</t>
  </si>
  <si>
    <t>COM011 - COMPONO PTY LTD</t>
  </si>
  <si>
    <t>MER001 - MERVIN'S DECOR</t>
  </si>
  <si>
    <t>UPH011 - UPHOLSTERY LEGENDS</t>
  </si>
  <si>
    <t>RIK001 - RIKA SMIT t/a RED CHERRY DESIGNS</t>
  </si>
  <si>
    <t>BOS003 - BOSSAK</t>
  </si>
  <si>
    <t>MIS001 - MISSIBABA</t>
  </si>
  <si>
    <t>SEI001 - STUDIO 8 INTERIORS</t>
  </si>
  <si>
    <t>PJM001 - PJ MULDER T/A REDLUM UPHOLSTERY</t>
  </si>
  <si>
    <t>MAR050 - MARIUS POTGIETER</t>
  </si>
  <si>
    <t>SHS001 - SHS OFFICE FURNITURE</t>
  </si>
  <si>
    <t>WLF001 - EARTH 2 FEET SHOES</t>
  </si>
  <si>
    <t>FUR006 - FURNITURE FACTORY SHOP</t>
  </si>
  <si>
    <t>MAK006 - MAKARIAN ENTERPRISES</t>
  </si>
  <si>
    <t>STY008 - STYLE 2 FUNK t/a CORPORATE STYLING</t>
  </si>
  <si>
    <t>THF001 - THERONS FOAM CRAFT CC</t>
  </si>
  <si>
    <t>STU008 - STUARTS JOINERY</t>
  </si>
  <si>
    <t>NAV002 - NAVA LEATHER (PTY) LTD</t>
  </si>
  <si>
    <t>KAY004 - KAYS FABRICS</t>
  </si>
  <si>
    <t>PIT002 - PITSO UPHOLSTERY</t>
  </si>
  <si>
    <t>RON005 - RONNIES SHOES</t>
  </si>
  <si>
    <t>HID006 - HIDE BY JUST KCOZ</t>
  </si>
  <si>
    <t>RHU003 - RHU AGENCY T/A RH UPHOLSTERY - ISIPINGO</t>
  </si>
  <si>
    <t>NAUD01 - NAUDE LEATHER</t>
  </si>
  <si>
    <t>ZAL001 - ZALUKI SHOES</t>
  </si>
  <si>
    <t>ESS021 - ESSEX INTERIORS</t>
  </si>
  <si>
    <t>BIN002 - BINNY BAGS</t>
  </si>
  <si>
    <t>KOO001 - KOOWEE COLLECTIVE</t>
  </si>
  <si>
    <t>NGA001 - NG AUTO TRIMMERS</t>
  </si>
  <si>
    <t>NEW012 - NEW LIFE UPHOLSTERY</t>
  </si>
  <si>
    <t>DES026 - DESIGN PARTNERSHIP RETAIL</t>
  </si>
  <si>
    <t>RET021 - RETRO CRAFT (PTY) LTD</t>
  </si>
  <si>
    <t>EGG001 - EGG DESIGNS CC</t>
  </si>
  <si>
    <t>FAP001 - FA PROJECT ARCADIA (PTY) LTD</t>
  </si>
  <si>
    <t>MAL009 - MALUBA</t>
  </si>
  <si>
    <t>PAI003 - PAINT N SPRAY</t>
  </si>
  <si>
    <t>CAL003 - CALGAN LOUNGE</t>
  </si>
  <si>
    <t>SLE001 - FURNITURE ART COMPANY</t>
  </si>
  <si>
    <t>ELI009 - LIELA'S ZEAL</t>
  </si>
  <si>
    <t>WIL019 - BUTTONED UP UPHOLSTERY (PTY) LTD T/A</t>
  </si>
  <si>
    <t>SKA001 - SKA INTERIORS</t>
  </si>
  <si>
    <t>HZ001 - HZ SIGNATURE UPHOLSTERY</t>
  </si>
  <si>
    <t>SAL012 - SALT ROCK PLASTICS CC</t>
  </si>
  <si>
    <t>AJK003 - AJK LEATHERS</t>
  </si>
  <si>
    <t>PAM003 - PAMA LEATHER</t>
  </si>
  <si>
    <t>BAT033 - BATYA SKLAAR</t>
  </si>
  <si>
    <t>AND004 - ANDREW DOMINIC FURNITURE (PTY) LTD</t>
  </si>
  <si>
    <t>CON001 - CONCORD INTERIORS</t>
  </si>
  <si>
    <t>THE018 - THE GRAND LIVING</t>
  </si>
  <si>
    <t>LOC003 - LOCAL ROOTS AFRICA</t>
  </si>
  <si>
    <t>TSO003 - TSOKA</t>
  </si>
  <si>
    <t>ILOV00 - I LOVE UPHOLSTERY</t>
  </si>
  <si>
    <t>STE014 - STEVE FORDE</t>
  </si>
  <si>
    <t>NIN002 - NINASKEP PTY LTD.</t>
  </si>
  <si>
    <t>ELA003 - ELEGANTLINE UPHOLSTERY</t>
  </si>
  <si>
    <t>NAA001 - NAAK COLLECTION PTY LTD T/A NAAK</t>
  </si>
  <si>
    <t>PRI011 - PRINS UPHOLSTERY</t>
  </si>
  <si>
    <t>COL006 - COLONY DESIGN</t>
  </si>
  <si>
    <t>OST001 - OSTRICH &amp; LEATHER TRADING</t>
  </si>
  <si>
    <t>TSH001 - TSHEPO JEANS (PTY) LTD</t>
  </si>
  <si>
    <t>COW002 - COWHIDE CONCEPTS</t>
  </si>
  <si>
    <t>FOR015 - FORWARD MOVEMENT</t>
  </si>
  <si>
    <t>PREB00 - PRETORIUS BROS LEATHER WORKS</t>
  </si>
  <si>
    <t>MYS001 - MYSTIC TRIBE</t>
  </si>
  <si>
    <t>DEK004 - DEKOTA &amp; CO</t>
  </si>
  <si>
    <t>THE03 - THE WILD THINGS</t>
  </si>
  <si>
    <t>BUS004 - BUSHVELD CRAFTS</t>
  </si>
  <si>
    <t>ZUK001 - ZUK HANDCRAFTED</t>
  </si>
  <si>
    <t>PLA012 - PLATVOET VELLIES CEDERBERGE</t>
  </si>
  <si>
    <t>LEA025 - DSIGNED LIVING SPACES (PTY) LTD</t>
  </si>
  <si>
    <t>BEU001 - BEULAH</t>
  </si>
  <si>
    <t>HAP002 - HAPPY SOLES</t>
  </si>
  <si>
    <t>STY021 - STYLE ARCHITECTS</t>
  </si>
  <si>
    <t>SER021 - SERGE INDUSTRIAL SEWING SOLUTIONS</t>
  </si>
  <si>
    <t>ROS021 - ROSALEES</t>
  </si>
  <si>
    <t>COA003 - COME AGAIN HOLDINGS</t>
  </si>
  <si>
    <t>MAL005 - MALANGA DESIGNS</t>
  </si>
  <si>
    <t>BAL002 - BALLERINA FOOTWEAR</t>
  </si>
  <si>
    <t>ALE007 - ALEC SHOES - RICHARDS BAY</t>
  </si>
  <si>
    <t>NKA001 - NKANYISO SHOES</t>
  </si>
  <si>
    <t>VIS002 - VKDB TRUST</t>
  </si>
  <si>
    <t>SOM006 - SOMETHING ELSE GEORGE JHB</t>
  </si>
  <si>
    <t>RUS002 - AFRIKANER KRAAL PTY LTD T/A</t>
  </si>
  <si>
    <t>DEW003 - DE WET LEATHER WORKS</t>
  </si>
  <si>
    <t>IMA005 - WORLD FOCUS 382 CC</t>
  </si>
  <si>
    <t>CKK001 - CK.K</t>
  </si>
  <si>
    <t>WAL010 - Walk In Gods Grace (PTY) LTD</t>
  </si>
  <si>
    <t>LUT004 - LUTHER JOOSTE T/A KT LEATHER</t>
  </si>
  <si>
    <t>MAN001 - MANOCK NATURALS</t>
  </si>
  <si>
    <t>CAR01 - CARAVAN COVERS</t>
  </si>
  <si>
    <t>ELE002 - TWINKEL SHOE INDUSTRIES CC T/A</t>
  </si>
  <si>
    <t>JOR003 - JORDI &amp; ELI (PTY) LTD</t>
  </si>
  <si>
    <t>ZAB001 - ZABELLAS GROUP OF COMPANIES (Pty) LTD</t>
  </si>
  <si>
    <t>BIA004 - BIANI HANDCRAFTED</t>
  </si>
  <si>
    <t>ALR001 - ALROY CALVERT</t>
  </si>
  <si>
    <t>BAB001 - BABY COUTURE (PTY) LTD</t>
  </si>
  <si>
    <t>SER009 - CEPATTI (PTY) LTD</t>
  </si>
  <si>
    <t>ADA011 - ADASAH ATELIER</t>
  </si>
  <si>
    <t>ATA001 - AT ART LEATHER</t>
  </si>
  <si>
    <t>UKU021 - UKUTHANDA GAME LODGE</t>
  </si>
  <si>
    <t>HOU016 - HOUSE OF CINNAMON</t>
  </si>
  <si>
    <t>STRA01 - STRAUSS AND CO LEATHERCRAFT</t>
  </si>
  <si>
    <t>STE016 - STEPHANIE CROSSLANDT/A YELLOW BRICK LEAT</t>
  </si>
  <si>
    <t>LEE011 - LEE UHMLANGA</t>
  </si>
  <si>
    <t>INT026 - INTERIOR HOME CONCEPTS - EMPANGENI</t>
  </si>
  <si>
    <t>GEN001 - GENIE UPHOLSTERY</t>
  </si>
  <si>
    <t>LEA036 - LEATHER BOUTIQUE</t>
  </si>
  <si>
    <t>Customer : SAV003 - SAVIOR BRAND CO. (Pty) Ltd</t>
  </si>
  <si>
    <t>Customer : SHA005 - THE SHALOM INTERIORS (PTY) LTD</t>
  </si>
  <si>
    <t>Customer : SOF008 - LANE IMPORT&amp; EXPORT INT CC T/A SOFAFURN</t>
  </si>
  <si>
    <t>Customer : SOF021 - SOFTLINE INTERIORS - KWAMASHU</t>
  </si>
  <si>
    <t>Customer : SOL005 - SOLES FOR AFRICA CC T/A BOET &amp; BETTY</t>
  </si>
  <si>
    <t>Customer : STR006 - STRAYZ</t>
  </si>
  <si>
    <t>Customer : SWE002 - SWEET PEAS</t>
  </si>
  <si>
    <t>Customer : TAG001 - TAGS BY ELYSIAN</t>
  </si>
  <si>
    <t>Customer : TAN001 - FUSION LEATHER WORLD (PTY) LTD</t>
  </si>
  <si>
    <t>Customer : THA003 - CARLA ASHTON T/A THANDANA BAGS</t>
  </si>
  <si>
    <t>Customer : THE077 - THE MIDLAND COBBLER</t>
  </si>
  <si>
    <t>Customer : TRE008 - TRENZADO FOOTWEAR</t>
  </si>
  <si>
    <t>Customer : TRI020 - TRINITY DESIGNS (IGALAJI BOYS INVESTMENT</t>
  </si>
  <si>
    <t>Customer : UGF001 - U &amp; G FABRICS</t>
  </si>
  <si>
    <t>Customer : UMH001 - UMHLALI UPHOLSTERS</t>
  </si>
  <si>
    <t>Customer : WIG001 - WIGGS COOLERS</t>
  </si>
  <si>
    <t>Customer : ZAL001 - ZALUKI SHOES</t>
  </si>
  <si>
    <t>Customer : ABE021 - ABEEZ UPHOLSTERY AND MOTOR TRIMMERS</t>
  </si>
  <si>
    <t>Customer : ABR005 - ABRAMS LEATHER</t>
  </si>
  <si>
    <t>Customer : ADA011 - ADASAH ATELIER</t>
  </si>
  <si>
    <t>Customer : AFO002 - AFRO COMFORT</t>
  </si>
  <si>
    <t>Customer : AJK003 - AJK LEATHERS</t>
  </si>
  <si>
    <t>Customer : ALW002 - ALWAYS AROUND (PTY) LTD T/A BEESDAM</t>
  </si>
  <si>
    <t>Customer : ALW010 - ALWYN ESTERHUIZEN</t>
  </si>
  <si>
    <t>Customer : AMO001 - AMOS JONES LEATHER</t>
  </si>
  <si>
    <t>Customer : ARC013 - ARCADIA DESIGNZ</t>
  </si>
  <si>
    <t>Customer : ARM004 - ARMIC DESIGN STUDIO</t>
  </si>
  <si>
    <t>Customer : ASH004 - ASHOK NARSAI INTERIORS</t>
  </si>
  <si>
    <t>Customer : ATH002 - A2HR COSMETIC SOLUTIONS (PTY) LTD</t>
  </si>
  <si>
    <t>Customer : ATP001 - ATPHOTO PTY LTD</t>
  </si>
  <si>
    <t>Customer : BAB001 - BABY COUTURE (PTY) LTD</t>
  </si>
  <si>
    <t>Customer : BAN001 - BANTU NOMAD</t>
  </si>
  <si>
    <t>Customer : BAR003 - E BARONOS LEATHER MANUFACTURERS CC</t>
  </si>
  <si>
    <t>Customer : BAR030 - BARKER STREET OFFICE FURNITURE</t>
  </si>
  <si>
    <t>Customer : BAT033 - BATYA SKLAAR</t>
  </si>
  <si>
    <t>Customer : BEC002 - BECK ERNST LIVING</t>
  </si>
  <si>
    <t>Customer : BEG001 - BEGIN WITH END IN MIND INTERIORS</t>
  </si>
  <si>
    <t>Customer : BEL020 - BELLE AME DE DIEU</t>
  </si>
  <si>
    <t>Customer : BEU001 - BEULAH</t>
  </si>
  <si>
    <t>Customer : BIA004 - BIANI HANDCRAFTED</t>
  </si>
  <si>
    <t>Customer : BLA008 - BLACK PLASTIC SA (PTY) LTD</t>
  </si>
  <si>
    <t>Customer : BLU011 - BLUE SERIF</t>
  </si>
  <si>
    <t>Customer : BOK002 - BOKSBURG UPHOLSTERY</t>
  </si>
  <si>
    <t>Customer : BOO002 - BOOT &amp; RALLY (PTY) (LTD)</t>
  </si>
  <si>
    <t>Customer : BOS010 - BOSVELD CANVAS AND LEATHER</t>
  </si>
  <si>
    <t>Customer : BUR008 - BURGER LEATHER PRODUCTS</t>
  </si>
  <si>
    <t>Customer : CA001 - CASH CUSTOMERS</t>
  </si>
  <si>
    <t>Customer : CAL003 - CALGAN LOUNGE</t>
  </si>
  <si>
    <t>Customer : CAL004 - CALABASH LEATHER</t>
  </si>
  <si>
    <t>Customer : CAT007 - CATTLE &amp; CO LEATHER</t>
  </si>
  <si>
    <t>Customer : CEC006 - CECIL NURSE A DIV BIDVEST OFFICE (PTY) L</t>
  </si>
  <si>
    <t>Customer : CEN015 - AAJKARAN ENTERPRISES (PTY) LTD</t>
  </si>
  <si>
    <t>Customer : CES021 - C’est La Vie Design and Create (Pty) Ltd</t>
  </si>
  <si>
    <t>Customer : CH001 - CRAFTY HIDE</t>
  </si>
  <si>
    <t>Customer : CHA030 - LIVING GREEN MOVEMENT</t>
  </si>
  <si>
    <t>Customer : CKK001 - CK.K</t>
  </si>
  <si>
    <t>Customer : COA003 - COME AGAIN HOLDINGS</t>
  </si>
  <si>
    <t>Customer : COL006 - COLONY DESIGN</t>
  </si>
  <si>
    <t>Customer : COM011 - COMPONO PTY LTD</t>
  </si>
  <si>
    <t>Customer : COV005 - COVERUP CONCEPTS</t>
  </si>
  <si>
    <t>Customer : COV021 - COVERFRESH UPHOLSTERY</t>
  </si>
  <si>
    <t>Customer : CRA010 - CRAWLERS</t>
  </si>
  <si>
    <t>Customer : D3F001 - D3 DECOR PTY LTD</t>
  </si>
  <si>
    <t>Customer : DEA015 - DEAR LOVE</t>
  </si>
  <si>
    <t>Customer : DEE001 - DEEP BLUE ENTERPRISES</t>
  </si>
  <si>
    <t>Customer : DEK004 - DEKOTA &amp; CO</t>
  </si>
  <si>
    <t>Customer : DES008 - SORELLE FURNITURE (PTY) LTD</t>
  </si>
  <si>
    <t>Customer : DES026 - DESIGN PARTNERSHIP RETAIL</t>
  </si>
  <si>
    <t>Customer : DJE001 - DJ EQUIPMENT SALES CC</t>
  </si>
  <si>
    <t>Customer : DME001 - DE MEILLON ENTERPRISE PTY LTD</t>
  </si>
  <si>
    <t>Customer : DOK001 - DOKTER &amp; MISSES</t>
  </si>
  <si>
    <t>Customer : DOU002 - DOUBLE BARREL CC</t>
  </si>
  <si>
    <t>Customer : EGA002 - EGAL</t>
  </si>
  <si>
    <t>Customer : ELA003 - ELEGANTLINE UPHOLSTERY</t>
  </si>
  <si>
    <t>Customer : ESS021 - ESSEX INTERIORS</t>
  </si>
  <si>
    <t>Customer : EVO001 - EVOTECH TRADING</t>
  </si>
  <si>
    <t>Customer : FAM001 - FOAM AND MORE</t>
  </si>
  <si>
    <t>Customer : FFUN01 - THE FURNITURE FUNDI</t>
  </si>
  <si>
    <t>Customer : FIL015 - TAU LEATHER SOUTH AFRICA (PTY) LTD</t>
  </si>
  <si>
    <t>Customer : FOR015 - FORWARD MOVEMENT</t>
  </si>
  <si>
    <t>Customer : FOU004 - FOUR CORNERS HOME</t>
  </si>
  <si>
    <t>Customer : GAM003 - GAMETAN</t>
  </si>
  <si>
    <t>Customer : GEL001 - SKOONSUS</t>
  </si>
  <si>
    <t>Customer : GOM001 - F. GOMES UPHOLSTERS</t>
  </si>
  <si>
    <t>Customer : GRO021 - GRONDPAD VELLIES</t>
  </si>
  <si>
    <t>Customer : HAN006 - HANSEL &amp; GRETEL BAGS</t>
  </si>
  <si>
    <t>Customer : HAW001 - HAWAII COMMODITIES</t>
  </si>
  <si>
    <t>Customer : HDM001 - HD Maintenance &amp; construction Pty Ltd</t>
  </si>
  <si>
    <t>Customer : HEE001 - HEEL TO TOE</t>
  </si>
  <si>
    <t>Customer : HEL002 - HELLO QUALITY (PTY) LTD</t>
  </si>
  <si>
    <t>Customer : HHC001 - ORIGIN MANUFACTURERS &amp; DISTRIBUTORS (PTY</t>
  </si>
  <si>
    <t>Customer : HID021 - HIDE &amp; STITCH</t>
  </si>
  <si>
    <t>Customer : HIG001 - HIGH THORN</t>
  </si>
  <si>
    <t>Customer : HNA001 - HNA</t>
  </si>
  <si>
    <t>Customer : HOB001 - HOBNOB MANUFACTURING (Pty) Ltd</t>
  </si>
  <si>
    <t>Customer : HOR003 - HORIZONTE CAR SEATS &amp; ENGINEERING</t>
  </si>
  <si>
    <t>Customer : HZ001 - HZ SIGNATURE UPHOLSTERY</t>
  </si>
  <si>
    <t>Customer : INR001 - INTERIO SA (PTY) LTD</t>
  </si>
  <si>
    <t>Customer : INS011 - INSPIRE RENTALS PTY LTD</t>
  </si>
  <si>
    <t>Customer : INT030 - INTERNATIONAL COMMODOTIES PTY LTD</t>
  </si>
  <si>
    <t>Customer : INTE02 - INTERWOVEN DECOR FABRICS (PTY) LTD</t>
  </si>
  <si>
    <t>Customer : INY011 - INYATHI LOUNGE (PTY) LTD</t>
  </si>
  <si>
    <t>Customer : ISL002 - ISLAND HOUSE TRADING 53 (Pty) Ltd t/a</t>
  </si>
  <si>
    <t>Customer : IVO002 - IVORY PALM  INTERIORS</t>
  </si>
  <si>
    <t>Customer : JAK012 - JAKS TRUST</t>
  </si>
  <si>
    <t>Customer : JAL001 - JALAD AFRICA PTY LTD</t>
  </si>
  <si>
    <t>Customer : JOY001 - JOY HOLDINGS 123 PTY</t>
  </si>
  <si>
    <t>Customer : JOZ001 - CALADO FOOTWEAR (PTY) LTD</t>
  </si>
  <si>
    <t>Customer : JUL003 - JULIANA DESIGNS (PTY) LTD</t>
  </si>
  <si>
    <t>Customer : KAK009 - KAKIEBOS HOLDINGS (PTY) LTD</t>
  </si>
  <si>
    <t>Customer : KAR012 - KARONGWE FURNITURE</t>
  </si>
  <si>
    <t>Customer : KEN003 - KENYON COLLECTIVE</t>
  </si>
  <si>
    <t>Customer : KER021 - KERF HANDSTITCHED</t>
  </si>
  <si>
    <t>Customer : KLE004 - MOOI NE</t>
  </si>
  <si>
    <t>Customer : KNA002 - KNAP SAK (PTY) LTD</t>
  </si>
  <si>
    <t>Customer : LAS002 - LASER CANDY T/A LOOI LEATHER</t>
  </si>
  <si>
    <t>Customer : LEA030 - PARIS MANUFACTURING (PTY) LTD</t>
  </si>
  <si>
    <t>Customer : LEA034 - LEATHERBACK HANDCRAFTED</t>
  </si>
  <si>
    <t>Customer : LEM009 - LEMY UPHOLSTERER</t>
  </si>
  <si>
    <t>Customer : LES010 - LESOTHO SHOE PARTS</t>
  </si>
  <si>
    <t>Customer : LHS001 - LHSA T/A LUXE</t>
  </si>
  <si>
    <t>Customer : LIL005 - LILO LEATHER</t>
  </si>
  <si>
    <t>Customer : LIN04 - LINEAR CONCEPTS PTY LTD</t>
  </si>
  <si>
    <t>Customer : LIO003 - LIONEL UPHOLSTERY</t>
  </si>
  <si>
    <t>Customer : LOC003 - LOCAL ROOTS AFRICA</t>
  </si>
  <si>
    <t>Customer : LOFT00 - LOFT AND LUXE</t>
  </si>
  <si>
    <t>Customer : LON003 - LONE LEATHERS (PTY) LTD</t>
  </si>
  <si>
    <t>Customer : LUK002 - LUK 4X4 ACCESSORIES PTY LTD</t>
  </si>
  <si>
    <t>Customer : LUL021 - LULLU &amp; ME</t>
  </si>
  <si>
    <t>Customer : MAG008 - MAGGIE M</t>
  </si>
  <si>
    <t>Customer : MAK006 - MAKARIAN ENTERPRISES</t>
  </si>
  <si>
    <t>Customer : MAN020 - MANTSHOLO CREATIONS PTY LTD</t>
  </si>
  <si>
    <t>Customer : MAR045 - MARK OF LEGEND</t>
  </si>
  <si>
    <t>Customer : MAR050 - MARIUS POTGIETER</t>
  </si>
  <si>
    <t>Customer : MARC06 - MARCEL NTEE</t>
  </si>
  <si>
    <t>Customer : MBD001 - MB DESIGN</t>
  </si>
  <si>
    <t>Customer : MEB001 - MEBALA (PTY) LTD</t>
  </si>
  <si>
    <t>Customer : MEL010 - MELANDRI VOS</t>
  </si>
  <si>
    <t>Customer : MEM006 - MEM DECOR DESIGNS</t>
  </si>
  <si>
    <t>Customer : MET003 - METRO LIFESTYLE CENTRE CENTURION</t>
  </si>
  <si>
    <t>Customer : MEU001 - MEUBEL &amp; MOTOR STOFFEERDERS</t>
  </si>
  <si>
    <t>Customer : MEZ001 - MEZZANINE</t>
  </si>
  <si>
    <t>Customer : MILL00 - THE MILL</t>
  </si>
  <si>
    <t>Customer : MKL001 - McFarlane &amp; Joseph t/a MKLA AFRICA</t>
  </si>
  <si>
    <t>Customer : MOT006 - MOTIFE INTERIORS</t>
  </si>
  <si>
    <t>Customer : MYS001 - MYSTIC TRIBE</t>
  </si>
  <si>
    <t>Customer : NAN005 - NA-NA SA HANDMADE</t>
  </si>
  <si>
    <t>Customer : NAS005 - NASHMART UPHOLSTERY</t>
  </si>
  <si>
    <t>Customer : NAUD01 - NAUDE LEATHER</t>
  </si>
  <si>
    <t>Customer : NEL020 - NEL DESIGN SA (PTY) LTD</t>
  </si>
  <si>
    <t>Customer : NIC012 - NICHE BOARD PRODUCTIONS T/A AT URBAN ART</t>
  </si>
  <si>
    <t>Customer : OAK002 - OAK LEATHER</t>
  </si>
  <si>
    <t>Customer : OKI001 - OKI LEATHERGOODS</t>
  </si>
  <si>
    <t>Customer : OUT010 - OUTBACK LEATHER</t>
  </si>
  <si>
    <t>Customer : PAC005 - PACHIPAMWE AFRICA</t>
  </si>
  <si>
    <t>Customer : PAI003 - PAINT N SPRAY</t>
  </si>
  <si>
    <t>Customer : PDJ001 - PDJ COLLECTIVE (PTY) LTD</t>
  </si>
  <si>
    <t>Customer : PHE001 - PHELAN LEATHERWORKS</t>
  </si>
  <si>
    <t>Customer : PJM001 - PJ MULDER T/A REDLUM UPHOLSTERY</t>
  </si>
  <si>
    <t>Customer : PMI001 - PMI STUDIO PTY LTD</t>
  </si>
  <si>
    <t>Customer : PREB00 - PRETORIUS BROS LEATHER WORKS</t>
  </si>
  <si>
    <t>Customer : RAG002 - RAGS TO RICHES UPHOLSTERERS</t>
  </si>
  <si>
    <t>Customer : RED008 - RED NOSE LEATHER</t>
  </si>
  <si>
    <t>Customer : RET002 - FINECAST PTY T/A RETROFITBOSS</t>
  </si>
  <si>
    <t>Customer : RET021 - RETRO CRAFT (PTY) LTD</t>
  </si>
  <si>
    <t>Customer : ROS021 - ROSALEES</t>
  </si>
  <si>
    <t>Customer : RUS001 - RUSTIC LOVE</t>
  </si>
  <si>
    <t>Customer : S2Z001 - S2ZERO PTY LTD</t>
  </si>
  <si>
    <t>Customer : SAI006 - SA INTERIORS</t>
  </si>
  <si>
    <t>Customer : SAS018 - SASOL</t>
  </si>
  <si>
    <t>Customer : SEB011 - SEBOGODI HOUSE OF LEATHER</t>
  </si>
  <si>
    <t>Customer : SEI001 - STUDIO 8 INTERIORS</t>
  </si>
  <si>
    <t>Customer : SER009 - CEPATTI (PTY) LTD</t>
  </si>
  <si>
    <t>Customer : SER021 - SERGE INDUSTRIAL SEWING SOLUTIONS</t>
  </si>
  <si>
    <t>Customer : SEV002 - SEVENS DESIGNS PTY LTD</t>
  </si>
  <si>
    <t>Customer : SHS001 - SHS OFFICE FURNITURE</t>
  </si>
  <si>
    <t>Customer : SKA001 - SKA INTERIORS</t>
  </si>
  <si>
    <t>Customer : SKI003 - SKINS FABRICATION (PTY) LTD</t>
  </si>
  <si>
    <t>Customer : SLE004 - SLEEP JOY</t>
  </si>
  <si>
    <t>Customer : SME001 - SMERILLI DESIGN MANUFACTURING (PTY) LTD</t>
  </si>
  <si>
    <t>Customer : SNY001 - SNYMAN QUALITY FURNISHERS</t>
  </si>
  <si>
    <t>Customer : SOM006 - SOMETHING ELSE GEORGE JHB</t>
  </si>
  <si>
    <t>Customer : SOT001 - SOTRAN TRADING 57 CC</t>
  </si>
  <si>
    <t>Customer : STY008 - STYLE 2 FUNK t/a CORPORATE STYLING</t>
  </si>
  <si>
    <t>Customer : STY021 - STYLE ARCHITECTS</t>
  </si>
  <si>
    <t>Customer : SWI001 - SWISH &amp; SWANK</t>
  </si>
  <si>
    <t>Customer : TEB003 - TEBOGO KEKANA</t>
  </si>
  <si>
    <t>Customer : TFC001 - 21ST CENTURY CHAIRS</t>
  </si>
  <si>
    <t>Customer : TGK001 - TGK UPHOLSTERY</t>
  </si>
  <si>
    <t>Customer : THE018 - THE GRAND LIVING</t>
  </si>
  <si>
    <t>Customer : THE028 - THE URBANATIVE</t>
  </si>
  <si>
    <t>Customer : THE053 - THEMBA MAPHUKI T/A LEATHER DESIGNS</t>
  </si>
  <si>
    <t>Customer : THF001 - THERONS FOAM CRAFT CC</t>
  </si>
  <si>
    <t>Customer : TOM006 - TOM SHOE MANUFACTURING CC</t>
  </si>
  <si>
    <t>Customer : TON001 - TONIC DESIGN CC</t>
  </si>
  <si>
    <t>Customer : TOP009 - TOPMAN LEATHERS</t>
  </si>
  <si>
    <t>Customer : TSH001 - TSHEPO JEANS (PTY) LTD</t>
  </si>
  <si>
    <t>Customer : UKU021 - UKUTHANDA GAME LODGE</t>
  </si>
  <si>
    <t>Customer : ULT002 - ULTIMATE UPHOLSTERY</t>
  </si>
  <si>
    <t>Customer : UVA011 - UVAMI GUN ACCESSORIES CC</t>
  </si>
  <si>
    <t>Customer : VAR001 - VA-ROOM INTERIORS</t>
  </si>
  <si>
    <t>Customer : VER001 - VERMONT LEATHER</t>
  </si>
  <si>
    <t>Customer : VER006 - VERTEX UPHOLSTERY (PTY) LTD</t>
  </si>
  <si>
    <t>Customer : WAL004 - WALKING WOOD Pty Ltd</t>
  </si>
  <si>
    <t>Customer : WHA001 - WHATNOT NATURAL FABRICS CC</t>
  </si>
  <si>
    <t>Customer : WIL020 - WILLEBOK LEATHER</t>
  </si>
  <si>
    <t>Customer : WOO003 - WOODLAM</t>
  </si>
  <si>
    <t>Customer : WOR007 - WORSHOND VELLIES</t>
  </si>
  <si>
    <t>Customer : XDL001 - XD LEATHER</t>
  </si>
  <si>
    <t>Customer : YEL003 - YELO BUTTON UPHOLSTERY</t>
  </si>
  <si>
    <t>Customer : ZAB001 - ZABELLAS GROUP OF COMPANIES (Pty) LTD</t>
  </si>
  <si>
    <t>Customer : ZAP001 - ZAPPHIRE UPHOLSTERY</t>
  </si>
  <si>
    <t>Customer : ZCR001 - Z CREATIONS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</si>
</sst>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43" formatCode="_-* #,##0.00_-;\-* #,##0.00_-;_-* &quot;-&quot;??_-;_-@_-"/>
    <numFmt numFmtId="164" formatCode="_(&quot;$&quot;* #,##0.00_);_(&quot;$&quot;* \(#,##0.00\);_(&quot;$&quot;* &quot;-&quot;??_);_(@_)"/>
    <numFmt numFmtId="165" formatCode="_(* #,##0.00_);_(* \(#,##0.00\);_(* &quot;-&quot;??_);_(@_)"/>
    <numFmt numFmtId="166" formatCode="&quot;R&quot;\ #,##0.00;[Red]&quot;R&quot;\ \-#,##0.00"/>
    <numFmt numFmtId="167" formatCode="_ &quot;R&quot;\ * #,##0.00_ ;_ &quot;R&quot;\ * \-#,##0.00_ ;_ &quot;R&quot;\ * &quot;-&quot;??_ ;_ @_ "/>
    <numFmt numFmtId="168" formatCode="_ * #,##0.00_ ;_ * \-#,##0.00_ ;_ * &quot;-&quot;??_ ;_ @_ "/>
    <numFmt numFmtId="169" formatCode="&quot;R&quot;\ #,##0.00"/>
    <numFmt numFmtId="170" formatCode="[$R-1C09]\ #,##0.00"/>
    <numFmt numFmtId="171" formatCode="[$$-409]#,##0.00"/>
    <numFmt numFmtId="172" formatCode="&quot;$&quot;#,##0.00"/>
    <numFmt numFmtId="173" formatCode="#,##0.0000"/>
    <numFmt numFmtId="174" formatCode="[$$-1409]#,##0.00"/>
    <numFmt numFmtId="175" formatCode="0.00;[Red]0.00"/>
    <numFmt numFmtId="176" formatCode="0.00_ ;[Red]\-0.00\ "/>
    <numFmt numFmtId="177" formatCode="_-[$R-1C09]* #,##0.00_-;\-[$R-1C09]* #,##0.00_-;_-[$R-1C09]* &quot;-&quot;??_-;_-@_-"/>
    <numFmt numFmtId="178" formatCode="&quot;R&quot;#,##0.00"/>
    <numFmt numFmtId="179" formatCode="#,##0.00000000000"/>
  </numFmts>
  <fonts count="3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0"/>
      <name val="Tahoma"/>
      <family val="2"/>
    </font>
    <font>
      <sz val="9"/>
      <color theme="1"/>
      <name val="Calibri"/>
      <family val="2"/>
      <scheme val="minor"/>
    </font>
    <font>
      <b/>
      <sz val="10"/>
      <name val="Tahoma"/>
      <family val="2"/>
    </font>
    <font>
      <sz val="10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u/>
      <sz val="12"/>
      <name val="Calibri"/>
      <family val="2"/>
      <scheme val="minor"/>
    </font>
    <font>
      <sz val="9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  <family val="2"/>
    </font>
    <font>
      <b/>
      <u/>
      <sz val="9"/>
      <name val="Calibri"/>
      <family val="2"/>
      <scheme val="minor"/>
    </font>
    <font>
      <b/>
      <sz val="9"/>
      <name val="Calibri"/>
      <family val="2"/>
      <scheme val="minor"/>
    </font>
    <font>
      <sz val="11"/>
      <name val="Calibri"/>
      <family val="2"/>
    </font>
    <font>
      <sz val="10"/>
      <name val="Tahoma"/>
      <family val="2"/>
    </font>
    <font>
      <sz val="9"/>
      <color rgb="FF000000"/>
      <name val="Calibri"/>
      <family val="2"/>
    </font>
    <font>
      <sz val="12"/>
      <color theme="1"/>
      <name val="Calibri"/>
      <family val="2"/>
      <scheme val="minor"/>
    </font>
    <font>
      <sz val="11"/>
      <color rgb="FF000000"/>
      <name val="Calibri"/>
      <family val="2"/>
    </font>
    <font>
      <sz val="12"/>
      <color theme="1"/>
      <name val="Aptos"/>
      <family val="2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</fills>
  <borders count="6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theme="1"/>
      </left>
      <right/>
      <top style="medium">
        <color theme="1"/>
      </top>
      <bottom/>
      <diagonal/>
    </border>
    <border>
      <left/>
      <right/>
      <top style="medium">
        <color theme="1"/>
      </top>
      <bottom/>
      <diagonal/>
    </border>
    <border>
      <left/>
      <right style="medium">
        <color theme="1"/>
      </right>
      <top style="medium">
        <color theme="1"/>
      </top>
      <bottom/>
      <diagonal/>
    </border>
    <border>
      <left style="medium">
        <color theme="1"/>
      </left>
      <right/>
      <top/>
      <bottom/>
      <diagonal/>
    </border>
    <border>
      <left/>
      <right style="medium">
        <color theme="1"/>
      </right>
      <top/>
      <bottom/>
      <diagonal/>
    </border>
    <border>
      <left style="medium">
        <color theme="1"/>
      </left>
      <right/>
      <top/>
      <bottom style="medium">
        <color theme="1"/>
      </bottom>
      <diagonal/>
    </border>
    <border>
      <left/>
      <right/>
      <top/>
      <bottom style="medium">
        <color theme="1"/>
      </bottom>
      <diagonal/>
    </border>
    <border>
      <left/>
      <right style="medium">
        <color theme="1"/>
      </right>
      <top/>
      <bottom style="medium">
        <color theme="1"/>
      </bottom>
      <diagonal/>
    </border>
    <border>
      <left style="medium">
        <color theme="1"/>
      </left>
      <right/>
      <top style="medium">
        <color theme="1"/>
      </top>
      <bottom style="medium">
        <color theme="1"/>
      </bottom>
      <diagonal/>
    </border>
    <border>
      <left/>
      <right style="medium">
        <color theme="1"/>
      </right>
      <top style="medium">
        <color theme="1"/>
      </top>
      <bottom style="medium">
        <color theme="1"/>
      </bottom>
      <diagonal/>
    </border>
    <border>
      <left style="medium">
        <color theme="1"/>
      </left>
      <right style="thin">
        <color indexed="64"/>
      </right>
      <top style="medium">
        <color theme="1"/>
      </top>
      <bottom style="thin">
        <color indexed="64"/>
      </bottom>
      <diagonal/>
    </border>
    <border>
      <left style="thin">
        <color indexed="64"/>
      </left>
      <right style="medium">
        <color theme="1"/>
      </right>
      <top style="medium">
        <color theme="1"/>
      </top>
      <bottom style="thin">
        <color indexed="64"/>
      </bottom>
      <diagonal/>
    </border>
    <border>
      <left style="medium">
        <color theme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theme="1"/>
      </right>
      <top style="thin">
        <color indexed="64"/>
      </top>
      <bottom style="thin">
        <color indexed="64"/>
      </bottom>
      <diagonal/>
    </border>
    <border>
      <left style="medium">
        <color theme="1"/>
      </left>
      <right style="thin">
        <color indexed="64"/>
      </right>
      <top style="thin">
        <color indexed="64"/>
      </top>
      <bottom style="medium">
        <color theme="1"/>
      </bottom>
      <diagonal/>
    </border>
    <border>
      <left style="thin">
        <color indexed="64"/>
      </left>
      <right style="medium">
        <color theme="1"/>
      </right>
      <top style="thin">
        <color indexed="64"/>
      </top>
      <bottom style="medium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/>
      <top style="thin">
        <color indexed="64"/>
      </top>
      <bottom style="medium">
        <color theme="1"/>
      </bottom>
      <diagonal/>
    </border>
    <border>
      <left style="medium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medium">
        <color theme="1"/>
      </right>
      <top style="thin">
        <color theme="1"/>
      </top>
      <bottom style="thin">
        <color theme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210">
    <xf numFmtId="0" fontId="0" fillId="0" borderId="0"/>
    <xf numFmtId="0" fontId="8" fillId="0" borderId="0"/>
    <xf numFmtId="167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23" applyNumberFormat="0" applyFill="0" applyAlignment="0" applyProtection="0"/>
    <xf numFmtId="0" fontId="17" fillId="0" borderId="24" applyNumberFormat="0" applyFill="0" applyAlignment="0" applyProtection="0"/>
    <xf numFmtId="0" fontId="18" fillId="0" borderId="25" applyNumberFormat="0" applyFill="0" applyAlignment="0" applyProtection="0"/>
    <xf numFmtId="0" fontId="18" fillId="0" borderId="0" applyNumberFormat="0" applyFill="0" applyBorder="0" applyAlignment="0" applyProtection="0"/>
    <xf numFmtId="0" fontId="19" fillId="2" borderId="0" applyNumberFormat="0" applyBorder="0" applyAlignment="0" applyProtection="0"/>
    <xf numFmtId="0" fontId="20" fillId="3" borderId="0" applyNumberFormat="0" applyBorder="0" applyAlignment="0" applyProtection="0"/>
    <xf numFmtId="0" fontId="21" fillId="4" borderId="0" applyNumberFormat="0" applyBorder="0" applyAlignment="0" applyProtection="0"/>
    <xf numFmtId="0" fontId="22" fillId="5" borderId="26" applyNumberFormat="0" applyAlignment="0" applyProtection="0"/>
    <xf numFmtId="0" fontId="23" fillId="6" borderId="27" applyNumberFormat="0" applyAlignment="0" applyProtection="0"/>
    <xf numFmtId="0" fontId="24" fillId="6" borderId="26" applyNumberFormat="0" applyAlignment="0" applyProtection="0"/>
    <xf numFmtId="0" fontId="25" fillId="0" borderId="28" applyNumberFormat="0" applyFill="0" applyAlignment="0" applyProtection="0"/>
    <xf numFmtId="0" fontId="26" fillId="7" borderId="29" applyNumberFormat="0" applyAlignment="0" applyProtection="0"/>
    <xf numFmtId="0" fontId="27" fillId="0" borderId="0" applyNumberFormat="0" applyFill="0" applyBorder="0" applyAlignment="0" applyProtection="0"/>
    <xf numFmtId="0" fontId="8" fillId="8" borderId="30" applyNumberFormat="0" applyFont="0" applyAlignment="0" applyProtection="0"/>
    <xf numFmtId="0" fontId="28" fillId="0" borderId="0" applyNumberFormat="0" applyFill="0" applyBorder="0" applyAlignment="0" applyProtection="0"/>
    <xf numFmtId="0" fontId="1" fillId="0" borderId="31" applyNumberFormat="0" applyFill="0" applyAlignment="0" applyProtection="0"/>
    <xf numFmtId="0" fontId="29" fillId="9" borderId="0" applyNumberFormat="0" applyBorder="0" applyAlignment="0" applyProtection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29" fillId="12" borderId="0" applyNumberFormat="0" applyBorder="0" applyAlignment="0" applyProtection="0"/>
    <xf numFmtId="0" fontId="29" fillId="13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29" fillId="16" borderId="0" applyNumberFormat="0" applyBorder="0" applyAlignment="0" applyProtection="0"/>
    <xf numFmtId="0" fontId="29" fillId="17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29" fillId="20" borderId="0" applyNumberFormat="0" applyBorder="0" applyAlignment="0" applyProtection="0"/>
    <xf numFmtId="0" fontId="29" fillId="21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29" fillId="24" borderId="0" applyNumberFormat="0" applyBorder="0" applyAlignment="0" applyProtection="0"/>
    <xf numFmtId="0" fontId="29" fillId="25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29" fillId="28" borderId="0" applyNumberFormat="0" applyBorder="0" applyAlignment="0" applyProtection="0"/>
    <xf numFmtId="0" fontId="29" fillId="29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0" fontId="29" fillId="32" borderId="0" applyNumberFormat="0" applyBorder="0" applyAlignment="0" applyProtection="0"/>
    <xf numFmtId="168" fontId="3" fillId="0" borderId="0" applyFont="0" applyFill="0" applyBorder="0" applyAlignment="0" applyProtection="0"/>
    <xf numFmtId="0" fontId="3" fillId="0" borderId="0"/>
    <xf numFmtId="168" fontId="3" fillId="0" borderId="0" applyFont="0" applyFill="0" applyBorder="0" applyAlignment="0" applyProtection="0"/>
    <xf numFmtId="0" fontId="3" fillId="0" borderId="0"/>
    <xf numFmtId="0" fontId="30" fillId="0" borderId="0"/>
    <xf numFmtId="0" fontId="33" fillId="0" borderId="0"/>
    <xf numFmtId="0" fontId="34" fillId="0" borderId="0"/>
    <xf numFmtId="168" fontId="34" fillId="0" borderId="0" applyFont="0" applyFill="0" applyBorder="0" applyAlignment="0" applyProtection="0"/>
    <xf numFmtId="0" fontId="8" fillId="0" borderId="0"/>
    <xf numFmtId="0" fontId="8" fillId="0" borderId="0"/>
    <xf numFmtId="9" fontId="34" fillId="0" borderId="0" applyFont="0" applyFill="0" applyBorder="0" applyAlignment="0" applyProtection="0"/>
    <xf numFmtId="0" fontId="3" fillId="0" borderId="0"/>
    <xf numFmtId="168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0" fillId="0" borderId="0"/>
    <xf numFmtId="165" fontId="30" fillId="0" borderId="0" applyFont="0" applyFill="0" applyBorder="0" applyAlignment="0" applyProtection="0"/>
    <xf numFmtId="168" fontId="8" fillId="0" borderId="0" applyFont="0" applyFill="0" applyBorder="0" applyAlignment="0" applyProtection="0"/>
    <xf numFmtId="165" fontId="30" fillId="0" borderId="0" applyFont="0" applyFill="0" applyBorder="0" applyAlignment="0" applyProtection="0"/>
    <xf numFmtId="0" fontId="34" fillId="0" borderId="0"/>
    <xf numFmtId="168" fontId="34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4" fillId="0" borderId="0" applyFont="0" applyFill="0" applyBorder="0" applyAlignment="0" applyProtection="0"/>
    <xf numFmtId="168" fontId="3" fillId="0" borderId="0" applyFont="0" applyFill="0" applyBorder="0" applyAlignment="0" applyProtection="0"/>
    <xf numFmtId="167" fontId="8" fillId="0" borderId="0" applyFont="0" applyFill="0" applyBorder="0" applyAlignment="0" applyProtection="0"/>
    <xf numFmtId="0" fontId="3" fillId="0" borderId="0"/>
    <xf numFmtId="0" fontId="8" fillId="0" borderId="0"/>
    <xf numFmtId="0" fontId="8" fillId="0" borderId="0"/>
    <xf numFmtId="0" fontId="3" fillId="0" borderId="0"/>
    <xf numFmtId="0" fontId="3" fillId="0" borderId="0"/>
    <xf numFmtId="0" fontId="8" fillId="8" borderId="30" applyNumberFormat="0" applyFont="0" applyAlignment="0" applyProtection="0"/>
    <xf numFmtId="9" fontId="34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8" fillId="0" borderId="0"/>
    <xf numFmtId="0" fontId="3" fillId="0" borderId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8" fillId="0" borderId="0"/>
    <xf numFmtId="165" fontId="30" fillId="0" borderId="0" applyFont="0" applyFill="0" applyBorder="0" applyAlignment="0" applyProtection="0"/>
    <xf numFmtId="0" fontId="8" fillId="0" borderId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0" fontId="3" fillId="0" borderId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0" fontId="8" fillId="0" borderId="0"/>
    <xf numFmtId="0" fontId="8" fillId="8" borderId="30" applyNumberFormat="0" applyFont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8" fillId="0" borderId="0"/>
    <xf numFmtId="0" fontId="8" fillId="0" borderId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0" fontId="3" fillId="0" borderId="0"/>
    <xf numFmtId="168" fontId="3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0" fontId="8" fillId="0" borderId="0"/>
    <xf numFmtId="0" fontId="8" fillId="0" borderId="0"/>
    <xf numFmtId="0" fontId="8" fillId="8" borderId="30" applyNumberFormat="0" applyFont="0" applyAlignment="0" applyProtection="0"/>
    <xf numFmtId="9" fontId="3" fillId="0" borderId="0" applyFont="0" applyFill="0" applyBorder="0" applyAlignment="0" applyProtection="0"/>
    <xf numFmtId="0" fontId="8" fillId="0" borderId="0"/>
    <xf numFmtId="0" fontId="8" fillId="0" borderId="0"/>
    <xf numFmtId="168" fontId="8" fillId="0" borderId="0" applyFont="0" applyFill="0" applyBorder="0" applyAlignment="0" applyProtection="0"/>
    <xf numFmtId="0" fontId="8" fillId="0" borderId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0" fontId="3" fillId="0" borderId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0" fontId="8" fillId="0" borderId="0"/>
    <xf numFmtId="0" fontId="8" fillId="8" borderId="30" applyNumberFormat="0" applyFont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8" fillId="0" borderId="0"/>
    <xf numFmtId="0" fontId="8" fillId="0" borderId="0"/>
    <xf numFmtId="168" fontId="8" fillId="0" borderId="0" applyFont="0" applyFill="0" applyBorder="0" applyAlignment="0" applyProtection="0"/>
    <xf numFmtId="0" fontId="8" fillId="0" borderId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0" fontId="8" fillId="0" borderId="0"/>
    <xf numFmtId="0" fontId="8" fillId="0" borderId="0"/>
    <xf numFmtId="0" fontId="8" fillId="8" borderId="30" applyNumberFormat="0" applyFont="0" applyAlignment="0" applyProtection="0"/>
    <xf numFmtId="0" fontId="8" fillId="0" borderId="0"/>
    <xf numFmtId="0" fontId="33" fillId="0" borderId="0"/>
    <xf numFmtId="0" fontId="3" fillId="0" borderId="0"/>
    <xf numFmtId="168" fontId="3" fillId="0" borderId="0" applyFont="0" applyFill="0" applyBorder="0" applyAlignment="0" applyProtection="0"/>
    <xf numFmtId="0" fontId="3" fillId="0" borderId="0"/>
    <xf numFmtId="168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168" fontId="3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3" fillId="0" borderId="0"/>
    <xf numFmtId="168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168" fontId="3" fillId="0" borderId="0" applyFont="0" applyFill="0" applyBorder="0" applyAlignment="0" applyProtection="0"/>
    <xf numFmtId="0" fontId="3" fillId="0" borderId="0"/>
    <xf numFmtId="168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9" fontId="3" fillId="0" borderId="0" applyFont="0" applyFill="0" applyBorder="0" applyAlignment="0" applyProtection="0"/>
  </cellStyleXfs>
  <cellXfs count="251">
    <xf numFmtId="0" fontId="0" fillId="0" borderId="0" xfId="0"/>
    <xf numFmtId="0" fontId="0" fillId="0" borderId="11" xfId="0" applyBorder="1"/>
    <xf numFmtId="169" fontId="10" fillId="0" borderId="0" xfId="2" applyNumberFormat="1" applyFont="1" applyFill="1" applyAlignment="1">
      <alignment horizontal="center" vertical="center"/>
    </xf>
    <xf numFmtId="0" fontId="0" fillId="0" borderId="0" xfId="0" applyAlignment="1">
      <alignment vertical="center"/>
    </xf>
    <xf numFmtId="169" fontId="10" fillId="0" borderId="11" xfId="2" applyNumberFormat="1" applyFont="1" applyFill="1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169" fontId="10" fillId="0" borderId="18" xfId="2" applyNumberFormat="1" applyFont="1" applyFill="1" applyBorder="1" applyAlignment="1">
      <alignment horizontal="center" vertical="center" wrapText="1"/>
    </xf>
    <xf numFmtId="169" fontId="10" fillId="0" borderId="19" xfId="2" applyNumberFormat="1" applyFont="1" applyFill="1" applyBorder="1" applyAlignment="1">
      <alignment horizontal="center" vertical="center" wrapText="1"/>
    </xf>
    <xf numFmtId="169" fontId="10" fillId="0" borderId="11" xfId="2" applyNumberFormat="1" applyFont="1" applyFill="1" applyBorder="1" applyAlignment="1">
      <alignment horizontal="center"/>
    </xf>
    <xf numFmtId="169" fontId="10" fillId="0" borderId="18" xfId="2" applyNumberFormat="1" applyFont="1" applyFill="1" applyBorder="1" applyAlignment="1">
      <alignment horizontal="center"/>
    </xf>
    <xf numFmtId="169" fontId="10" fillId="0" borderId="19" xfId="2" applyNumberFormat="1" applyFont="1" applyFill="1" applyBorder="1" applyAlignment="1">
      <alignment horizontal="center"/>
    </xf>
    <xf numFmtId="169" fontId="10" fillId="0" borderId="11" xfId="0" applyNumberFormat="1" applyFont="1" applyBorder="1" applyAlignment="1">
      <alignment horizontal="center"/>
    </xf>
    <xf numFmtId="169" fontId="0" fillId="0" borderId="0" xfId="0" applyNumberFormat="1" applyAlignment="1">
      <alignment horizontal="center"/>
    </xf>
    <xf numFmtId="169" fontId="10" fillId="0" borderId="0" xfId="2" applyNumberFormat="1" applyFont="1" applyFill="1" applyAlignment="1">
      <alignment horizontal="center"/>
    </xf>
    <xf numFmtId="0" fontId="0" fillId="0" borderId="0" xfId="0" applyAlignment="1">
      <alignment horizontal="center"/>
    </xf>
    <xf numFmtId="175" fontId="4" fillId="0" borderId="0" xfId="0" applyNumberFormat="1" applyFont="1"/>
    <xf numFmtId="169" fontId="10" fillId="0" borderId="16" xfId="2" applyNumberFormat="1" applyFont="1" applyFill="1" applyBorder="1" applyAlignment="1">
      <alignment horizontal="center"/>
    </xf>
    <xf numFmtId="0" fontId="4" fillId="0" borderId="11" xfId="0" applyFont="1" applyBorder="1" applyAlignment="1">
      <alignment horizontal="center"/>
    </xf>
    <xf numFmtId="176" fontId="4" fillId="0" borderId="11" xfId="0" applyNumberFormat="1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 wrapText="1"/>
    </xf>
    <xf numFmtId="0" fontId="4" fillId="0" borderId="18" xfId="0" applyFont="1" applyBorder="1" applyAlignment="1">
      <alignment horizontal="center"/>
    </xf>
    <xf numFmtId="0" fontId="12" fillId="0" borderId="17" xfId="0" applyFont="1" applyBorder="1" applyAlignment="1">
      <alignment horizontal="left" vertical="center"/>
    </xf>
    <xf numFmtId="169" fontId="10" fillId="0" borderId="18" xfId="4" applyNumberFormat="1" applyFont="1" applyFill="1" applyBorder="1" applyAlignment="1">
      <alignment horizontal="center"/>
    </xf>
    <xf numFmtId="169" fontId="10" fillId="0" borderId="19" xfId="4" applyNumberFormat="1" applyFont="1" applyFill="1" applyBorder="1" applyAlignment="1">
      <alignment horizontal="center"/>
    </xf>
    <xf numFmtId="0" fontId="13" fillId="0" borderId="11" xfId="0" applyFont="1" applyBorder="1" applyAlignment="1">
      <alignment horizontal="left" vertical="center"/>
    </xf>
    <xf numFmtId="169" fontId="10" fillId="0" borderId="11" xfId="4" applyNumberFormat="1" applyFont="1" applyFill="1" applyBorder="1" applyAlignment="1">
      <alignment horizontal="center"/>
    </xf>
    <xf numFmtId="0" fontId="9" fillId="0" borderId="0" xfId="0" applyFont="1" applyAlignment="1">
      <alignment vertical="center"/>
    </xf>
    <xf numFmtId="0" fontId="0" fillId="0" borderId="0" xfId="0" applyAlignment="1">
      <alignment horizontal="center" vertical="center"/>
    </xf>
    <xf numFmtId="175" fontId="4" fillId="0" borderId="0" xfId="0" applyNumberFormat="1" applyFont="1" applyAlignment="1">
      <alignment vertical="center"/>
    </xf>
    <xf numFmtId="169" fontId="10" fillId="0" borderId="0" xfId="4" applyNumberFormat="1" applyFont="1" applyFill="1" applyAlignment="1">
      <alignment horizontal="center" vertical="center"/>
    </xf>
    <xf numFmtId="0" fontId="11" fillId="0" borderId="11" xfId="0" applyFont="1" applyBorder="1" applyAlignment="1">
      <alignment vertical="center" wrapText="1"/>
    </xf>
    <xf numFmtId="175" fontId="11" fillId="0" borderId="11" xfId="0" applyNumberFormat="1" applyFont="1" applyBorder="1" applyAlignment="1">
      <alignment horizontal="center" vertical="center" wrapText="1"/>
    </xf>
    <xf numFmtId="169" fontId="10" fillId="0" borderId="11" xfId="4" applyNumberFormat="1" applyFont="1" applyFill="1" applyBorder="1" applyAlignment="1">
      <alignment horizontal="center" vertical="center" wrapText="1"/>
    </xf>
    <xf numFmtId="0" fontId="13" fillId="0" borderId="22" xfId="0" applyFont="1" applyBorder="1" applyAlignment="1">
      <alignment horizontal="left" vertical="center"/>
    </xf>
    <xf numFmtId="169" fontId="10" fillId="0" borderId="0" xfId="4" applyNumberFormat="1" applyFont="1" applyFill="1" applyAlignment="1">
      <alignment horizontal="center"/>
    </xf>
    <xf numFmtId="169" fontId="14" fillId="0" borderId="16" xfId="0" applyNumberFormat="1" applyFont="1" applyBorder="1" applyAlignment="1">
      <alignment horizontal="center"/>
    </xf>
    <xf numFmtId="169" fontId="10" fillId="0" borderId="16" xfId="4" applyNumberFormat="1" applyFont="1" applyFill="1" applyBorder="1" applyAlignment="1">
      <alignment horizontal="center"/>
    </xf>
    <xf numFmtId="176" fontId="4" fillId="0" borderId="18" xfId="0" applyNumberFormat="1" applyFont="1" applyBorder="1" applyAlignment="1">
      <alignment horizontal="center" vertical="center"/>
    </xf>
    <xf numFmtId="4" fontId="4" fillId="0" borderId="16" xfId="0" applyNumberFormat="1" applyFont="1" applyBorder="1" applyAlignment="1">
      <alignment horizontal="center"/>
    </xf>
    <xf numFmtId="0" fontId="0" fillId="0" borderId="16" xfId="0" applyBorder="1" applyAlignment="1">
      <alignment horizontal="center"/>
    </xf>
    <xf numFmtId="169" fontId="4" fillId="0" borderId="19" xfId="0" applyNumberFormat="1" applyFont="1" applyBorder="1" applyAlignment="1">
      <alignment horizontal="center"/>
    </xf>
    <xf numFmtId="0" fontId="31" fillId="0" borderId="11" xfId="0" applyFont="1" applyBorder="1" applyAlignment="1">
      <alignment horizontal="left" vertical="center"/>
    </xf>
    <xf numFmtId="0" fontId="12" fillId="33" borderId="17" xfId="0" applyFont="1" applyFill="1" applyBorder="1" applyAlignment="1">
      <alignment horizontal="left" vertical="center"/>
    </xf>
    <xf numFmtId="0" fontId="4" fillId="33" borderId="18" xfId="0" applyFont="1" applyFill="1" applyBorder="1" applyAlignment="1">
      <alignment horizontal="center"/>
    </xf>
    <xf numFmtId="0" fontId="4" fillId="33" borderId="11" xfId="0" applyFont="1" applyFill="1" applyBorder="1" applyAlignment="1">
      <alignment horizontal="center"/>
    </xf>
    <xf numFmtId="0" fontId="11" fillId="33" borderId="18" xfId="0" applyFont="1" applyFill="1" applyBorder="1" applyAlignment="1">
      <alignment horizontal="center"/>
    </xf>
    <xf numFmtId="176" fontId="11" fillId="33" borderId="11" xfId="0" applyNumberFormat="1" applyFont="1" applyFill="1" applyBorder="1" applyAlignment="1">
      <alignment horizontal="center" vertical="center"/>
    </xf>
    <xf numFmtId="0" fontId="13" fillId="33" borderId="11" xfId="0" applyFont="1" applyFill="1" applyBorder="1" applyAlignment="1">
      <alignment horizontal="left" vertical="center"/>
    </xf>
    <xf numFmtId="176" fontId="4" fillId="33" borderId="11" xfId="0" applyNumberFormat="1" applyFont="1" applyFill="1" applyBorder="1" applyAlignment="1">
      <alignment horizontal="center" vertical="center"/>
    </xf>
    <xf numFmtId="0" fontId="13" fillId="33" borderId="20" xfId="0" applyFont="1" applyFill="1" applyBorder="1" applyAlignment="1">
      <alignment horizontal="left" vertical="center"/>
    </xf>
    <xf numFmtId="0" fontId="4" fillId="33" borderId="21" xfId="0" applyFont="1" applyFill="1" applyBorder="1" applyAlignment="1">
      <alignment horizontal="center"/>
    </xf>
    <xf numFmtId="0" fontId="1" fillId="0" borderId="0" xfId="0" applyFont="1" applyAlignment="1">
      <alignment horizontal="center" vertical="center"/>
    </xf>
    <xf numFmtId="0" fontId="11" fillId="0" borderId="19" xfId="0" applyFont="1" applyBorder="1" applyAlignment="1">
      <alignment horizontal="center"/>
    </xf>
    <xf numFmtId="0" fontId="11" fillId="33" borderId="19" xfId="0" applyFont="1" applyFill="1" applyBorder="1" applyAlignment="1">
      <alignment horizontal="center"/>
    </xf>
    <xf numFmtId="4" fontId="11" fillId="0" borderId="16" xfId="0" applyNumberFormat="1" applyFont="1" applyBorder="1" applyAlignment="1">
      <alignment horizontal="center"/>
    </xf>
    <xf numFmtId="0" fontId="32" fillId="0" borderId="11" xfId="0" applyFont="1" applyBorder="1" applyAlignment="1">
      <alignment horizontal="left" vertical="center"/>
    </xf>
    <xf numFmtId="169" fontId="4" fillId="33" borderId="19" xfId="0" applyNumberFormat="1" applyFont="1" applyFill="1" applyBorder="1" applyAlignment="1">
      <alignment horizontal="center"/>
    </xf>
    <xf numFmtId="169" fontId="10" fillId="33" borderId="11" xfId="4" applyNumberFormat="1" applyFont="1" applyFill="1" applyBorder="1" applyAlignment="1">
      <alignment horizontal="center"/>
    </xf>
    <xf numFmtId="169" fontId="10" fillId="33" borderId="18" xfId="4" applyNumberFormat="1" applyFont="1" applyFill="1" applyBorder="1" applyAlignment="1">
      <alignment horizontal="center"/>
    </xf>
    <xf numFmtId="169" fontId="10" fillId="33" borderId="19" xfId="4" applyNumberFormat="1" applyFont="1" applyFill="1" applyBorder="1" applyAlignment="1">
      <alignment horizontal="center"/>
    </xf>
    <xf numFmtId="0" fontId="11" fillId="0" borderId="18" xfId="0" applyFont="1" applyBorder="1" applyAlignment="1">
      <alignment horizontal="center" vertical="center" wrapText="1"/>
    </xf>
    <xf numFmtId="175" fontId="11" fillId="0" borderId="18" xfId="0" applyNumberFormat="1" applyFont="1" applyBorder="1" applyAlignment="1">
      <alignment horizontal="center" vertical="center" wrapText="1"/>
    </xf>
    <xf numFmtId="169" fontId="10" fillId="0" borderId="19" xfId="4" applyNumberFormat="1" applyFont="1" applyFill="1" applyBorder="1" applyAlignment="1">
      <alignment horizontal="center" vertical="center" wrapText="1"/>
    </xf>
    <xf numFmtId="169" fontId="10" fillId="0" borderId="18" xfId="4" applyNumberFormat="1" applyFont="1" applyFill="1" applyBorder="1" applyAlignment="1">
      <alignment horizontal="center" vertical="center" wrapText="1"/>
    </xf>
    <xf numFmtId="0" fontId="11" fillId="0" borderId="11" xfId="0" applyFont="1" applyBorder="1" applyAlignment="1">
      <alignment horizontal="left" vertical="center"/>
    </xf>
    <xf numFmtId="175" fontId="11" fillId="0" borderId="11" xfId="0" quotePrefix="1" applyNumberFormat="1" applyFont="1" applyBorder="1" applyAlignment="1">
      <alignment horizontal="center" vertical="center" wrapText="1"/>
    </xf>
    <xf numFmtId="169" fontId="10" fillId="34" borderId="11" xfId="4" applyNumberFormat="1" applyFont="1" applyFill="1" applyBorder="1" applyAlignment="1">
      <alignment horizontal="center" vertical="center" wrapText="1"/>
    </xf>
    <xf numFmtId="169" fontId="10" fillId="34" borderId="19" xfId="4" applyNumberFormat="1" applyFont="1" applyFill="1" applyBorder="1" applyAlignment="1">
      <alignment horizontal="center" vertical="center" wrapText="1"/>
    </xf>
    <xf numFmtId="169" fontId="10" fillId="34" borderId="11" xfId="4" applyNumberFormat="1" applyFont="1" applyFill="1" applyBorder="1" applyAlignment="1">
      <alignment horizontal="center"/>
    </xf>
    <xf numFmtId="169" fontId="10" fillId="34" borderId="19" xfId="4" applyNumberFormat="1" applyFont="1" applyFill="1" applyBorder="1" applyAlignment="1">
      <alignment horizontal="center"/>
    </xf>
    <xf numFmtId="169" fontId="10" fillId="34" borderId="16" xfId="4" applyNumberFormat="1" applyFont="1" applyFill="1" applyBorder="1" applyAlignment="1">
      <alignment horizontal="center"/>
    </xf>
    <xf numFmtId="0" fontId="9" fillId="0" borderId="19" xfId="0" applyFont="1" applyBorder="1" applyAlignment="1">
      <alignment horizontal="center"/>
    </xf>
    <xf numFmtId="0" fontId="32" fillId="0" borderId="17" xfId="0" applyFont="1" applyBorder="1" applyAlignment="1">
      <alignment horizontal="left" vertical="center"/>
    </xf>
    <xf numFmtId="0" fontId="11" fillId="35" borderId="19" xfId="0" applyFont="1" applyFill="1" applyBorder="1" applyAlignment="1">
      <alignment horizontal="center"/>
    </xf>
    <xf numFmtId="0" fontId="32" fillId="33" borderId="20" xfId="0" applyFont="1" applyFill="1" applyBorder="1" applyAlignment="1">
      <alignment horizontal="left" vertical="center"/>
    </xf>
    <xf numFmtId="0" fontId="10" fillId="35" borderId="0" xfId="0" applyFont="1" applyFill="1" applyAlignment="1">
      <alignment horizontal="center" vertical="center"/>
    </xf>
    <xf numFmtId="0" fontId="11" fillId="35" borderId="11" xfId="0" applyFont="1" applyFill="1" applyBorder="1" applyAlignment="1">
      <alignment horizontal="center" vertical="center" wrapText="1"/>
    </xf>
    <xf numFmtId="0" fontId="11" fillId="35" borderId="18" xfId="0" applyFont="1" applyFill="1" applyBorder="1" applyAlignment="1">
      <alignment horizontal="center" vertical="center" wrapText="1"/>
    </xf>
    <xf numFmtId="0" fontId="4" fillId="35" borderId="11" xfId="0" applyFont="1" applyFill="1" applyBorder="1" applyAlignment="1">
      <alignment horizontal="center"/>
    </xf>
    <xf numFmtId="4" fontId="0" fillId="0" borderId="0" xfId="0" applyNumberFormat="1" applyAlignment="1">
      <alignment horizontal="center"/>
    </xf>
    <xf numFmtId="0" fontId="0" fillId="0" borderId="7" xfId="0" applyBorder="1"/>
    <xf numFmtId="169" fontId="0" fillId="0" borderId="0" xfId="0" applyNumberFormat="1"/>
    <xf numFmtId="169" fontId="0" fillId="0" borderId="6" xfId="0" applyNumberFormat="1" applyBorder="1" applyAlignment="1">
      <alignment horizontal="right"/>
    </xf>
    <xf numFmtId="0" fontId="2" fillId="0" borderId="0" xfId="0" applyFont="1"/>
    <xf numFmtId="17" fontId="2" fillId="0" borderId="0" xfId="0" applyNumberFormat="1" applyFont="1" applyAlignment="1">
      <alignment horizontal="left"/>
    </xf>
    <xf numFmtId="0" fontId="0" fillId="0" borderId="3" xfId="0" applyBorder="1"/>
    <xf numFmtId="0" fontId="1" fillId="0" borderId="0" xfId="0" applyFont="1" applyAlignment="1">
      <alignment horizontal="center"/>
    </xf>
    <xf numFmtId="0" fontId="2" fillId="0" borderId="35" xfId="0" applyFont="1" applyBorder="1"/>
    <xf numFmtId="0" fontId="1" fillId="0" borderId="36" xfId="0" applyFont="1" applyBorder="1"/>
    <xf numFmtId="0" fontId="1" fillId="0" borderId="37" xfId="0" applyFont="1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35" xfId="0" applyBorder="1"/>
    <xf numFmtId="0" fontId="0" fillId="0" borderId="37" xfId="0" applyBorder="1"/>
    <xf numFmtId="0" fontId="0" fillId="0" borderId="38" xfId="0" applyBorder="1" applyAlignment="1">
      <alignment horizontal="left"/>
    </xf>
    <xf numFmtId="16" fontId="1" fillId="0" borderId="0" xfId="0" quotePrefix="1" applyNumberFormat="1" applyFont="1" applyAlignment="1">
      <alignment horizontal="left"/>
    </xf>
    <xf numFmtId="16" fontId="1" fillId="0" borderId="39" xfId="0" quotePrefix="1" applyNumberFormat="1" applyFont="1" applyBorder="1" applyAlignment="1">
      <alignment horizontal="left"/>
    </xf>
    <xf numFmtId="0" fontId="1" fillId="0" borderId="7" xfId="0" applyFont="1" applyBorder="1"/>
    <xf numFmtId="170" fontId="0" fillId="0" borderId="0" xfId="0" applyNumberFormat="1"/>
    <xf numFmtId="0" fontId="0" fillId="0" borderId="8" xfId="0" applyBorder="1"/>
    <xf numFmtId="17" fontId="2" fillId="0" borderId="38" xfId="0" applyNumberFormat="1" applyFont="1" applyBorder="1" applyAlignment="1">
      <alignment horizontal="left"/>
    </xf>
    <xf numFmtId="0" fontId="0" fillId="0" borderId="39" xfId="0" applyBorder="1"/>
    <xf numFmtId="0" fontId="0" fillId="0" borderId="53" xfId="0" applyBorder="1"/>
    <xf numFmtId="169" fontId="0" fillId="0" borderId="51" xfId="0" applyNumberFormat="1" applyBorder="1"/>
    <xf numFmtId="169" fontId="0" fillId="0" borderId="54" xfId="0" applyNumberFormat="1" applyBorder="1"/>
    <xf numFmtId="0" fontId="1" fillId="0" borderId="7" xfId="0" quotePrefix="1" applyFont="1" applyBorder="1"/>
    <xf numFmtId="4" fontId="0" fillId="0" borderId="38" xfId="0" applyNumberFormat="1" applyBorder="1"/>
    <xf numFmtId="171" fontId="3" fillId="0" borderId="39" xfId="0" applyNumberFormat="1" applyFont="1" applyBorder="1" applyAlignment="1">
      <alignment horizontal="left"/>
    </xf>
    <xf numFmtId="170" fontId="3" fillId="0" borderId="0" xfId="0" applyNumberFormat="1" applyFont="1" applyAlignment="1">
      <alignment horizontal="center"/>
    </xf>
    <xf numFmtId="0" fontId="0" fillId="0" borderId="0" xfId="0" applyAlignment="1">
      <alignment horizontal="left"/>
    </xf>
    <xf numFmtId="171" fontId="0" fillId="0" borderId="54" xfId="0" applyNumberFormat="1" applyBorder="1" applyAlignment="1">
      <alignment horizontal="right"/>
    </xf>
    <xf numFmtId="171" fontId="3" fillId="0" borderId="39" xfId="0" applyNumberFormat="1" applyFont="1" applyBorder="1" applyAlignment="1">
      <alignment horizontal="right"/>
    </xf>
    <xf numFmtId="0" fontId="0" fillId="0" borderId="40" xfId="0" applyBorder="1"/>
    <xf numFmtId="0" fontId="0" fillId="0" borderId="41" xfId="0" applyBorder="1"/>
    <xf numFmtId="0" fontId="0" fillId="0" borderId="42" xfId="0" applyBorder="1"/>
    <xf numFmtId="171" fontId="0" fillId="0" borderId="0" xfId="0" applyNumberFormat="1"/>
    <xf numFmtId="170" fontId="3" fillId="0" borderId="38" xfId="0" applyNumberFormat="1" applyFont="1" applyBorder="1" applyAlignment="1">
      <alignment horizontal="right" wrapText="1"/>
    </xf>
    <xf numFmtId="171" fontId="3" fillId="0" borderId="39" xfId="0" applyNumberFormat="1" applyFont="1" applyBorder="1" applyAlignment="1">
      <alignment horizontal="center"/>
    </xf>
    <xf numFmtId="172" fontId="0" fillId="0" borderId="0" xfId="0" applyNumberFormat="1" applyAlignment="1">
      <alignment horizontal="right"/>
    </xf>
    <xf numFmtId="170" fontId="3" fillId="0" borderId="40" xfId="0" applyNumberFormat="1" applyFont="1" applyBorder="1" applyAlignment="1">
      <alignment horizontal="right" wrapText="1"/>
    </xf>
    <xf numFmtId="171" fontId="3" fillId="0" borderId="42" xfId="0" applyNumberFormat="1" applyFont="1" applyBorder="1" applyAlignment="1">
      <alignment horizontal="right"/>
    </xf>
    <xf numFmtId="0" fontId="0" fillId="0" borderId="36" xfId="0" applyBorder="1"/>
    <xf numFmtId="170" fontId="1" fillId="0" borderId="0" xfId="0" applyNumberFormat="1" applyFont="1"/>
    <xf numFmtId="0" fontId="0" fillId="0" borderId="38" xfId="0" quotePrefix="1" applyBorder="1"/>
    <xf numFmtId="170" fontId="0" fillId="0" borderId="39" xfId="0" applyNumberFormat="1" applyBorder="1"/>
    <xf numFmtId="4" fontId="0" fillId="0" borderId="0" xfId="0" applyNumberFormat="1"/>
    <xf numFmtId="0" fontId="3" fillId="0" borderId="38" xfId="0" applyFont="1" applyBorder="1" applyAlignment="1">
      <alignment horizontal="right" wrapText="1"/>
    </xf>
    <xf numFmtId="174" fontId="0" fillId="0" borderId="0" xfId="0" applyNumberFormat="1"/>
    <xf numFmtId="173" fontId="5" fillId="0" borderId="0" xfId="0" applyNumberFormat="1" applyFont="1" applyAlignment="1">
      <alignment horizontal="center" wrapText="1"/>
    </xf>
    <xf numFmtId="0" fontId="0" fillId="0" borderId="38" xfId="0" applyBorder="1"/>
    <xf numFmtId="4" fontId="0" fillId="0" borderId="38" xfId="0" quotePrefix="1" applyNumberFormat="1" applyBorder="1"/>
    <xf numFmtId="170" fontId="0" fillId="0" borderId="52" xfId="0" applyNumberFormat="1" applyBorder="1"/>
    <xf numFmtId="169" fontId="0" fillId="0" borderId="38" xfId="0" applyNumberFormat="1" applyBorder="1"/>
    <xf numFmtId="173" fontId="3" fillId="0" borderId="0" xfId="0" applyNumberFormat="1" applyFont="1" applyAlignment="1">
      <alignment horizontal="center" wrapText="1"/>
    </xf>
    <xf numFmtId="171" fontId="3" fillId="0" borderId="42" xfId="0" applyNumberFormat="1" applyFont="1" applyBorder="1" applyAlignment="1">
      <alignment horizontal="left"/>
    </xf>
    <xf numFmtId="173" fontId="5" fillId="0" borderId="41" xfId="0" applyNumberFormat="1" applyFont="1" applyBorder="1" applyAlignment="1">
      <alignment horizontal="center" wrapText="1"/>
    </xf>
    <xf numFmtId="0" fontId="2" fillId="0" borderId="45" xfId="0" applyFont="1" applyBorder="1" applyAlignment="1">
      <alignment horizontal="left"/>
    </xf>
    <xf numFmtId="0" fontId="0" fillId="0" borderId="46" xfId="0" applyBorder="1"/>
    <xf numFmtId="170" fontId="0" fillId="0" borderId="11" xfId="0" applyNumberFormat="1" applyBorder="1"/>
    <xf numFmtId="0" fontId="0" fillId="0" borderId="47" xfId="0" applyBorder="1" applyAlignment="1">
      <alignment horizontal="center"/>
    </xf>
    <xf numFmtId="170" fontId="0" fillId="0" borderId="48" xfId="0" applyNumberFormat="1" applyBorder="1"/>
    <xf numFmtId="9" fontId="0" fillId="0" borderId="11" xfId="0" applyNumberFormat="1" applyBorder="1"/>
    <xf numFmtId="169" fontId="0" fillId="0" borderId="11" xfId="0" applyNumberFormat="1" applyBorder="1"/>
    <xf numFmtId="0" fontId="0" fillId="0" borderId="49" xfId="0" applyBorder="1"/>
    <xf numFmtId="170" fontId="1" fillId="0" borderId="50" xfId="0" applyNumberFormat="1" applyFont="1" applyBorder="1"/>
    <xf numFmtId="0" fontId="1" fillId="0" borderId="45" xfId="0" applyFont="1" applyBorder="1" applyAlignment="1">
      <alignment horizontal="center"/>
    </xf>
    <xf numFmtId="0" fontId="0" fillId="0" borderId="0" xfId="0" applyAlignment="1">
      <alignment wrapText="1"/>
    </xf>
    <xf numFmtId="0" fontId="0" fillId="0" borderId="49" xfId="0" applyBorder="1" applyAlignment="1">
      <alignment horizontal="center"/>
    </xf>
    <xf numFmtId="9" fontId="0" fillId="0" borderId="0" xfId="0" applyNumberFormat="1"/>
    <xf numFmtId="170" fontId="0" fillId="0" borderId="8" xfId="0" applyNumberFormat="1" applyBorder="1"/>
    <xf numFmtId="170" fontId="1" fillId="0" borderId="8" xfId="0" applyNumberFormat="1" applyFont="1" applyBorder="1"/>
    <xf numFmtId="0" fontId="1" fillId="0" borderId="21" xfId="0" applyFont="1" applyBorder="1" applyAlignment="1">
      <alignment horizontal="center"/>
    </xf>
    <xf numFmtId="169" fontId="0" fillId="0" borderId="8" xfId="0" applyNumberFormat="1" applyBorder="1"/>
    <xf numFmtId="3" fontId="0" fillId="0" borderId="22" xfId="0" applyNumberFormat="1" applyBorder="1" applyAlignment="1">
      <alignment horizontal="right"/>
    </xf>
    <xf numFmtId="169" fontId="0" fillId="0" borderId="22" xfId="0" applyNumberFormat="1" applyBorder="1"/>
    <xf numFmtId="3" fontId="0" fillId="0" borderId="7" xfId="0" applyNumberFormat="1" applyBorder="1"/>
    <xf numFmtId="3" fontId="0" fillId="0" borderId="22" xfId="0" applyNumberFormat="1" applyBorder="1"/>
    <xf numFmtId="3" fontId="0" fillId="0" borderId="34" xfId="0" applyNumberFormat="1" applyBorder="1"/>
    <xf numFmtId="169" fontId="0" fillId="0" borderId="34" xfId="0" applyNumberFormat="1" applyBorder="1"/>
    <xf numFmtId="0" fontId="1" fillId="0" borderId="13" xfId="0" applyFont="1" applyBorder="1"/>
    <xf numFmtId="170" fontId="1" fillId="0" borderId="12" xfId="0" applyNumberFormat="1" applyFont="1" applyBorder="1"/>
    <xf numFmtId="0" fontId="1" fillId="0" borderId="33" xfId="0" applyFont="1" applyBorder="1" applyAlignment="1">
      <alignment horizontal="right"/>
    </xf>
    <xf numFmtId="170" fontId="1" fillId="0" borderId="32" xfId="0" applyNumberFormat="1" applyFont="1" applyBorder="1"/>
    <xf numFmtId="166" fontId="0" fillId="0" borderId="0" xfId="0" applyNumberFormat="1"/>
    <xf numFmtId="3" fontId="0" fillId="0" borderId="9" xfId="0" applyNumberFormat="1" applyBorder="1"/>
    <xf numFmtId="0" fontId="0" fillId="0" borderId="10" xfId="0" applyBorder="1"/>
    <xf numFmtId="170" fontId="0" fillId="0" borderId="15" xfId="0" applyNumberFormat="1" applyBorder="1"/>
    <xf numFmtId="177" fontId="0" fillId="0" borderId="0" xfId="0" applyNumberFormat="1"/>
    <xf numFmtId="0" fontId="7" fillId="0" borderId="0" xfId="0" applyFont="1"/>
    <xf numFmtId="0" fontId="7" fillId="0" borderId="0" xfId="0" applyFont="1" applyAlignment="1">
      <alignment horizontal="right"/>
    </xf>
    <xf numFmtId="3" fontId="0" fillId="0" borderId="0" xfId="0" applyNumberFormat="1"/>
    <xf numFmtId="0" fontId="0" fillId="0" borderId="0" xfId="0" applyAlignment="1">
      <alignment horizontal="right"/>
    </xf>
    <xf numFmtId="0" fontId="6" fillId="0" borderId="0" xfId="0" applyFont="1" applyAlignment="1">
      <alignment horizontal="right"/>
    </xf>
    <xf numFmtId="170" fontId="0" fillId="0" borderId="0" xfId="0" applyNumberFormat="1" applyAlignment="1">
      <alignment horizontal="center"/>
    </xf>
    <xf numFmtId="170" fontId="3" fillId="0" borderId="0" xfId="0" applyNumberFormat="1" applyFont="1" applyAlignment="1">
      <alignment horizontal="right" wrapText="1"/>
    </xf>
    <xf numFmtId="171" fontId="3" fillId="0" borderId="0" xfId="0" applyNumberFormat="1" applyFont="1" applyAlignment="1">
      <alignment horizontal="center"/>
    </xf>
    <xf numFmtId="171" fontId="3" fillId="0" borderId="0" xfId="0" applyNumberFormat="1" applyFont="1" applyAlignment="1">
      <alignment horizontal="left"/>
    </xf>
    <xf numFmtId="0" fontId="0" fillId="0" borderId="0" xfId="0" quotePrefix="1"/>
    <xf numFmtId="178" fontId="0" fillId="0" borderId="0" xfId="0" applyNumberFormat="1"/>
    <xf numFmtId="178" fontId="0" fillId="0" borderId="0" xfId="0" quotePrefix="1" applyNumberFormat="1"/>
    <xf numFmtId="0" fontId="37" fillId="0" borderId="33" xfId="0" applyFont="1" applyBorder="1" applyAlignment="1">
      <alignment vertical="center"/>
    </xf>
    <xf numFmtId="170" fontId="2" fillId="0" borderId="56" xfId="0" applyNumberFormat="1" applyFont="1" applyBorder="1" applyAlignment="1">
      <alignment horizontal="center"/>
    </xf>
    <xf numFmtId="0" fontId="2" fillId="0" borderId="4" xfId="0" applyFont="1" applyBorder="1"/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0" fillId="0" borderId="7" xfId="0" quotePrefix="1" applyBorder="1"/>
    <xf numFmtId="0" fontId="0" fillId="0" borderId="59" xfId="0" applyBorder="1"/>
    <xf numFmtId="17" fontId="1" fillId="0" borderId="7" xfId="0" applyNumberFormat="1" applyFont="1" applyBorder="1" applyAlignment="1">
      <alignment horizontal="right"/>
    </xf>
    <xf numFmtId="3" fontId="0" fillId="0" borderId="0" xfId="0" applyNumberFormat="1" applyAlignment="1">
      <alignment horizontal="center"/>
    </xf>
    <xf numFmtId="0" fontId="35" fillId="0" borderId="7" xfId="0" applyFont="1" applyBorder="1" applyAlignment="1">
      <alignment vertical="center"/>
    </xf>
    <xf numFmtId="0" fontId="2" fillId="0" borderId="60" xfId="0" applyFont="1" applyBorder="1" applyAlignment="1">
      <alignment horizontal="center"/>
    </xf>
    <xf numFmtId="0" fontId="1" fillId="0" borderId="9" xfId="0" applyFont="1" applyBorder="1" applyAlignment="1">
      <alignment horizontal="right"/>
    </xf>
    <xf numFmtId="170" fontId="1" fillId="0" borderId="10" xfId="0" applyNumberFormat="1" applyFont="1" applyBorder="1"/>
    <xf numFmtId="0" fontId="0" fillId="0" borderId="58" xfId="0" applyBorder="1"/>
    <xf numFmtId="0" fontId="0" fillId="0" borderId="17" xfId="0" applyBorder="1"/>
    <xf numFmtId="0" fontId="0" fillId="0" borderId="18" xfId="0" applyBorder="1"/>
    <xf numFmtId="169" fontId="0" fillId="0" borderId="19" xfId="0" applyNumberFormat="1" applyBorder="1"/>
    <xf numFmtId="0" fontId="0" fillId="0" borderId="2" xfId="0" applyBorder="1"/>
    <xf numFmtId="0" fontId="0" fillId="0" borderId="1" xfId="0" applyBorder="1"/>
    <xf numFmtId="169" fontId="0" fillId="0" borderId="2" xfId="0" applyNumberFormat="1" applyBorder="1"/>
    <xf numFmtId="3" fontId="0" fillId="0" borderId="0" xfId="0" applyNumberFormat="1" applyAlignment="1">
      <alignment horizontal="right"/>
    </xf>
    <xf numFmtId="0" fontId="36" fillId="0" borderId="64" xfId="0" applyFont="1" applyBorder="1"/>
    <xf numFmtId="0" fontId="37" fillId="0" borderId="64" xfId="0" applyFont="1" applyBorder="1" applyAlignment="1">
      <alignment vertical="center"/>
    </xf>
    <xf numFmtId="178" fontId="0" fillId="0" borderId="8" xfId="0" applyNumberFormat="1" applyBorder="1"/>
    <xf numFmtId="169" fontId="0" fillId="36" borderId="22" xfId="0" applyNumberFormat="1" applyFill="1" applyBorder="1"/>
    <xf numFmtId="3" fontId="0" fillId="0" borderId="11" xfId="0" applyNumberFormat="1" applyBorder="1"/>
    <xf numFmtId="179" fontId="0" fillId="0" borderId="0" xfId="0" applyNumberFormat="1"/>
    <xf numFmtId="3" fontId="1" fillId="0" borderId="0" xfId="0" applyNumberFormat="1" applyFont="1" applyAlignment="1">
      <alignment horizontal="right"/>
    </xf>
    <xf numFmtId="4" fontId="38" fillId="0" borderId="0" xfId="0" applyNumberFormat="1" applyFont="1"/>
    <xf numFmtId="0" fontId="1" fillId="0" borderId="0" xfId="0" applyFont="1" applyAlignment="1">
      <alignment horizontal="right"/>
    </xf>
    <xf numFmtId="179" fontId="36" fillId="0" borderId="0" xfId="0" applyNumberFormat="1" applyFont="1" applyAlignment="1">
      <alignment horizontal="left" vertical="center"/>
    </xf>
    <xf numFmtId="16" fontId="2" fillId="0" borderId="11" xfId="0" quotePrefix="1" applyNumberFormat="1" applyFont="1" applyBorder="1" applyAlignment="1">
      <alignment horizontal="center"/>
    </xf>
    <xf numFmtId="3" fontId="1" fillId="0" borderId="32" xfId="0" applyNumberFormat="1" applyFont="1" applyBorder="1"/>
    <xf numFmtId="3" fontId="1" fillId="0" borderId="65" xfId="0" applyNumberFormat="1" applyFont="1" applyBorder="1"/>
    <xf numFmtId="0" fontId="37" fillId="0" borderId="66" xfId="0" applyFont="1" applyBorder="1" applyAlignment="1">
      <alignment vertical="center"/>
    </xf>
    <xf numFmtId="0" fontId="0" fillId="0" borderId="57" xfId="0" applyBorder="1"/>
    <xf numFmtId="0" fontId="0" fillId="0" borderId="55" xfId="0" applyBorder="1"/>
    <xf numFmtId="4" fontId="0" fillId="0" borderId="0" xfId="0" quotePrefix="1" applyNumberFormat="1"/>
    <xf numFmtId="3" fontId="36" fillId="0" borderId="0" xfId="0" applyNumberFormat="1" applyFont="1" applyAlignment="1">
      <alignment horizontal="left" vertical="center"/>
    </xf>
    <xf numFmtId="10" fontId="0" fillId="0" borderId="0" xfId="0" applyNumberFormat="1"/>
    <xf numFmtId="169" fontId="0" fillId="36" borderId="0" xfId="0" applyNumberFormat="1" applyFill="1"/>
    <xf numFmtId="178" fontId="0" fillId="0" borderId="0" xfId="0" applyNumberFormat="1" applyAlignment="1">
      <alignment horizontal="center"/>
    </xf>
    <xf numFmtId="0" fontId="0" fillId="0" borderId="0" xfId="0" quotePrefix="1" applyAlignment="1">
      <alignment wrapText="1"/>
    </xf>
    <xf numFmtId="4" fontId="0" fillId="0" borderId="0" xfId="0" quotePrefix="1" applyNumberFormat="1" applyAlignment="1">
      <alignment horizontal="center"/>
    </xf>
    <xf numFmtId="178" fontId="0" fillId="0" borderId="0" xfId="0" quotePrefix="1" applyNumberFormat="1" applyAlignment="1">
      <alignment horizontal="center"/>
    </xf>
    <xf numFmtId="0" fontId="1" fillId="0" borderId="0" xfId="0" quotePrefix="1" applyFont="1" applyAlignment="1">
      <alignment horizontal="center"/>
    </xf>
    <xf numFmtId="0" fontId="2" fillId="0" borderId="0" xfId="0" quotePrefix="1" applyFont="1" applyAlignment="1">
      <alignment horizontal="center"/>
    </xf>
    <xf numFmtId="178" fontId="0" fillId="0" borderId="0" xfId="0" quotePrefix="1" applyNumberFormat="1" applyAlignment="1">
      <alignment horizontal="center" vertical="center"/>
    </xf>
    <xf numFmtId="0" fontId="0" fillId="0" borderId="0" xfId="0" quotePrefix="1" applyAlignment="1">
      <alignment horizontal="center" vertical="center"/>
    </xf>
    <xf numFmtId="178" fontId="1" fillId="0" borderId="0" xfId="0" quotePrefix="1" applyNumberFormat="1" applyFont="1" applyAlignment="1">
      <alignment horizontal="center" vertical="center"/>
    </xf>
    <xf numFmtId="0" fontId="1" fillId="0" borderId="0" xfId="0" quotePrefix="1" applyFont="1" applyAlignment="1">
      <alignment horizontal="center" vertical="center"/>
    </xf>
    <xf numFmtId="4" fontId="0" fillId="35" borderId="0" xfId="0" applyNumberFormat="1" applyFill="1"/>
    <xf numFmtId="0" fontId="0" fillId="0" borderId="9" xfId="0" quotePrefix="1" applyBorder="1"/>
    <xf numFmtId="10" fontId="0" fillId="0" borderId="10" xfId="0" applyNumberFormat="1" applyBorder="1"/>
    <xf numFmtId="10" fontId="0" fillId="0" borderId="58" xfId="0" applyNumberFormat="1" applyBorder="1"/>
    <xf numFmtId="4" fontId="0" fillId="0" borderId="10" xfId="0" applyNumberFormat="1" applyBorder="1"/>
    <xf numFmtId="178" fontId="0" fillId="0" borderId="58" xfId="0" applyNumberFormat="1" applyBorder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0" fillId="0" borderId="2" xfId="0" applyBorder="1"/>
    <xf numFmtId="0" fontId="1" fillId="0" borderId="4" xfId="0" applyFont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4" xfId="0" applyBorder="1" applyAlignment="1">
      <alignment horizontal="center"/>
    </xf>
    <xf numFmtId="0" fontId="1" fillId="0" borderId="43" xfId="0" applyFont="1" applyBorder="1" applyAlignment="1">
      <alignment horizontal="center"/>
    </xf>
    <xf numFmtId="0" fontId="0" fillId="0" borderId="44" xfId="0" applyBorder="1" applyAlignment="1">
      <alignment horizontal="center"/>
    </xf>
    <xf numFmtId="0" fontId="1" fillId="0" borderId="61" xfId="0" applyFont="1" applyBorder="1" applyAlignment="1">
      <alignment horizontal="center" vertical="center"/>
    </xf>
    <xf numFmtId="0" fontId="0" fillId="0" borderId="62" xfId="0" applyBorder="1" applyAlignment="1">
      <alignment horizontal="center" vertical="center"/>
    </xf>
    <xf numFmtId="0" fontId="0" fillId="0" borderId="63" xfId="0" applyBorder="1" applyAlignment="1">
      <alignment horizontal="center" vertical="center"/>
    </xf>
  </cellXfs>
  <cellStyles count="210">
    <cellStyle name="20% - Accent1" xfId="23" builtinId="30" customBuiltin="1"/>
    <cellStyle name="20% - Accent1 2" xfId="87" xr:uid="{00000000-0005-0000-0000-000001000000}"/>
    <cellStyle name="20% - Accent1 2 2" xfId="136" xr:uid="{00000000-0005-0000-0000-000002000000}"/>
    <cellStyle name="20% - Accent1 3" xfId="111" xr:uid="{00000000-0005-0000-0000-000003000000}"/>
    <cellStyle name="20% - Accent1 4" xfId="162" xr:uid="{00000000-0005-0000-0000-000004000000}"/>
    <cellStyle name="20% - Accent2" xfId="27" builtinId="34" customBuiltin="1"/>
    <cellStyle name="20% - Accent2 2" xfId="89" xr:uid="{00000000-0005-0000-0000-000006000000}"/>
    <cellStyle name="20% - Accent2 2 2" xfId="138" xr:uid="{00000000-0005-0000-0000-000007000000}"/>
    <cellStyle name="20% - Accent2 3" xfId="113" xr:uid="{00000000-0005-0000-0000-000008000000}"/>
    <cellStyle name="20% - Accent2 4" xfId="164" xr:uid="{00000000-0005-0000-0000-000009000000}"/>
    <cellStyle name="20% - Accent3" xfId="31" builtinId="38" customBuiltin="1"/>
    <cellStyle name="20% - Accent3 2" xfId="91" xr:uid="{00000000-0005-0000-0000-00000B000000}"/>
    <cellStyle name="20% - Accent3 2 2" xfId="140" xr:uid="{00000000-0005-0000-0000-00000C000000}"/>
    <cellStyle name="20% - Accent3 3" xfId="115" xr:uid="{00000000-0005-0000-0000-00000D000000}"/>
    <cellStyle name="20% - Accent3 4" xfId="166" xr:uid="{00000000-0005-0000-0000-00000E000000}"/>
    <cellStyle name="20% - Accent4" xfId="35" builtinId="42" customBuiltin="1"/>
    <cellStyle name="20% - Accent4 2" xfId="93" xr:uid="{00000000-0005-0000-0000-000010000000}"/>
    <cellStyle name="20% - Accent4 2 2" xfId="142" xr:uid="{00000000-0005-0000-0000-000011000000}"/>
    <cellStyle name="20% - Accent4 3" xfId="117" xr:uid="{00000000-0005-0000-0000-000012000000}"/>
    <cellStyle name="20% - Accent4 4" xfId="168" xr:uid="{00000000-0005-0000-0000-000013000000}"/>
    <cellStyle name="20% - Accent5" xfId="39" builtinId="46" customBuiltin="1"/>
    <cellStyle name="20% - Accent5 2" xfId="95" xr:uid="{00000000-0005-0000-0000-000015000000}"/>
    <cellStyle name="20% - Accent5 2 2" xfId="144" xr:uid="{00000000-0005-0000-0000-000016000000}"/>
    <cellStyle name="20% - Accent5 3" xfId="119" xr:uid="{00000000-0005-0000-0000-000017000000}"/>
    <cellStyle name="20% - Accent5 4" xfId="170" xr:uid="{00000000-0005-0000-0000-000018000000}"/>
    <cellStyle name="20% - Accent6" xfId="43" builtinId="50" customBuiltin="1"/>
    <cellStyle name="20% - Accent6 2" xfId="97" xr:uid="{00000000-0005-0000-0000-00001A000000}"/>
    <cellStyle name="20% - Accent6 2 2" xfId="146" xr:uid="{00000000-0005-0000-0000-00001B000000}"/>
    <cellStyle name="20% - Accent6 3" xfId="121" xr:uid="{00000000-0005-0000-0000-00001C000000}"/>
    <cellStyle name="20% - Accent6 4" xfId="172" xr:uid="{00000000-0005-0000-0000-00001D000000}"/>
    <cellStyle name="40% - Accent1" xfId="24" builtinId="31" customBuiltin="1"/>
    <cellStyle name="40% - Accent1 2" xfId="88" xr:uid="{00000000-0005-0000-0000-00001F000000}"/>
    <cellStyle name="40% - Accent1 2 2" xfId="137" xr:uid="{00000000-0005-0000-0000-000020000000}"/>
    <cellStyle name="40% - Accent1 3" xfId="112" xr:uid="{00000000-0005-0000-0000-000021000000}"/>
    <cellStyle name="40% - Accent1 4" xfId="163" xr:uid="{00000000-0005-0000-0000-000022000000}"/>
    <cellStyle name="40% - Accent2" xfId="28" builtinId="35" customBuiltin="1"/>
    <cellStyle name="40% - Accent2 2" xfId="90" xr:uid="{00000000-0005-0000-0000-000024000000}"/>
    <cellStyle name="40% - Accent2 2 2" xfId="139" xr:uid="{00000000-0005-0000-0000-000025000000}"/>
    <cellStyle name="40% - Accent2 3" xfId="114" xr:uid="{00000000-0005-0000-0000-000026000000}"/>
    <cellStyle name="40% - Accent2 4" xfId="165" xr:uid="{00000000-0005-0000-0000-000027000000}"/>
    <cellStyle name="40% - Accent3" xfId="32" builtinId="39" customBuiltin="1"/>
    <cellStyle name="40% - Accent3 2" xfId="92" xr:uid="{00000000-0005-0000-0000-000029000000}"/>
    <cellStyle name="40% - Accent3 2 2" xfId="141" xr:uid="{00000000-0005-0000-0000-00002A000000}"/>
    <cellStyle name="40% - Accent3 3" xfId="116" xr:uid="{00000000-0005-0000-0000-00002B000000}"/>
    <cellStyle name="40% - Accent3 4" xfId="167" xr:uid="{00000000-0005-0000-0000-00002C000000}"/>
    <cellStyle name="40% - Accent4" xfId="36" builtinId="43" customBuiltin="1"/>
    <cellStyle name="40% - Accent4 2" xfId="94" xr:uid="{00000000-0005-0000-0000-00002E000000}"/>
    <cellStyle name="40% - Accent4 2 2" xfId="143" xr:uid="{00000000-0005-0000-0000-00002F000000}"/>
    <cellStyle name="40% - Accent4 3" xfId="118" xr:uid="{00000000-0005-0000-0000-000030000000}"/>
    <cellStyle name="40% - Accent4 4" xfId="169" xr:uid="{00000000-0005-0000-0000-000031000000}"/>
    <cellStyle name="40% - Accent5" xfId="40" builtinId="47" customBuiltin="1"/>
    <cellStyle name="40% - Accent5 2" xfId="96" xr:uid="{00000000-0005-0000-0000-000033000000}"/>
    <cellStyle name="40% - Accent5 2 2" xfId="145" xr:uid="{00000000-0005-0000-0000-000034000000}"/>
    <cellStyle name="40% - Accent5 3" xfId="120" xr:uid="{00000000-0005-0000-0000-000035000000}"/>
    <cellStyle name="40% - Accent5 4" xfId="171" xr:uid="{00000000-0005-0000-0000-000036000000}"/>
    <cellStyle name="40% - Accent6" xfId="44" builtinId="51" customBuiltin="1"/>
    <cellStyle name="40% - Accent6 2" xfId="98" xr:uid="{00000000-0005-0000-0000-000038000000}"/>
    <cellStyle name="40% - Accent6 2 2" xfId="147" xr:uid="{00000000-0005-0000-0000-000039000000}"/>
    <cellStyle name="40% - Accent6 3" xfId="122" xr:uid="{00000000-0005-0000-0000-00003A000000}"/>
    <cellStyle name="40% - Accent6 4" xfId="173" xr:uid="{00000000-0005-0000-0000-00003B000000}"/>
    <cellStyle name="60% - Accent1" xfId="25" builtinId="32" customBuiltin="1"/>
    <cellStyle name="60% - Accent2" xfId="29" builtinId="36" customBuiltin="1"/>
    <cellStyle name="60% - Accent3" xfId="33" builtinId="40" customBuiltin="1"/>
    <cellStyle name="60% - Accent4" xfId="37" builtinId="44" customBuiltin="1"/>
    <cellStyle name="60% - Accent5" xfId="41" builtinId="48" customBuiltin="1"/>
    <cellStyle name="60% - Accent6" xfId="45" builtinId="52" customBuiltin="1"/>
    <cellStyle name="Accent1" xfId="22" builtinId="29" customBuiltin="1"/>
    <cellStyle name="Accent2" xfId="26" builtinId="33" customBuiltin="1"/>
    <cellStyle name="Accent3" xfId="30" builtinId="37" customBuiltin="1"/>
    <cellStyle name="Accent4" xfId="34" builtinId="41" customBuiltin="1"/>
    <cellStyle name="Accent5" xfId="38" builtinId="45" customBuiltin="1"/>
    <cellStyle name="Accent6" xfId="42" builtinId="49" customBuiltin="1"/>
    <cellStyle name="Bad" xfId="11" builtinId="27" customBuiltin="1"/>
    <cellStyle name="Calculation" xfId="15" builtinId="22" customBuiltin="1"/>
    <cellStyle name="Check Cell" xfId="17" builtinId="23" customBuiltin="1"/>
    <cellStyle name="Comma 2" xfId="46" xr:uid="{00000000-0005-0000-0000-00004B000000}"/>
    <cellStyle name="Comma 2 2" xfId="67" xr:uid="{00000000-0005-0000-0000-00004C000000}"/>
    <cellStyle name="Comma 2 3" xfId="63" xr:uid="{00000000-0005-0000-0000-00004D000000}"/>
    <cellStyle name="Comma 2 3 2" xfId="134" xr:uid="{00000000-0005-0000-0000-00004E000000}"/>
    <cellStyle name="Comma 2 4" xfId="160" xr:uid="{00000000-0005-0000-0000-00004F000000}"/>
    <cellStyle name="Comma 2 5" xfId="82" xr:uid="{00000000-0005-0000-0000-000050000000}"/>
    <cellStyle name="Comma 3" xfId="48" xr:uid="{00000000-0005-0000-0000-000051000000}"/>
    <cellStyle name="Comma 3 2" xfId="58" xr:uid="{00000000-0005-0000-0000-000052000000}"/>
    <cellStyle name="Comma 3 3" xfId="68" xr:uid="{00000000-0005-0000-0000-000053000000}"/>
    <cellStyle name="Comma 3 3 2" xfId="150" xr:uid="{00000000-0005-0000-0000-000054000000}"/>
    <cellStyle name="Comma 3 3 3" xfId="101" xr:uid="{00000000-0005-0000-0000-000055000000}"/>
    <cellStyle name="Comma 3 3 4" xfId="189" xr:uid="{00000000-0005-0000-0000-000056000000}"/>
    <cellStyle name="Comma 3 3 5" xfId="199" xr:uid="{00000000-0005-0000-0000-000057000000}"/>
    <cellStyle name="Comma 3 3 5 2" xfId="208" xr:uid="{00000000-0005-0000-0000-000058000000}"/>
    <cellStyle name="Comma 3 4" xfId="64" xr:uid="{00000000-0005-0000-0000-000059000000}"/>
    <cellStyle name="Comma 3 5" xfId="53" xr:uid="{00000000-0005-0000-0000-00005A000000}"/>
    <cellStyle name="Comma 3 5 2" xfId="192" xr:uid="{00000000-0005-0000-0000-00005B000000}"/>
    <cellStyle name="Comma 3 5 3" xfId="202" xr:uid="{00000000-0005-0000-0000-00005C000000}"/>
    <cellStyle name="Comma 3 5 4" xfId="195" xr:uid="{00000000-0005-0000-0000-00005D000000}"/>
    <cellStyle name="Comma 3 5 4 2" xfId="204" xr:uid="{00000000-0005-0000-0000-00005E000000}"/>
    <cellStyle name="Comma 3 5 5" xfId="183" xr:uid="{00000000-0005-0000-0000-00005F000000}"/>
    <cellStyle name="Comma 3 6" xfId="185" xr:uid="{00000000-0005-0000-0000-000060000000}"/>
    <cellStyle name="Comma 4" xfId="62" xr:uid="{00000000-0005-0000-0000-000061000000}"/>
    <cellStyle name="Comma 4 2" xfId="69" xr:uid="{00000000-0005-0000-0000-000062000000}"/>
    <cellStyle name="Comma 4 3" xfId="85" xr:uid="{00000000-0005-0000-0000-000063000000}"/>
    <cellStyle name="Comma 5" xfId="66" xr:uid="{00000000-0005-0000-0000-000064000000}"/>
    <cellStyle name="Comma 5 2" xfId="149" xr:uid="{00000000-0005-0000-0000-000065000000}"/>
    <cellStyle name="Comma 5 3" xfId="100" xr:uid="{00000000-0005-0000-0000-000066000000}"/>
    <cellStyle name="Comma 5 4" xfId="188" xr:uid="{00000000-0005-0000-0000-000067000000}"/>
    <cellStyle name="Comma 5 5" xfId="198" xr:uid="{00000000-0005-0000-0000-000068000000}"/>
    <cellStyle name="Comma 5 5 2" xfId="207" xr:uid="{00000000-0005-0000-0000-000069000000}"/>
    <cellStyle name="Comma 6" xfId="124" xr:uid="{00000000-0005-0000-0000-00006A000000}"/>
    <cellStyle name="Comma 7" xfId="81" xr:uid="{00000000-0005-0000-0000-00006B000000}"/>
    <cellStyle name="Comma 8" xfId="193" xr:uid="{00000000-0005-0000-0000-00006C000000}"/>
    <cellStyle name="Currency" xfId="2" builtinId="4"/>
    <cellStyle name="Currency 2" xfId="4" xr:uid="{00000000-0005-0000-0000-00006E000000}"/>
    <cellStyle name="Currency 2 2" xfId="102" xr:uid="{00000000-0005-0000-0000-00006F000000}"/>
    <cellStyle name="Currency 2 2 2" xfId="151" xr:uid="{00000000-0005-0000-0000-000070000000}"/>
    <cellStyle name="Currency 2 3" xfId="125" xr:uid="{00000000-0005-0000-0000-000071000000}"/>
    <cellStyle name="Currency 2 4" xfId="174" xr:uid="{00000000-0005-0000-0000-000072000000}"/>
    <cellStyle name="Currency 3" xfId="3" xr:uid="{00000000-0005-0000-0000-000073000000}"/>
    <cellStyle name="Currency 3 2" xfId="103" xr:uid="{00000000-0005-0000-0000-000074000000}"/>
    <cellStyle name="Currency 3 2 2" xfId="152" xr:uid="{00000000-0005-0000-0000-000075000000}"/>
    <cellStyle name="Currency 3 3" xfId="126" xr:uid="{00000000-0005-0000-0000-000076000000}"/>
    <cellStyle name="Currency 3 4" xfId="175" xr:uid="{00000000-0005-0000-0000-000077000000}"/>
    <cellStyle name="Currency 4" xfId="70" xr:uid="{00000000-0005-0000-0000-000078000000}"/>
    <cellStyle name="Currency 4 2" xfId="104" xr:uid="{00000000-0005-0000-0000-000079000000}"/>
    <cellStyle name="Currency 4 2 2" xfId="153" xr:uid="{00000000-0005-0000-0000-00007A000000}"/>
    <cellStyle name="Currency 4 3" xfId="127" xr:uid="{00000000-0005-0000-0000-00007B000000}"/>
    <cellStyle name="Currency 4 4" xfId="176" xr:uid="{00000000-0005-0000-0000-00007C000000}"/>
    <cellStyle name="Explanatory Text" xfId="20" builtinId="53" customBuiltin="1"/>
    <cellStyle name="Good" xfId="10" builtinId="26" customBuiltin="1"/>
    <cellStyle name="Heading 1" xfId="6" builtinId="16" customBuiltin="1"/>
    <cellStyle name="Heading 2" xfId="7" builtinId="17" customBuiltin="1"/>
    <cellStyle name="Heading 3" xfId="8" builtinId="18" customBuiltin="1"/>
    <cellStyle name="Heading 4" xfId="9" builtinId="19" customBuiltin="1"/>
    <cellStyle name="Input" xfId="13" builtinId="20" customBuiltin="1"/>
    <cellStyle name="Linked Cell" xfId="16" builtinId="24" customBuiltin="1"/>
    <cellStyle name="Neutral" xfId="12" builtinId="28" customBuiltin="1"/>
    <cellStyle name="Normal" xfId="0" builtinId="0"/>
    <cellStyle name="Normal 10" xfId="159" xr:uid="{00000000-0005-0000-0000-000087000000}"/>
    <cellStyle name="Normal 11" xfId="80" xr:uid="{00000000-0005-0000-0000-000088000000}"/>
    <cellStyle name="Normal 2" xfId="1" xr:uid="{00000000-0005-0000-0000-000089000000}"/>
    <cellStyle name="Normal 2 2" xfId="50" xr:uid="{00000000-0005-0000-0000-00008A000000}"/>
    <cellStyle name="Normal 2 3" xfId="49" xr:uid="{00000000-0005-0000-0000-00008B000000}"/>
    <cellStyle name="Normal 2 3 2" xfId="60" xr:uid="{00000000-0005-0000-0000-00008C000000}"/>
    <cellStyle name="Normal 2 3 3" xfId="54" xr:uid="{00000000-0005-0000-0000-00008D000000}"/>
    <cellStyle name="Normal 2 4" xfId="51" xr:uid="{00000000-0005-0000-0000-00008E000000}"/>
    <cellStyle name="Normal 2 4 2" xfId="105" xr:uid="{00000000-0005-0000-0000-00008F000000}"/>
    <cellStyle name="Normal 2 4 2 2" xfId="154" xr:uid="{00000000-0005-0000-0000-000090000000}"/>
    <cellStyle name="Normal 2 4 3" xfId="128" xr:uid="{00000000-0005-0000-0000-000091000000}"/>
    <cellStyle name="Normal 2 4 4" xfId="177" xr:uid="{00000000-0005-0000-0000-000092000000}"/>
    <cellStyle name="Normal 2 4 5" xfId="181" xr:uid="{00000000-0005-0000-0000-000093000000}"/>
    <cellStyle name="Normal 2 4 6" xfId="72" xr:uid="{00000000-0005-0000-0000-000094000000}"/>
    <cellStyle name="Normal 2 5" xfId="71" xr:uid="{00000000-0005-0000-0000-000095000000}"/>
    <cellStyle name="Normal 2 6" xfId="86" xr:uid="{00000000-0005-0000-0000-000096000000}"/>
    <cellStyle name="Normal 2 6 2" xfId="135" xr:uid="{00000000-0005-0000-0000-000097000000}"/>
    <cellStyle name="Normal 2 7" xfId="161" xr:uid="{00000000-0005-0000-0000-000098000000}"/>
    <cellStyle name="Normal 3" xfId="47" xr:uid="{00000000-0005-0000-0000-000099000000}"/>
    <cellStyle name="Normal 3 2" xfId="55" xr:uid="{00000000-0005-0000-0000-00009A000000}"/>
    <cellStyle name="Normal 3 2 2" xfId="74" xr:uid="{00000000-0005-0000-0000-00009B000000}"/>
    <cellStyle name="Normal 3 3" xfId="57" xr:uid="{00000000-0005-0000-0000-00009C000000}"/>
    <cellStyle name="Normal 3 3 2" xfId="73" xr:uid="{00000000-0005-0000-0000-00009D000000}"/>
    <cellStyle name="Normal 3 3 3" xfId="178" xr:uid="{00000000-0005-0000-0000-00009E000000}"/>
    <cellStyle name="Normal 3 4" xfId="61" xr:uid="{00000000-0005-0000-0000-00009F000000}"/>
    <cellStyle name="Normal 3 5" xfId="129" xr:uid="{00000000-0005-0000-0000-0000A0000000}"/>
    <cellStyle name="Normal 3 6" xfId="52" xr:uid="{00000000-0005-0000-0000-0000A1000000}"/>
    <cellStyle name="Normal 3 6 2" xfId="191" xr:uid="{00000000-0005-0000-0000-0000A2000000}"/>
    <cellStyle name="Normal 3 6 3" xfId="201" xr:uid="{00000000-0005-0000-0000-0000A3000000}"/>
    <cellStyle name="Normal 3 6 4" xfId="194" xr:uid="{00000000-0005-0000-0000-0000A4000000}"/>
    <cellStyle name="Normal 3 6 4 2" xfId="203" xr:uid="{00000000-0005-0000-0000-0000A5000000}"/>
    <cellStyle name="Normal 3 6 5" xfId="182" xr:uid="{00000000-0005-0000-0000-0000A6000000}"/>
    <cellStyle name="Normal 3 7" xfId="184" xr:uid="{00000000-0005-0000-0000-0000A7000000}"/>
    <cellStyle name="Normal 4" xfId="75" xr:uid="{00000000-0005-0000-0000-0000A8000000}"/>
    <cellStyle name="Normal 5" xfId="79" xr:uid="{00000000-0005-0000-0000-0000A9000000}"/>
    <cellStyle name="Normal 5 2" xfId="109" xr:uid="{00000000-0005-0000-0000-0000AA000000}"/>
    <cellStyle name="Normal 5 2 2" xfId="158" xr:uid="{00000000-0005-0000-0000-0000AB000000}"/>
    <cellStyle name="Normal 5 3" xfId="132" xr:uid="{00000000-0005-0000-0000-0000AC000000}"/>
    <cellStyle name="Normal 5 4" xfId="180" xr:uid="{00000000-0005-0000-0000-0000AD000000}"/>
    <cellStyle name="Normal 6" xfId="65" xr:uid="{00000000-0005-0000-0000-0000AE000000}"/>
    <cellStyle name="Normal 6 2" xfId="148" xr:uid="{00000000-0005-0000-0000-0000AF000000}"/>
    <cellStyle name="Normal 6 3" xfId="99" xr:uid="{00000000-0005-0000-0000-0000B0000000}"/>
    <cellStyle name="Normal 6 4" xfId="187" xr:uid="{00000000-0005-0000-0000-0000B1000000}"/>
    <cellStyle name="Normal 6 5" xfId="197" xr:uid="{00000000-0005-0000-0000-0000B2000000}"/>
    <cellStyle name="Normal 6 5 2" xfId="206" xr:uid="{00000000-0005-0000-0000-0000B3000000}"/>
    <cellStyle name="Normal 7" xfId="84" xr:uid="{00000000-0005-0000-0000-0000B4000000}"/>
    <cellStyle name="Normal 7 2" xfId="133" xr:uid="{00000000-0005-0000-0000-0000B5000000}"/>
    <cellStyle name="Normal 8" xfId="123" xr:uid="{00000000-0005-0000-0000-0000B6000000}"/>
    <cellStyle name="Normal 9" xfId="110" xr:uid="{00000000-0005-0000-0000-0000B7000000}"/>
    <cellStyle name="Note" xfId="19" builtinId="10" customBuiltin="1"/>
    <cellStyle name="Note 2" xfId="76" xr:uid="{00000000-0005-0000-0000-0000B9000000}"/>
    <cellStyle name="Note 2 2" xfId="106" xr:uid="{00000000-0005-0000-0000-0000BA000000}"/>
    <cellStyle name="Note 2 2 2" xfId="155" xr:uid="{00000000-0005-0000-0000-0000BB000000}"/>
    <cellStyle name="Note 2 3" xfId="130" xr:uid="{00000000-0005-0000-0000-0000BC000000}"/>
    <cellStyle name="Note 2 4" xfId="179" xr:uid="{00000000-0005-0000-0000-0000BD000000}"/>
    <cellStyle name="Output" xfId="14" builtinId="21" customBuiltin="1"/>
    <cellStyle name="Percent 2" xfId="56" xr:uid="{00000000-0005-0000-0000-0000BF000000}"/>
    <cellStyle name="Percent 2 2" xfId="59" xr:uid="{00000000-0005-0000-0000-0000C0000000}"/>
    <cellStyle name="Percent 2 3" xfId="108" xr:uid="{00000000-0005-0000-0000-0000C1000000}"/>
    <cellStyle name="Percent 2 3 2" xfId="157" xr:uid="{00000000-0005-0000-0000-0000C2000000}"/>
    <cellStyle name="Percent 2 4" xfId="186" xr:uid="{00000000-0005-0000-0000-0000C3000000}"/>
    <cellStyle name="Percent 2 5" xfId="196" xr:uid="{00000000-0005-0000-0000-0000C4000000}"/>
    <cellStyle name="Percent 2 5 2" xfId="205" xr:uid="{00000000-0005-0000-0000-0000C5000000}"/>
    <cellStyle name="Percent 3" xfId="78" xr:uid="{00000000-0005-0000-0000-0000C6000000}"/>
    <cellStyle name="Percent 4" xfId="77" xr:uid="{00000000-0005-0000-0000-0000C7000000}"/>
    <cellStyle name="Percent 4 2" xfId="156" xr:uid="{00000000-0005-0000-0000-0000C8000000}"/>
    <cellStyle name="Percent 4 3" xfId="107" xr:uid="{00000000-0005-0000-0000-0000C9000000}"/>
    <cellStyle name="Percent 4 4" xfId="190" xr:uid="{00000000-0005-0000-0000-0000CA000000}"/>
    <cellStyle name="Percent 4 5" xfId="200" xr:uid="{00000000-0005-0000-0000-0000CB000000}"/>
    <cellStyle name="Percent 4 5 2" xfId="209" xr:uid="{00000000-0005-0000-0000-0000CC000000}"/>
    <cellStyle name="Percent 5" xfId="131" xr:uid="{00000000-0005-0000-0000-0000CD000000}"/>
    <cellStyle name="Percent 6" xfId="83" xr:uid="{00000000-0005-0000-0000-0000CE000000}"/>
    <cellStyle name="Title" xfId="5" builtinId="15" customBuiltin="1"/>
    <cellStyle name="Total" xfId="21" builtinId="25" customBuiltin="1"/>
    <cellStyle name="Warning Text" xfId="18" builtinId="11" customBuiltin="1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externalLink" Target="externalLinks/externalLink3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2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4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Cash%20flow/AGS%20Cash%20Flow%202026.xlsx" TargetMode="External"/><Relationship Id="rId2" Type="http://schemas.openxmlformats.org/officeDocument/2006/relationships/externalLinkPath" Target="file:///C:\Users\Sannette\Desktop\Work%20Folder\Companies\1.%20African%20Gameskin\Cash%20flow\AGS%20Cash%20Flow%202026.xlsx" TargetMode="External"/><Relationship Id="rId1" Type="http://schemas.openxmlformats.org/officeDocument/2006/relationships/externalLinkPath" Target="/Users/Sannette/Desktop/Work%20Folder/Companies/1.%20African%20Gameskin/Cash%20flow/AGS%20Cash%20Flow%202026.xlsx" TargetMode="External"/></Relationships>
</file>

<file path=xl/externalLinks/_rels/externalLink2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../../AGS%20Stocksheet%2030%20March%202026.xlsx" TargetMode="External"/><Relationship Id="rId2" Type="http://schemas.openxmlformats.org/officeDocument/2006/relationships/externalLinkPath" Target="file:///C:\Users\Sannette\Desktop\AGS%20Stocksheet%2030%20March%202026.xlsx" TargetMode="External"/><Relationship Id="rId1" Type="http://schemas.openxmlformats.org/officeDocument/2006/relationships/externalLinkPath" Target="/Users/Sannette/Desktop/AGS%20Stocksheet%2030%20March%202026.xlsx" TargetMode="External"/></Relationships>
</file>

<file path=xl/externalLinks/_rels/externalLink3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Branches/JHB/2027/31%20MARCH%202026%20STOCK%20SHEET.xlsx" TargetMode="External"/><Relationship Id="rId2" Type="http://schemas.openxmlformats.org/officeDocument/2006/relationships/externalLinkPath" Target="file:///C:\Users\Sannette\Desktop\Work%20Folder\Companies\1.%20African%20Gameskin\Reports\Branches\JHB\2027\31%20MARCH%202026%20STOCK%20SHEET.xlsx" TargetMode="External"/><Relationship Id="rId1" Type="http://schemas.openxmlformats.org/officeDocument/2006/relationships/externalLinkPath" Target="/Users/Sannette/Desktop/Work%20Folder/Companies/1.%20African%20Gameskin/Reports/Branches/JHB/2027/31%20MARCH%202026%20STOCK%20SHEET.xlsx" TargetMode="External"/></Relationships>
</file>

<file path=xl/externalLinks/_rels/externalLink4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../../AGS%20Stocksheet%2028%20Feb%202026.xlsx" TargetMode="External"/><Relationship Id="rId2" Type="http://schemas.openxmlformats.org/officeDocument/2006/relationships/externalLinkPath" Target="file:///C:\Users\Sannette\Desktop\AGS%20Stocksheet%2028%20Feb%202026.xlsx" TargetMode="External"/><Relationship Id="rId1" Type="http://schemas.openxmlformats.org/officeDocument/2006/relationships/externalLinkPath" Target="/Users/Sannette/Desktop/AGS%20Stocksheet%2028%20Feb%20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Cash Flow"/>
      <sheetName val="Comparison "/>
      <sheetName val="Imports"/>
      <sheetName val="Income Statement Y2D"/>
      <sheetName val="Tax Calculation"/>
      <sheetName val="Sheet4"/>
      <sheetName val="Sheet3"/>
      <sheetName val="USD account"/>
      <sheetName val="Petty Cash July"/>
      <sheetName val="Petty cash"/>
      <sheetName val="Petty Cash Aug"/>
      <sheetName val="Safe Dec"/>
      <sheetName val="Nov Safe "/>
      <sheetName val="Safe "/>
      <sheetName val="Safe cash Sep"/>
      <sheetName val="Cash in safe"/>
      <sheetName val="Safe Cash"/>
      <sheetName val="Sales per month"/>
      <sheetName val="Sales per Branch"/>
      <sheetName val="Sales Rep per month"/>
      <sheetName val="Sheet2"/>
      <sheetName val="Sheet1"/>
      <sheetName val="Stock"/>
      <sheetName val="m2 summary"/>
      <sheetName val="Income summary"/>
      <sheetName val="Year to date Income Statement"/>
      <sheetName val="Summary Year to date"/>
      <sheetName val="Budget 2026-2027"/>
      <sheetName val="Sales "/>
      <sheetName val="Sheet5"/>
      <sheetName val="Sheet6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>
        <row r="14">
          <cell r="J14">
            <v>17391</v>
          </cell>
          <cell r="L14">
            <v>2823</v>
          </cell>
        </row>
      </sheetData>
      <sheetData sheetId="19">
        <row r="48">
          <cell r="C48">
            <v>2544.3200000000002</v>
          </cell>
        </row>
        <row r="51">
          <cell r="C51">
            <v>10150.709999999999</v>
          </cell>
        </row>
        <row r="56">
          <cell r="C56">
            <v>12223.94</v>
          </cell>
        </row>
      </sheetData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Dash Board"/>
      <sheetName val="Side Leathers "/>
      <sheetName val="Sheet19"/>
      <sheetName val="Sheet15"/>
      <sheetName val="Sheet16"/>
      <sheetName val="Sides Requirments"/>
      <sheetName val="Hide Leathers "/>
      <sheetName val="Sheet20"/>
      <sheetName val="Sheet18"/>
      <sheetName val="Inventory "/>
      <sheetName val="Sheet14"/>
      <sheetName val="Sheet13"/>
      <sheetName val="RANDALL COUNT HANNI  FLW"/>
      <sheetName val="RANDALL COUNT SHEET (2)"/>
      <sheetName val="Import Leathers"/>
      <sheetName val="CUSTOMER STOCK "/>
      <sheetName val="Leather Requirements"/>
      <sheetName val="End of Range"/>
      <sheetName val="Gameskin"/>
      <sheetName val="Sheet17"/>
      <sheetName val="RANDALL COUNT HAIR ON HIDES"/>
      <sheetName val="LANDED COSTS HAIR ON HIDES"/>
      <sheetName val="Sheet1"/>
      <sheetName val="Sheet2"/>
      <sheetName val="Sheet3"/>
      <sheetName val="Sheet4"/>
      <sheetName val="Sheet5"/>
      <sheetName val="Sheet6"/>
      <sheetName val="FOR SANNETTE"/>
      <sheetName val="FOR MASTERS"/>
      <sheetName val="Sheet7"/>
      <sheetName val="Discontinued stock"/>
      <sheetName val="Sheet8"/>
      <sheetName val="Sheet9"/>
      <sheetName val="Combined"/>
      <sheetName val="STOCK COMBINED"/>
      <sheetName val="Sheet11"/>
      <sheetName val="Sheet10"/>
      <sheetName val="Blank Stock Sheet"/>
      <sheetName val="Sheet1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>
        <row r="112">
          <cell r="I112">
            <v>76159.399999999994</v>
          </cell>
        </row>
      </sheetData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Dash Board"/>
      <sheetName val="Side Leathers "/>
      <sheetName val="Sheet19"/>
      <sheetName val="Sheet15"/>
      <sheetName val="Sheet16"/>
      <sheetName val="Sides Stock"/>
      <sheetName val="Hide Leathers "/>
      <sheetName val="Sheet20"/>
      <sheetName val="Sheet18"/>
      <sheetName val="Inventory "/>
      <sheetName val="Sheet14"/>
      <sheetName val="Sheet13"/>
      <sheetName val="RANDALL COUNT HANNI  FLW"/>
      <sheetName val="RANDALL COUNT SHEET (2)"/>
      <sheetName val="Import Leathers"/>
      <sheetName val="CUSTOMER STOCK "/>
      <sheetName val="Hides Stock"/>
      <sheetName val="End of Range"/>
      <sheetName val="Gameskin"/>
      <sheetName val="Sheet17"/>
      <sheetName val="RANDALL COUNT HAIR ON HIDES"/>
      <sheetName val="LANDED COSTS HAIR ON HIDES"/>
      <sheetName val="Sheet1"/>
      <sheetName val="Sheet2"/>
      <sheetName val="Sheet3"/>
      <sheetName val="Sheet4"/>
      <sheetName val="Sheet5"/>
      <sheetName val="Sheet6"/>
      <sheetName val="FOR SANNETTE"/>
      <sheetName val="FOR MASTERS"/>
      <sheetName val="Sheet7"/>
      <sheetName val="Discontinued stock"/>
      <sheetName val="Sheet8"/>
      <sheetName val="Sheet9"/>
      <sheetName val="Combined"/>
      <sheetName val="STOCK COMBINED"/>
      <sheetName val="Sheet11"/>
      <sheetName val="Sheet10"/>
      <sheetName val="Blank Stock Sheet"/>
      <sheetName val="Sheet1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>
        <row r="105">
          <cell r="H105">
            <v>18598.400000000001</v>
          </cell>
        </row>
      </sheetData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Dash Board"/>
      <sheetName val="Side Leathers "/>
      <sheetName val="Sheet19"/>
      <sheetName val="Sheet15"/>
      <sheetName val="Sheet16"/>
      <sheetName val="Sides Requirments"/>
      <sheetName val="Hide Leathers "/>
      <sheetName val="Sheet20"/>
      <sheetName val="Sheet18"/>
      <sheetName val="Inventory "/>
      <sheetName val="Sheet14"/>
      <sheetName val="Sheet13"/>
      <sheetName val="RANDALL COUNT HANNI  FLW"/>
      <sheetName val="RANDALL COUNT SHEET (2)"/>
      <sheetName val="Import Leathers"/>
      <sheetName val="CUSTOMER STOCK "/>
      <sheetName val="Leather Requirements"/>
      <sheetName val="End of Range"/>
      <sheetName val="Gameskin"/>
      <sheetName val="Sheet17"/>
      <sheetName val="RANDALL COUNT HAIR ON HIDES"/>
      <sheetName val="LANDED COSTS HAIR ON HIDES"/>
      <sheetName val="Sheet1"/>
      <sheetName val="Sheet2"/>
      <sheetName val="Sheet3"/>
      <sheetName val="Sheet4"/>
      <sheetName val="Sheet5"/>
      <sheetName val="Sheet6"/>
      <sheetName val="FOR SANNETTE"/>
      <sheetName val="FOR MASTERS"/>
      <sheetName val="Sheet7"/>
      <sheetName val="Discontinued stock"/>
      <sheetName val="Sheet8"/>
      <sheetName val="Sheet9"/>
      <sheetName val="Combined"/>
      <sheetName val="STOCK COMBINED"/>
      <sheetName val="Sheet11"/>
      <sheetName val="Sheet10"/>
      <sheetName val="Blank Stock Sheet"/>
      <sheetName val="Sheet1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>
        <row r="86">
          <cell r="M86">
            <v>71474.099999999991</v>
          </cell>
        </row>
        <row r="87">
          <cell r="M87">
            <v>18403053.300000001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Q63"/>
  <sheetViews>
    <sheetView showGridLines="0" tabSelected="1" topLeftCell="A27" zoomScale="90" zoomScaleNormal="90" workbookViewId="0">
      <selection activeCell="L50" sqref="L50"/>
    </sheetView>
  </sheetViews>
  <sheetFormatPr defaultRowHeight="14.5" x14ac:dyDescent="0.35"/>
  <cols>
    <col min="1" max="1" width="4.26953125" customWidth="1"/>
    <col min="2" max="2" width="34.26953125" customWidth="1"/>
    <col min="3" max="3" width="14.26953125" customWidth="1"/>
    <col min="4" max="4" width="15.453125" bestFit="1" customWidth="1"/>
    <col min="5" max="5" width="3" customWidth="1"/>
    <col min="6" max="6" width="2.7265625" customWidth="1"/>
    <col min="7" max="7" width="23.81640625" customWidth="1"/>
    <col min="8" max="8" width="16.453125" customWidth="1"/>
    <col min="9" max="9" width="2.81640625" customWidth="1"/>
    <col min="10" max="10" width="2.7265625" hidden="1" customWidth="1"/>
    <col min="11" max="11" width="14.81640625" customWidth="1"/>
    <col min="12" max="12" width="16.26953125" customWidth="1"/>
    <col min="13" max="13" width="15.453125" bestFit="1" customWidth="1"/>
    <col min="14" max="14" width="2.54296875" customWidth="1"/>
    <col min="15" max="15" width="20.453125" customWidth="1"/>
    <col min="16" max="16" width="15.453125" bestFit="1" customWidth="1"/>
  </cols>
  <sheetData>
    <row r="1" spans="2:15" x14ac:dyDescent="0.35">
      <c r="B1" s="83" t="s">
        <v>4</v>
      </c>
    </row>
    <row r="2" spans="2:15" x14ac:dyDescent="0.35">
      <c r="B2" s="84" t="s">
        <v>183</v>
      </c>
    </row>
    <row r="3" spans="2:15" ht="15" thickBot="1" x14ac:dyDescent="0.4"/>
    <row r="4" spans="2:15" ht="15" thickBot="1" x14ac:dyDescent="0.4">
      <c r="B4" s="240" t="s">
        <v>0</v>
      </c>
      <c r="C4" s="241"/>
      <c r="D4" s="242"/>
      <c r="E4" s="85"/>
      <c r="G4" s="246" t="s">
        <v>5</v>
      </c>
      <c r="H4" s="247"/>
      <c r="I4" s="86"/>
      <c r="J4" s="86"/>
      <c r="K4" s="87" t="s">
        <v>6</v>
      </c>
      <c r="L4" s="88"/>
      <c r="M4" s="89"/>
    </row>
    <row r="5" spans="2:15" x14ac:dyDescent="0.35">
      <c r="B5" s="90"/>
      <c r="C5" s="91"/>
      <c r="D5" s="92"/>
      <c r="E5" s="92"/>
      <c r="G5" s="93"/>
      <c r="H5" s="94"/>
      <c r="K5" s="95"/>
      <c r="L5" s="96"/>
      <c r="M5" s="97"/>
    </row>
    <row r="6" spans="2:15" x14ac:dyDescent="0.35">
      <c r="B6" s="98" t="s">
        <v>7</v>
      </c>
      <c r="C6" s="99"/>
      <c r="D6" s="153">
        <f>+'Income Statement '!C4+'Income Statement '!C5</f>
        <v>8458767.1900000013</v>
      </c>
      <c r="E6" s="100"/>
      <c r="G6" s="101" t="s">
        <v>8</v>
      </c>
      <c r="H6" s="102"/>
      <c r="K6" s="103" t="s">
        <v>10</v>
      </c>
      <c r="L6" s="104">
        <f>+'Balance sheet '!C38</f>
        <v>989367.23</v>
      </c>
      <c r="M6" s="105"/>
    </row>
    <row r="7" spans="2:15" x14ac:dyDescent="0.35">
      <c r="B7" s="106" t="s">
        <v>11</v>
      </c>
      <c r="C7" s="99"/>
      <c r="D7" s="153">
        <f>+'Income Statement '!C6</f>
        <v>337667.32</v>
      </c>
      <c r="E7" s="100"/>
      <c r="G7" s="107">
        <f>+Hannitan!B39-3771.68</f>
        <v>21732.559999999998</v>
      </c>
      <c r="H7" s="108" t="s">
        <v>9</v>
      </c>
      <c r="I7" s="109"/>
      <c r="J7" s="110"/>
      <c r="K7" s="103" t="s">
        <v>13</v>
      </c>
      <c r="L7" s="104">
        <f>+'Balance sheet '!C39</f>
        <v>6759923.4000000004</v>
      </c>
      <c r="M7" s="111"/>
    </row>
    <row r="8" spans="2:15" ht="15" thickBot="1" x14ac:dyDescent="0.4">
      <c r="B8" s="80"/>
      <c r="C8" s="99"/>
      <c r="D8" s="153"/>
      <c r="E8" s="100"/>
      <c r="G8" s="107">
        <f>+Hannitan!D39-723725.5</f>
        <v>4793208.5200000005</v>
      </c>
      <c r="H8" s="112" t="s">
        <v>12</v>
      </c>
      <c r="I8" s="109"/>
      <c r="J8" s="110"/>
      <c r="K8" s="113"/>
      <c r="L8" s="114"/>
      <c r="M8" s="115"/>
      <c r="O8" s="116"/>
    </row>
    <row r="9" spans="2:15" x14ac:dyDescent="0.35">
      <c r="B9" s="195"/>
      <c r="C9" s="196"/>
      <c r="D9" s="197">
        <f>SUM(D6:D8)</f>
        <v>8796434.5100000016</v>
      </c>
      <c r="E9" s="100"/>
      <c r="G9" s="117">
        <v>294343.65000000002</v>
      </c>
      <c r="H9" s="112" t="s">
        <v>39</v>
      </c>
      <c r="I9" s="109"/>
      <c r="J9" s="110"/>
      <c r="L9" s="14"/>
      <c r="M9" s="14"/>
    </row>
    <row r="10" spans="2:15" ht="15" thickBot="1" x14ac:dyDescent="0.4">
      <c r="B10" s="187"/>
      <c r="C10" s="182" t="s">
        <v>9</v>
      </c>
      <c r="D10" s="191"/>
      <c r="E10" s="100"/>
      <c r="G10" s="117">
        <f>+G8-G9</f>
        <v>4498864.87</v>
      </c>
      <c r="H10" s="118" t="s">
        <v>47</v>
      </c>
      <c r="I10" s="109"/>
      <c r="J10" s="110"/>
      <c r="M10" s="119"/>
    </row>
    <row r="11" spans="2:15" ht="15" thickBot="1" x14ac:dyDescent="0.4">
      <c r="B11" s="188" t="s">
        <v>14</v>
      </c>
      <c r="C11" s="189">
        <f>+'Sales '!B41</f>
        <v>24919.379999999997</v>
      </c>
      <c r="D11" s="150">
        <f>+'Sales '!C41</f>
        <v>8193921.2300000004</v>
      </c>
      <c r="E11" s="100"/>
      <c r="G11" s="120">
        <f>+G10/G7</f>
        <v>207.01035082843441</v>
      </c>
      <c r="H11" s="121" t="s">
        <v>46</v>
      </c>
      <c r="I11" s="109"/>
      <c r="J11" s="110"/>
      <c r="K11" s="87" t="s">
        <v>45</v>
      </c>
      <c r="L11" s="122"/>
      <c r="M11" s="94"/>
      <c r="O11" s="179"/>
    </row>
    <row r="12" spans="2:15" ht="15" thickBot="1" x14ac:dyDescent="0.4">
      <c r="B12" s="188" t="s">
        <v>15</v>
      </c>
      <c r="C12" s="123">
        <f>+D11/C11</f>
        <v>328.81721896772717</v>
      </c>
      <c r="D12" s="151"/>
      <c r="E12" s="100"/>
      <c r="J12" s="110"/>
      <c r="K12" s="124"/>
      <c r="L12" s="99"/>
      <c r="M12" s="125"/>
    </row>
    <row r="13" spans="2:15" x14ac:dyDescent="0.35">
      <c r="B13" s="188" t="s">
        <v>37</v>
      </c>
      <c r="C13" s="126">
        <f>+G7+G15</f>
        <v>28543.159999999996</v>
      </c>
      <c r="D13" s="150">
        <f>+G10+G16</f>
        <v>6769998.4299999997</v>
      </c>
      <c r="E13" s="100"/>
      <c r="G13" s="87" t="s">
        <v>42</v>
      </c>
      <c r="H13" s="94"/>
      <c r="J13" s="110"/>
      <c r="K13" s="124" t="s">
        <v>55</v>
      </c>
      <c r="L13" s="99">
        <v>0</v>
      </c>
      <c r="M13" s="125"/>
    </row>
    <row r="14" spans="2:15" ht="15" thickBot="1" x14ac:dyDescent="0.4">
      <c r="B14" s="192" t="s">
        <v>36</v>
      </c>
      <c r="C14" s="193">
        <f>D13/C13</f>
        <v>237.18461550858422</v>
      </c>
      <c r="D14" s="194"/>
      <c r="E14" s="100"/>
      <c r="G14" s="127"/>
      <c r="H14" s="108"/>
      <c r="I14" s="128"/>
      <c r="J14" s="129"/>
      <c r="K14" s="130" t="s">
        <v>53</v>
      </c>
      <c r="L14" s="99">
        <f>+'Balance sheet '!C36</f>
        <v>1526847.65</v>
      </c>
      <c r="M14" s="125"/>
    </row>
    <row r="15" spans="2:15" ht="15" thickBot="1" x14ac:dyDescent="0.4">
      <c r="B15" s="80"/>
      <c r="D15" s="99"/>
      <c r="E15" s="100"/>
      <c r="G15" s="131">
        <f>+FLW!B25</f>
        <v>6810.5999999999985</v>
      </c>
      <c r="H15" s="108" t="s">
        <v>9</v>
      </c>
      <c r="I15" s="128"/>
      <c r="K15" s="113"/>
      <c r="L15" s="132">
        <f>SUM(L12:L14)</f>
        <v>1526847.65</v>
      </c>
      <c r="M15" s="115"/>
    </row>
    <row r="16" spans="2:15" x14ac:dyDescent="0.35">
      <c r="B16" s="248" t="s">
        <v>43</v>
      </c>
      <c r="C16" s="249"/>
      <c r="D16" s="250"/>
      <c r="E16" s="100"/>
      <c r="G16" s="133">
        <f>+FLW!D25</f>
        <v>2271133.56</v>
      </c>
      <c r="H16" s="118" t="s">
        <v>12</v>
      </c>
      <c r="I16" s="128"/>
      <c r="J16" s="134"/>
    </row>
    <row r="17" spans="2:16" ht="16" thickBot="1" x14ac:dyDescent="0.4">
      <c r="B17" s="202"/>
      <c r="C17" s="227" t="s">
        <v>184</v>
      </c>
      <c r="D17" s="212" t="s">
        <v>182</v>
      </c>
      <c r="E17" s="100"/>
      <c r="G17" s="120">
        <f>+G16/G15</f>
        <v>333.47040789357771</v>
      </c>
      <c r="H17" s="135" t="s">
        <v>22</v>
      </c>
      <c r="I17" s="128"/>
      <c r="J17" s="136"/>
      <c r="O17" s="179"/>
    </row>
    <row r="18" spans="2:16" ht="15" thickBot="1" x14ac:dyDescent="0.4">
      <c r="B18" s="203"/>
      <c r="C18" s="1"/>
      <c r="D18" s="206"/>
      <c r="E18" s="100"/>
      <c r="G18" s="110"/>
      <c r="H18" s="99"/>
      <c r="I18" s="81"/>
      <c r="K18" s="84" t="s">
        <v>185</v>
      </c>
      <c r="O18" s="126"/>
    </row>
    <row r="19" spans="2:16" x14ac:dyDescent="0.35">
      <c r="B19" s="203" t="s">
        <v>50</v>
      </c>
      <c r="C19" s="206">
        <f>+'[1]Sales Rep per month'!$C$48</f>
        <v>2544.3200000000002</v>
      </c>
      <c r="D19" s="206">
        <f>+'[1]Sales per Branch'!$L$14</f>
        <v>2823</v>
      </c>
      <c r="E19" s="100"/>
      <c r="G19" s="137" t="s">
        <v>27</v>
      </c>
      <c r="H19" s="138"/>
      <c r="I19" s="81"/>
      <c r="K19" s="1" t="s">
        <v>16</v>
      </c>
      <c r="L19" s="139">
        <f>+'Income Statement '!D6</f>
        <v>8796434.5099999998</v>
      </c>
      <c r="M19" s="1"/>
      <c r="O19" s="179"/>
    </row>
    <row r="20" spans="2:16" x14ac:dyDescent="0.35">
      <c r="B20" s="203"/>
      <c r="C20" s="1"/>
      <c r="D20" s="206"/>
      <c r="E20" s="100"/>
      <c r="G20" s="140" t="s">
        <v>24</v>
      </c>
      <c r="H20" s="141">
        <f>+'Debtors '!F190</f>
        <v>5557631.2800000003</v>
      </c>
      <c r="I20" s="81"/>
      <c r="K20" s="1" t="s">
        <v>1</v>
      </c>
      <c r="L20" s="139">
        <f>+'Income Statement '!D10</f>
        <v>7443520.5499999998</v>
      </c>
      <c r="M20" s="1"/>
      <c r="P20" s="179"/>
    </row>
    <row r="21" spans="2:16" x14ac:dyDescent="0.35">
      <c r="B21" s="203"/>
      <c r="C21" s="1"/>
      <c r="D21" s="206"/>
      <c r="E21" s="100"/>
      <c r="G21" s="140" t="s">
        <v>25</v>
      </c>
      <c r="H21" s="141">
        <f>+'Debtors '!E190</f>
        <v>3589590.34</v>
      </c>
      <c r="I21" s="81"/>
      <c r="K21" s="1" t="s">
        <v>17</v>
      </c>
      <c r="L21" s="139">
        <f>+L19-L20</f>
        <v>1352913.96</v>
      </c>
      <c r="M21" s="142">
        <f>+L21/L19</f>
        <v>0.15380253879705177</v>
      </c>
    </row>
    <row r="22" spans="2:16" x14ac:dyDescent="0.35">
      <c r="B22" s="203" t="s">
        <v>49</v>
      </c>
      <c r="C22" s="206">
        <f>+'[1]Sales Rep per month'!$C$51</f>
        <v>10150.709999999999</v>
      </c>
      <c r="D22" s="206">
        <v>10084.77</v>
      </c>
      <c r="E22" s="100"/>
      <c r="G22" s="140" t="s">
        <v>26</v>
      </c>
      <c r="H22" s="141">
        <f>+'Debtors '!D190</f>
        <v>438208.68</v>
      </c>
      <c r="I22" s="81"/>
      <c r="K22" s="1" t="s">
        <v>2</v>
      </c>
      <c r="L22" s="139">
        <f>+'Income Statement '!D16</f>
        <v>803916.31</v>
      </c>
      <c r="M22" s="1"/>
    </row>
    <row r="23" spans="2:16" x14ac:dyDescent="0.35">
      <c r="B23" s="203"/>
      <c r="C23" s="1"/>
      <c r="D23" s="206"/>
      <c r="E23" s="100"/>
      <c r="G23" s="140" t="s">
        <v>30</v>
      </c>
      <c r="H23" s="141">
        <f>+'Debtors '!C190</f>
        <v>221228.3</v>
      </c>
      <c r="I23" s="81"/>
      <c r="K23" s="1" t="s">
        <v>3</v>
      </c>
      <c r="L23" s="143">
        <f>+'Income Statement '!D42</f>
        <v>988310.05</v>
      </c>
      <c r="M23" s="142">
        <f>L23/L19</f>
        <v>0.11235348241113662</v>
      </c>
    </row>
    <row r="24" spans="2:16" x14ac:dyDescent="0.35">
      <c r="B24" s="203"/>
      <c r="C24" s="1"/>
      <c r="D24" s="206"/>
      <c r="E24" s="100"/>
      <c r="G24" s="140" t="s">
        <v>32</v>
      </c>
      <c r="H24" s="141">
        <f>+'Debtors '!B190</f>
        <v>365380.25</v>
      </c>
      <c r="I24" s="81"/>
      <c r="K24" s="1" t="s">
        <v>18</v>
      </c>
      <c r="L24" s="143">
        <f>L21+L22-L23</f>
        <v>1168520.22</v>
      </c>
      <c r="M24" s="142">
        <f>+L24/L19</f>
        <v>0.13284021141424948</v>
      </c>
    </row>
    <row r="25" spans="2:16" ht="15" thickBot="1" x14ac:dyDescent="0.4">
      <c r="B25" s="203" t="s">
        <v>51</v>
      </c>
      <c r="C25" s="206">
        <f>+'[1]Sales Rep per month'!$C$56</f>
        <v>12223.94</v>
      </c>
      <c r="D25" s="206">
        <f>+'[1]Sales per Branch'!$J$14</f>
        <v>17391</v>
      </c>
      <c r="E25" s="100"/>
      <c r="G25" s="144"/>
      <c r="H25" s="145">
        <f>SUM(H20:H24)</f>
        <v>10172038.850000001</v>
      </c>
      <c r="J25" s="134"/>
      <c r="O25" s="171"/>
    </row>
    <row r="26" spans="2:16" ht="18" customHeight="1" thickBot="1" x14ac:dyDescent="0.4">
      <c r="B26" s="215"/>
      <c r="C26" s="216"/>
      <c r="D26" s="217"/>
      <c r="E26" s="100"/>
      <c r="K26" s="84" t="s">
        <v>38</v>
      </c>
    </row>
    <row r="27" spans="2:16" ht="15" thickBot="1" x14ac:dyDescent="0.4">
      <c r="B27" s="181" t="s">
        <v>44</v>
      </c>
      <c r="C27" s="213">
        <f>SUM(C18:C26)</f>
        <v>24918.97</v>
      </c>
      <c r="D27" s="214">
        <f>SUM(D19:D26)</f>
        <v>30298.77</v>
      </c>
      <c r="E27" s="100"/>
      <c r="G27" s="146" t="s">
        <v>23</v>
      </c>
      <c r="H27" s="138"/>
      <c r="I27" s="147"/>
      <c r="K27" s="1" t="s">
        <v>16</v>
      </c>
      <c r="L27" s="139">
        <f>+L19</f>
        <v>8796434.5099999998</v>
      </c>
      <c r="M27" s="1"/>
      <c r="O27" s="99"/>
    </row>
    <row r="28" spans="2:16" ht="15" thickBot="1" x14ac:dyDescent="0.4">
      <c r="B28" s="190"/>
      <c r="E28" s="100"/>
      <c r="G28" s="140" t="s">
        <v>24</v>
      </c>
      <c r="H28" s="141">
        <f>+'Suppliers '!H18</f>
        <v>1397414.22</v>
      </c>
      <c r="K28" s="1" t="s">
        <v>1</v>
      </c>
      <c r="L28" s="139">
        <f>+L20</f>
        <v>7443520.5499999998</v>
      </c>
      <c r="M28" s="1"/>
      <c r="O28" s="99"/>
    </row>
    <row r="29" spans="2:16" x14ac:dyDescent="0.35">
      <c r="B29" s="183" t="s">
        <v>19</v>
      </c>
      <c r="C29" s="184" t="s">
        <v>20</v>
      </c>
      <c r="D29" s="185" t="s">
        <v>21</v>
      </c>
      <c r="E29" s="100"/>
      <c r="G29" s="140" t="s">
        <v>25</v>
      </c>
      <c r="H29" s="141">
        <v>0</v>
      </c>
      <c r="K29" s="1" t="s">
        <v>17</v>
      </c>
      <c r="L29" s="139">
        <f>L27-L28</f>
        <v>1352913.96</v>
      </c>
      <c r="M29" s="142">
        <f>+L29/L27</f>
        <v>0.15380253879705177</v>
      </c>
      <c r="O29" s="99"/>
    </row>
    <row r="30" spans="2:16" x14ac:dyDescent="0.35">
      <c r="B30" s="186" t="s">
        <v>2916</v>
      </c>
      <c r="C30" s="126">
        <v>1873.16</v>
      </c>
      <c r="D30" s="204">
        <v>468704.8</v>
      </c>
      <c r="E30" s="100"/>
      <c r="G30" s="140" t="s">
        <v>26</v>
      </c>
      <c r="H30" s="141">
        <v>0</v>
      </c>
      <c r="K30" s="1" t="s">
        <v>2</v>
      </c>
      <c r="L30" s="139">
        <f>+L22</f>
        <v>803916.31</v>
      </c>
      <c r="M30" s="1"/>
      <c r="O30" s="99"/>
    </row>
    <row r="31" spans="2:16" ht="15" thickBot="1" x14ac:dyDescent="0.4">
      <c r="B31" s="186" t="s">
        <v>2863</v>
      </c>
      <c r="C31" s="126">
        <v>1296.1300000000001</v>
      </c>
      <c r="D31" s="204">
        <v>452599.8</v>
      </c>
      <c r="E31" s="100"/>
      <c r="G31" s="148"/>
      <c r="H31" s="145">
        <f>SUM(H28:H30)</f>
        <v>1397414.22</v>
      </c>
      <c r="K31" s="1" t="s">
        <v>3</v>
      </c>
      <c r="L31" s="139">
        <f>+L23</f>
        <v>988310.05</v>
      </c>
      <c r="M31" s="142">
        <f>L31/L27</f>
        <v>0.11235348241113662</v>
      </c>
      <c r="O31" s="99"/>
    </row>
    <row r="32" spans="2:16" ht="15" thickBot="1" x14ac:dyDescent="0.4">
      <c r="B32" s="186" t="s">
        <v>2926</v>
      </c>
      <c r="C32" s="126">
        <v>1198.22</v>
      </c>
      <c r="D32" s="204">
        <v>317528.3</v>
      </c>
      <c r="E32" s="100"/>
      <c r="K32" s="1" t="s">
        <v>18</v>
      </c>
      <c r="L32" s="139">
        <f>L29+L30-L31</f>
        <v>1168520.22</v>
      </c>
      <c r="M32" s="142">
        <f>+L32/L27</f>
        <v>0.13284021141424948</v>
      </c>
    </row>
    <row r="33" spans="2:16" ht="15" thickBot="1" x14ac:dyDescent="0.4">
      <c r="B33" s="186" t="s">
        <v>2851</v>
      </c>
      <c r="C33" s="126">
        <v>747.45</v>
      </c>
      <c r="D33" s="204">
        <v>313483.95</v>
      </c>
      <c r="E33" s="100"/>
      <c r="G33" s="90" t="s">
        <v>28</v>
      </c>
      <c r="H33" s="82">
        <f>+M40</f>
        <v>25627566.389999997</v>
      </c>
      <c r="L33" s="99"/>
      <c r="M33" s="149"/>
    </row>
    <row r="34" spans="2:16" ht="15" thickBot="1" x14ac:dyDescent="0.4">
      <c r="B34" s="186" t="s">
        <v>2933</v>
      </c>
      <c r="C34" s="126">
        <v>634.24</v>
      </c>
      <c r="D34" s="204">
        <v>159416.4</v>
      </c>
      <c r="E34" s="100"/>
      <c r="G34" s="80" t="s">
        <v>29</v>
      </c>
      <c r="H34" s="150">
        <f>+H25</f>
        <v>10172038.850000001</v>
      </c>
      <c r="K34" s="243" t="s">
        <v>186</v>
      </c>
      <c r="L34" s="244"/>
      <c r="M34" s="245"/>
      <c r="O34" s="220"/>
    </row>
    <row r="35" spans="2:16" x14ac:dyDescent="0.35">
      <c r="B35" s="186" t="s">
        <v>2853</v>
      </c>
      <c r="C35" s="126">
        <v>490.61</v>
      </c>
      <c r="D35" s="204">
        <v>142532.70000000001</v>
      </c>
      <c r="E35" s="100"/>
      <c r="G35" s="80"/>
      <c r="H35" s="151"/>
      <c r="K35" s="90"/>
      <c r="L35" s="152" t="s">
        <v>9</v>
      </c>
      <c r="M35" s="152" t="s">
        <v>21</v>
      </c>
      <c r="O35" s="201"/>
      <c r="P35" s="81"/>
    </row>
    <row r="36" spans="2:16" x14ac:dyDescent="0.35">
      <c r="B36" s="186" t="s">
        <v>2930</v>
      </c>
      <c r="C36" s="126">
        <v>477.61</v>
      </c>
      <c r="D36" s="204">
        <v>95044.39</v>
      </c>
      <c r="E36" s="100"/>
      <c r="G36" s="80" t="s">
        <v>31</v>
      </c>
      <c r="H36" s="153">
        <f>+L7+L6</f>
        <v>7749290.6300000008</v>
      </c>
      <c r="K36" s="80" t="s">
        <v>48</v>
      </c>
      <c r="L36" s="154">
        <f>+'[2]Leather Requirements'!$I$112+1330</f>
        <v>77489.399999999994</v>
      </c>
      <c r="M36" s="155">
        <v>20196660</v>
      </c>
      <c r="O36" s="171"/>
      <c r="P36" s="221"/>
    </row>
    <row r="37" spans="2:16" x14ac:dyDescent="0.35">
      <c r="B37" s="186" t="s">
        <v>2932</v>
      </c>
      <c r="C37" s="126">
        <v>408.13</v>
      </c>
      <c r="D37" s="204">
        <v>160883.4</v>
      </c>
      <c r="E37" s="100"/>
      <c r="G37" s="80" t="s">
        <v>33</v>
      </c>
      <c r="H37" s="150">
        <f>-H31</f>
        <v>-1397414.22</v>
      </c>
      <c r="K37" s="156" t="s">
        <v>40</v>
      </c>
      <c r="L37" s="157">
        <f>+'[3]Hides Stock'!$H$105+1136</f>
        <v>19734.400000000001</v>
      </c>
      <c r="M37" s="205">
        <f>+L37*236</f>
        <v>4657318.4000000004</v>
      </c>
      <c r="O37" s="171"/>
      <c r="P37" s="81"/>
    </row>
    <row r="38" spans="2:16" x14ac:dyDescent="0.35">
      <c r="B38" s="186" t="s">
        <v>3063</v>
      </c>
      <c r="C38" s="126">
        <v>398</v>
      </c>
      <c r="D38" s="204">
        <v>87816.8</v>
      </c>
      <c r="E38" s="100"/>
      <c r="G38" s="80"/>
      <c r="H38" s="150"/>
      <c r="K38" s="80" t="s">
        <v>41</v>
      </c>
      <c r="L38" s="157">
        <f>3571.5-500</f>
        <v>3071.5</v>
      </c>
      <c r="M38" s="155">
        <v>773587.99</v>
      </c>
      <c r="O38" s="171"/>
      <c r="P38" s="81"/>
    </row>
    <row r="39" spans="2:16" x14ac:dyDescent="0.35">
      <c r="B39" s="186" t="s">
        <v>2941</v>
      </c>
      <c r="C39" s="126">
        <v>359.51</v>
      </c>
      <c r="D39" s="204">
        <v>104547.7</v>
      </c>
      <c r="E39" s="100"/>
      <c r="G39" s="80"/>
      <c r="H39" s="150"/>
      <c r="K39" s="156" t="s">
        <v>54</v>
      </c>
      <c r="L39" s="158"/>
      <c r="M39" s="159"/>
      <c r="O39" s="171"/>
      <c r="P39" s="81"/>
    </row>
    <row r="40" spans="2:16" ht="15" thickBot="1" x14ac:dyDescent="0.4">
      <c r="B40" s="233"/>
      <c r="C40" s="236"/>
      <c r="D40" s="237"/>
      <c r="E40" s="100"/>
      <c r="G40" s="160" t="s">
        <v>35</v>
      </c>
      <c r="H40" s="161">
        <f>SUM(H33:H39)</f>
        <v>42151481.649999999</v>
      </c>
      <c r="K40" s="80"/>
      <c r="L40" s="162" t="s">
        <v>34</v>
      </c>
      <c r="M40" s="163">
        <f>SUM(M36:M39)</f>
        <v>25627566.389999997</v>
      </c>
      <c r="N40" s="164"/>
      <c r="O40" s="14"/>
    </row>
    <row r="41" spans="2:16" ht="15" thickBot="1" x14ac:dyDescent="0.4">
      <c r="B41" s="233" t="s">
        <v>52</v>
      </c>
      <c r="C41" s="234">
        <f>+C48</f>
        <v>0.31634254142759571</v>
      </c>
      <c r="D41" s="235"/>
      <c r="E41" s="100"/>
      <c r="K41" s="165"/>
      <c r="L41" s="166"/>
      <c r="M41" s="167"/>
      <c r="N41" s="81"/>
      <c r="O41" s="189"/>
    </row>
    <row r="42" spans="2:16" ht="15" thickBot="1" x14ac:dyDescent="0.4">
      <c r="B42" s="199" t="s">
        <v>2841</v>
      </c>
      <c r="C42" s="198" t="s">
        <v>181</v>
      </c>
      <c r="D42" s="200">
        <v>673563.19</v>
      </c>
      <c r="E42" s="85"/>
      <c r="O42" s="168"/>
    </row>
    <row r="43" spans="2:16" ht="3.75" customHeight="1" x14ac:dyDescent="0.35">
      <c r="L43" s="201"/>
      <c r="M43" s="81"/>
    </row>
    <row r="44" spans="2:16" ht="16" x14ac:dyDescent="0.4">
      <c r="D44" s="81"/>
      <c r="L44" s="201"/>
      <c r="M44" s="81"/>
      <c r="O44" s="209"/>
    </row>
    <row r="45" spans="2:16" hidden="1" x14ac:dyDescent="0.35">
      <c r="D45" s="179"/>
      <c r="E45" s="149"/>
      <c r="K45" s="80" t="s">
        <v>48</v>
      </c>
      <c r="L45" s="154"/>
      <c r="M45" s="155"/>
      <c r="O45" s="171"/>
    </row>
    <row r="46" spans="2:16" ht="23.25" hidden="1" customHeight="1" x14ac:dyDescent="0.35">
      <c r="C46" s="179"/>
      <c r="D46" s="179">
        <f>+D42/D9</f>
        <v>7.6572296336007151E-2</v>
      </c>
      <c r="J46" s="169"/>
      <c r="K46" s="156" t="s">
        <v>40</v>
      </c>
      <c r="L46" s="157"/>
      <c r="M46" s="205"/>
      <c r="O46" s="207"/>
    </row>
    <row r="47" spans="2:16" ht="15" hidden="1" customHeight="1" x14ac:dyDescent="0.35">
      <c r="C47" s="126">
        <f>+C30+C31+C32+C33+C34+C35+C37+C36+C38+C39</f>
        <v>7883.0599999999995</v>
      </c>
      <c r="D47" s="179">
        <f>+D30+D31+D32+D33+D34+D35+D36+D37+D38+D39</f>
        <v>2302558.2399999998</v>
      </c>
      <c r="I47" s="170"/>
      <c r="J47" s="169"/>
      <c r="K47" s="80" t="s">
        <v>41</v>
      </c>
      <c r="L47" s="157"/>
      <c r="M47" s="155"/>
      <c r="O47" s="126"/>
    </row>
    <row r="48" spans="2:16" ht="15" hidden="1" customHeight="1" thickBot="1" x14ac:dyDescent="0.4">
      <c r="C48">
        <f>+C47/C11</f>
        <v>0.31634254142759571</v>
      </c>
      <c r="D48" s="179">
        <f>+D47/D11</f>
        <v>0.28100810044033087</v>
      </c>
      <c r="I48" s="170"/>
      <c r="J48" s="169"/>
      <c r="K48" s="80"/>
      <c r="L48" s="162"/>
      <c r="M48" s="163"/>
      <c r="N48" s="81"/>
      <c r="P48" s="81"/>
    </row>
    <row r="49" spans="2:17" ht="15" hidden="1" customHeight="1" x14ac:dyDescent="0.35">
      <c r="D49" s="179">
        <f>+D42/D9</f>
        <v>7.6572296336007151E-2</v>
      </c>
      <c r="I49" s="170"/>
      <c r="J49" s="169"/>
      <c r="K49" s="126"/>
      <c r="L49" s="171"/>
      <c r="M49" s="81"/>
      <c r="N49" s="81"/>
      <c r="P49" s="81"/>
    </row>
    <row r="50" spans="2:17" x14ac:dyDescent="0.35">
      <c r="B50" s="171"/>
      <c r="C50" s="171"/>
      <c r="D50" s="171"/>
      <c r="E50" s="149"/>
      <c r="J50" s="126"/>
      <c r="L50" s="208"/>
      <c r="M50" s="123"/>
      <c r="N50" s="99"/>
      <c r="O50" s="126"/>
    </row>
    <row r="51" spans="2:17" x14ac:dyDescent="0.35">
      <c r="G51" s="172"/>
      <c r="I51" s="83"/>
      <c r="L51" s="171"/>
    </row>
    <row r="52" spans="2:17" x14ac:dyDescent="0.35">
      <c r="G52" s="172"/>
      <c r="H52" s="99"/>
      <c r="I52" s="173"/>
      <c r="L52" s="171"/>
      <c r="M52" s="171"/>
    </row>
    <row r="53" spans="2:17" x14ac:dyDescent="0.35">
      <c r="G53" s="172"/>
      <c r="H53" s="99"/>
      <c r="I53" s="3"/>
      <c r="L53" s="154">
        <f>+'[4]Sides Requirments'!$M$86</f>
        <v>71474.099999999991</v>
      </c>
      <c r="M53" s="155">
        <f>+'[4]Sides Requirments'!$M$87</f>
        <v>18403053.300000001</v>
      </c>
    </row>
    <row r="54" spans="2:17" x14ac:dyDescent="0.35">
      <c r="D54" s="179"/>
      <c r="G54" s="172"/>
      <c r="H54" s="99"/>
      <c r="I54" s="173"/>
      <c r="L54" s="157">
        <f>17411+4250</f>
        <v>21661</v>
      </c>
      <c r="M54" s="205">
        <f>+L54*236.952</f>
        <v>5132617.2719999999</v>
      </c>
    </row>
    <row r="55" spans="2:17" x14ac:dyDescent="0.35">
      <c r="G55" s="172"/>
      <c r="H55" s="123"/>
      <c r="I55" s="147"/>
      <c r="L55" s="157">
        <v>3571.5</v>
      </c>
      <c r="M55" s="155">
        <v>899536.81</v>
      </c>
      <c r="O55">
        <f>+M55/L55</f>
        <v>251.86526949461012</v>
      </c>
    </row>
    <row r="56" spans="2:17" x14ac:dyDescent="0.35">
      <c r="G56" s="172"/>
      <c r="H56" s="174"/>
      <c r="I56" s="147"/>
      <c r="L56" s="171">
        <f>SUM(L53:L55)</f>
        <v>96706.599999999991</v>
      </c>
      <c r="O56" s="238"/>
      <c r="P56" s="239"/>
      <c r="Q56" s="239"/>
    </row>
    <row r="57" spans="2:17" x14ac:dyDescent="0.35">
      <c r="G57" s="175"/>
      <c r="H57" s="176"/>
      <c r="L57" s="171"/>
      <c r="P57" s="86"/>
      <c r="Q57" s="86"/>
    </row>
    <row r="58" spans="2:17" ht="15.5" x14ac:dyDescent="0.35">
      <c r="G58" s="175"/>
      <c r="H58" s="177"/>
      <c r="L58" s="232">
        <f>+L56+C13-C11</f>
        <v>100330.37999999998</v>
      </c>
      <c r="M58" s="171"/>
      <c r="O58" s="211"/>
      <c r="P58" s="201"/>
      <c r="Q58" s="81"/>
    </row>
    <row r="59" spans="2:17" ht="15.5" x14ac:dyDescent="0.35">
      <c r="D59" s="179"/>
      <c r="O59" s="219"/>
      <c r="P59" s="171"/>
      <c r="Q59" s="81"/>
    </row>
    <row r="60" spans="2:17" x14ac:dyDescent="0.35">
      <c r="L60" s="126"/>
      <c r="O60" s="171"/>
      <c r="P60" s="171"/>
      <c r="Q60" s="81"/>
    </row>
    <row r="61" spans="2:17" x14ac:dyDescent="0.35">
      <c r="O61" s="171"/>
      <c r="P61" s="171"/>
      <c r="Q61" s="81"/>
    </row>
    <row r="62" spans="2:17" x14ac:dyDescent="0.35">
      <c r="P62" s="210"/>
      <c r="Q62" s="123"/>
    </row>
    <row r="63" spans="2:17" x14ac:dyDescent="0.35">
      <c r="L63" s="126"/>
      <c r="O63" s="171"/>
      <c r="Q63" s="99"/>
    </row>
  </sheetData>
  <mergeCells count="5">
    <mergeCell ref="O56:Q56"/>
    <mergeCell ref="B4:D4"/>
    <mergeCell ref="K34:M34"/>
    <mergeCell ref="G4:H4"/>
    <mergeCell ref="B16:D16"/>
  </mergeCells>
  <pageMargins left="0.51181102362204722" right="0.31496062992125984" top="0.35433070866141736" bottom="0.15748031496062992" header="0" footer="0"/>
  <pageSetup paperSize="9" scale="65" orientation="landscape" r:id="rId1"/>
  <colBreaks count="1" manualBreakCount="1">
    <brk id="13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544346-3990-4825-9AF9-EDBFBA463205}">
  <dimension ref="A1:D86"/>
  <sheetViews>
    <sheetView workbookViewId="0">
      <selection activeCell="A17" sqref="A17"/>
    </sheetView>
  </sheetViews>
  <sheetFormatPr defaultRowHeight="14.5" x14ac:dyDescent="0.35"/>
  <cols>
    <col min="1" max="1" width="62.36328125" bestFit="1" customWidth="1"/>
    <col min="3" max="3" width="11.81640625" style="179" customWidth="1"/>
  </cols>
  <sheetData>
    <row r="1" spans="1:4" x14ac:dyDescent="0.35">
      <c r="A1" s="178" t="s">
        <v>56</v>
      </c>
    </row>
    <row r="2" spans="1:4" x14ac:dyDescent="0.35">
      <c r="A2" s="178" t="s">
        <v>225</v>
      </c>
    </row>
    <row r="3" spans="1:4" x14ac:dyDescent="0.35">
      <c r="A3" s="178" t="s">
        <v>57</v>
      </c>
      <c r="B3" s="178" t="s">
        <v>58</v>
      </c>
      <c r="C3" s="180" t="s">
        <v>59</v>
      </c>
      <c r="D3" s="178" t="s">
        <v>57</v>
      </c>
    </row>
    <row r="4" spans="1:4" x14ac:dyDescent="0.35">
      <c r="A4" s="178" t="s">
        <v>154</v>
      </c>
      <c r="B4">
        <v>477.61</v>
      </c>
      <c r="C4" s="179">
        <v>95044.39</v>
      </c>
    </row>
    <row r="5" spans="1:4" x14ac:dyDescent="0.35">
      <c r="A5" s="178" t="s">
        <v>141</v>
      </c>
      <c r="B5">
        <v>158.66</v>
      </c>
      <c r="C5" s="179">
        <v>69017.100000000006</v>
      </c>
    </row>
    <row r="6" spans="1:4" x14ac:dyDescent="0.35">
      <c r="A6" s="178" t="s">
        <v>151</v>
      </c>
      <c r="B6">
        <v>101.02</v>
      </c>
      <c r="C6" s="179">
        <v>23416.799999999999</v>
      </c>
    </row>
    <row r="7" spans="1:4" x14ac:dyDescent="0.35">
      <c r="A7" s="178" t="s">
        <v>147</v>
      </c>
      <c r="B7">
        <v>100.34</v>
      </c>
      <c r="C7" s="179">
        <v>43273.1</v>
      </c>
    </row>
    <row r="8" spans="1:4" x14ac:dyDescent="0.35">
      <c r="A8" s="178" t="s">
        <v>164</v>
      </c>
      <c r="B8">
        <v>99.9</v>
      </c>
      <c r="C8" s="179">
        <v>37238.75</v>
      </c>
    </row>
    <row r="9" spans="1:4" x14ac:dyDescent="0.35">
      <c r="A9" s="178" t="s">
        <v>136</v>
      </c>
      <c r="B9">
        <v>90.09</v>
      </c>
      <c r="C9" s="179">
        <v>33030.85</v>
      </c>
    </row>
    <row r="10" spans="1:4" x14ac:dyDescent="0.35">
      <c r="A10" s="178" t="s">
        <v>127</v>
      </c>
      <c r="B10">
        <v>85.45</v>
      </c>
      <c r="C10" s="179">
        <v>30272.7</v>
      </c>
    </row>
    <row r="11" spans="1:4" x14ac:dyDescent="0.35">
      <c r="A11" s="178" t="s">
        <v>3465</v>
      </c>
      <c r="B11">
        <v>76.91</v>
      </c>
      <c r="C11" s="179">
        <v>28359.9</v>
      </c>
    </row>
    <row r="12" spans="1:4" x14ac:dyDescent="0.35">
      <c r="A12" s="178" t="s">
        <v>146</v>
      </c>
      <c r="B12">
        <v>73.930000000000007</v>
      </c>
      <c r="C12" s="179">
        <v>16264.6</v>
      </c>
    </row>
    <row r="13" spans="1:4" x14ac:dyDescent="0.35">
      <c r="A13" s="178" t="s">
        <v>130</v>
      </c>
      <c r="B13">
        <v>72.09</v>
      </c>
      <c r="C13" s="179">
        <v>37185.25</v>
      </c>
    </row>
    <row r="14" spans="1:4" x14ac:dyDescent="0.35">
      <c r="A14" s="178" t="s">
        <v>135</v>
      </c>
      <c r="B14">
        <v>71.209999999999994</v>
      </c>
      <c r="C14" s="179">
        <v>24958.7</v>
      </c>
    </row>
    <row r="15" spans="1:4" x14ac:dyDescent="0.35">
      <c r="A15" s="178" t="s">
        <v>131</v>
      </c>
      <c r="B15">
        <v>60.8</v>
      </c>
      <c r="C15" s="179">
        <v>16828.400000000001</v>
      </c>
    </row>
    <row r="16" spans="1:4" x14ac:dyDescent="0.35">
      <c r="A16" s="178" t="s">
        <v>227</v>
      </c>
      <c r="B16">
        <v>57.37</v>
      </c>
      <c r="C16" s="179">
        <v>21226.9</v>
      </c>
    </row>
    <row r="17" spans="1:3" x14ac:dyDescent="0.35">
      <c r="A17" s="178" t="s">
        <v>123</v>
      </c>
      <c r="B17">
        <v>55.06</v>
      </c>
      <c r="C17" s="179">
        <v>26514.55</v>
      </c>
    </row>
    <row r="18" spans="1:3" x14ac:dyDescent="0.35">
      <c r="A18" s="178" t="s">
        <v>3462</v>
      </c>
      <c r="B18">
        <v>52.83</v>
      </c>
      <c r="C18" s="179">
        <v>21132</v>
      </c>
    </row>
    <row r="19" spans="1:3" x14ac:dyDescent="0.35">
      <c r="A19" s="178" t="s">
        <v>134</v>
      </c>
      <c r="B19">
        <v>48.86</v>
      </c>
      <c r="C19" s="179">
        <v>20336.2</v>
      </c>
    </row>
    <row r="20" spans="1:3" x14ac:dyDescent="0.35">
      <c r="A20" s="178" t="s">
        <v>152</v>
      </c>
      <c r="B20">
        <v>45.09</v>
      </c>
      <c r="C20" s="179">
        <v>19614.150000000001</v>
      </c>
    </row>
    <row r="21" spans="1:3" x14ac:dyDescent="0.35">
      <c r="A21" s="178" t="s">
        <v>3469</v>
      </c>
      <c r="B21">
        <v>45.06</v>
      </c>
      <c r="C21" s="179">
        <v>30472.5</v>
      </c>
    </row>
    <row r="22" spans="1:3" x14ac:dyDescent="0.35">
      <c r="A22" s="178" t="s">
        <v>175</v>
      </c>
      <c r="B22">
        <v>42.15</v>
      </c>
      <c r="C22" s="179">
        <v>15336.6</v>
      </c>
    </row>
    <row r="23" spans="1:3" x14ac:dyDescent="0.35">
      <c r="A23" s="178" t="s">
        <v>176</v>
      </c>
      <c r="B23">
        <v>40.32</v>
      </c>
      <c r="C23" s="179">
        <v>11894.4</v>
      </c>
    </row>
    <row r="24" spans="1:3" x14ac:dyDescent="0.35">
      <c r="A24" s="178" t="s">
        <v>166</v>
      </c>
      <c r="B24">
        <v>38.9</v>
      </c>
      <c r="C24" s="179">
        <v>10940</v>
      </c>
    </row>
    <row r="25" spans="1:3" x14ac:dyDescent="0.35">
      <c r="A25" s="178" t="s">
        <v>160</v>
      </c>
      <c r="B25">
        <v>37.44</v>
      </c>
      <c r="C25" s="179">
        <v>10937.1</v>
      </c>
    </row>
    <row r="26" spans="1:3" x14ac:dyDescent="0.35">
      <c r="A26" s="178" t="s">
        <v>132</v>
      </c>
      <c r="B26">
        <v>37.43</v>
      </c>
      <c r="C26" s="179">
        <v>13210.3</v>
      </c>
    </row>
    <row r="27" spans="1:3" x14ac:dyDescent="0.35">
      <c r="A27" s="178" t="s">
        <v>3464</v>
      </c>
      <c r="B27">
        <v>37.06</v>
      </c>
      <c r="C27" s="179">
        <v>12376.5</v>
      </c>
    </row>
    <row r="28" spans="1:3" x14ac:dyDescent="0.35">
      <c r="A28" s="178" t="s">
        <v>162</v>
      </c>
      <c r="B28">
        <v>34.92</v>
      </c>
      <c r="C28" s="179">
        <v>14834.25</v>
      </c>
    </row>
    <row r="29" spans="1:3" x14ac:dyDescent="0.35">
      <c r="A29" s="178" t="s">
        <v>226</v>
      </c>
      <c r="B29">
        <v>30.19</v>
      </c>
      <c r="C29" s="179">
        <v>10415.549999999999</v>
      </c>
    </row>
    <row r="30" spans="1:3" x14ac:dyDescent="0.35">
      <c r="A30" s="178" t="s">
        <v>3474</v>
      </c>
      <c r="B30">
        <v>28.64</v>
      </c>
      <c r="C30" s="179">
        <v>8648.7999999999993</v>
      </c>
    </row>
    <row r="31" spans="1:3" x14ac:dyDescent="0.35">
      <c r="A31" s="178" t="s">
        <v>126</v>
      </c>
      <c r="B31">
        <v>28.37</v>
      </c>
      <c r="C31" s="179">
        <v>8997.65</v>
      </c>
    </row>
    <row r="32" spans="1:3" x14ac:dyDescent="0.35">
      <c r="A32" s="178" t="s">
        <v>228</v>
      </c>
      <c r="B32">
        <v>20.28</v>
      </c>
      <c r="C32" s="179">
        <v>7968.3</v>
      </c>
    </row>
    <row r="33" spans="1:3" x14ac:dyDescent="0.35">
      <c r="A33" s="178" t="s">
        <v>3475</v>
      </c>
      <c r="B33">
        <v>19.23</v>
      </c>
      <c r="C33" s="179">
        <v>8076.6</v>
      </c>
    </row>
    <row r="34" spans="1:3" x14ac:dyDescent="0.35">
      <c r="A34" s="178" t="s">
        <v>231</v>
      </c>
      <c r="B34">
        <v>17.350000000000001</v>
      </c>
      <c r="C34" s="179">
        <v>5118.25</v>
      </c>
    </row>
    <row r="35" spans="1:3" x14ac:dyDescent="0.35">
      <c r="A35" s="178" t="s">
        <v>169</v>
      </c>
      <c r="B35">
        <v>16.68</v>
      </c>
      <c r="C35" s="179">
        <v>6601.6</v>
      </c>
    </row>
    <row r="36" spans="1:3" x14ac:dyDescent="0.35">
      <c r="A36" s="178" t="s">
        <v>3461</v>
      </c>
      <c r="B36">
        <v>16.510000000000002</v>
      </c>
      <c r="C36" s="179">
        <v>4870.45</v>
      </c>
    </row>
    <row r="37" spans="1:3" x14ac:dyDescent="0.35">
      <c r="A37" s="178" t="s">
        <v>139</v>
      </c>
      <c r="B37">
        <v>16.38</v>
      </c>
      <c r="C37" s="179">
        <v>3603.6</v>
      </c>
    </row>
    <row r="38" spans="1:3" x14ac:dyDescent="0.35">
      <c r="A38" s="178" t="s">
        <v>3463</v>
      </c>
      <c r="B38">
        <v>16.32</v>
      </c>
      <c r="C38" s="179">
        <v>4814.3999999999996</v>
      </c>
    </row>
    <row r="39" spans="1:3" x14ac:dyDescent="0.35">
      <c r="A39" s="178" t="s">
        <v>138</v>
      </c>
      <c r="B39">
        <v>16.149999999999999</v>
      </c>
      <c r="C39" s="179">
        <v>6088.9</v>
      </c>
    </row>
    <row r="40" spans="1:3" x14ac:dyDescent="0.35">
      <c r="A40" s="178" t="s">
        <v>137</v>
      </c>
      <c r="B40">
        <v>15.9</v>
      </c>
      <c r="C40" s="179">
        <v>6463.6</v>
      </c>
    </row>
    <row r="41" spans="1:3" x14ac:dyDescent="0.35">
      <c r="A41" s="178" t="s">
        <v>161</v>
      </c>
      <c r="B41">
        <v>15.48</v>
      </c>
      <c r="C41" s="179">
        <v>4566.6000000000004</v>
      </c>
    </row>
    <row r="42" spans="1:3" x14ac:dyDescent="0.35">
      <c r="A42" s="178" t="s">
        <v>174</v>
      </c>
      <c r="B42">
        <v>15.37</v>
      </c>
      <c r="C42" s="179">
        <v>4378.8</v>
      </c>
    </row>
    <row r="43" spans="1:3" x14ac:dyDescent="0.35">
      <c r="A43" s="178" t="s">
        <v>157</v>
      </c>
      <c r="B43">
        <v>15.06</v>
      </c>
      <c r="C43" s="179">
        <v>6365.4</v>
      </c>
    </row>
    <row r="44" spans="1:3" x14ac:dyDescent="0.35">
      <c r="A44" s="178" t="s">
        <v>159</v>
      </c>
      <c r="B44">
        <v>15.04</v>
      </c>
      <c r="C44" s="179">
        <v>6402.05</v>
      </c>
    </row>
    <row r="45" spans="1:3" x14ac:dyDescent="0.35">
      <c r="A45" s="178" t="s">
        <v>3473</v>
      </c>
      <c r="B45">
        <v>14.23</v>
      </c>
      <c r="C45" s="179">
        <v>3415.2</v>
      </c>
    </row>
    <row r="46" spans="1:3" x14ac:dyDescent="0.35">
      <c r="A46" s="178" t="s">
        <v>140</v>
      </c>
      <c r="B46">
        <v>13.39</v>
      </c>
      <c r="C46" s="179">
        <v>4826.05</v>
      </c>
    </row>
    <row r="47" spans="1:3" x14ac:dyDescent="0.35">
      <c r="A47" s="178" t="s">
        <v>230</v>
      </c>
      <c r="B47">
        <v>12.62</v>
      </c>
      <c r="C47" s="179">
        <v>4984.8999999999996</v>
      </c>
    </row>
    <row r="48" spans="1:3" x14ac:dyDescent="0.35">
      <c r="A48" s="178" t="s">
        <v>3460</v>
      </c>
      <c r="B48">
        <v>12.01</v>
      </c>
      <c r="C48" s="179">
        <v>4803.8999999999996</v>
      </c>
    </row>
    <row r="49" spans="1:3" x14ac:dyDescent="0.35">
      <c r="A49" s="178" t="s">
        <v>144</v>
      </c>
      <c r="B49">
        <v>11.45</v>
      </c>
      <c r="C49" s="179">
        <v>4522.75</v>
      </c>
    </row>
    <row r="50" spans="1:3" x14ac:dyDescent="0.35">
      <c r="A50" s="178" t="s">
        <v>3466</v>
      </c>
      <c r="B50">
        <v>11.42</v>
      </c>
      <c r="C50" s="179">
        <v>4279.45</v>
      </c>
    </row>
    <row r="51" spans="1:3" x14ac:dyDescent="0.35">
      <c r="A51" s="178" t="s">
        <v>168</v>
      </c>
      <c r="B51">
        <v>9.49</v>
      </c>
      <c r="C51" s="179">
        <v>4223.05</v>
      </c>
    </row>
    <row r="52" spans="1:3" x14ac:dyDescent="0.35">
      <c r="A52" s="178" t="s">
        <v>229</v>
      </c>
      <c r="B52">
        <v>9.11</v>
      </c>
      <c r="C52" s="179">
        <v>3674.79</v>
      </c>
    </row>
    <row r="53" spans="1:3" x14ac:dyDescent="0.35">
      <c r="A53" s="178" t="s">
        <v>178</v>
      </c>
      <c r="B53">
        <v>8.6199999999999992</v>
      </c>
      <c r="C53" s="179">
        <v>3010.65</v>
      </c>
    </row>
    <row r="54" spans="1:3" x14ac:dyDescent="0.35">
      <c r="A54" s="178" t="s">
        <v>3471</v>
      </c>
      <c r="B54">
        <v>8.39</v>
      </c>
      <c r="C54" s="179">
        <v>3775.5</v>
      </c>
    </row>
    <row r="55" spans="1:3" x14ac:dyDescent="0.35">
      <c r="A55" s="178" t="s">
        <v>155</v>
      </c>
      <c r="B55">
        <v>8.27</v>
      </c>
      <c r="C55" s="179">
        <v>2481</v>
      </c>
    </row>
    <row r="56" spans="1:3" x14ac:dyDescent="0.35">
      <c r="A56" s="178" t="s">
        <v>153</v>
      </c>
      <c r="B56">
        <v>8.19</v>
      </c>
      <c r="C56" s="179">
        <v>2394.9499999999998</v>
      </c>
    </row>
    <row r="57" spans="1:3" x14ac:dyDescent="0.35">
      <c r="A57" s="178" t="s">
        <v>133</v>
      </c>
      <c r="B57">
        <v>7.94</v>
      </c>
      <c r="C57" s="179">
        <v>2593.8000000000002</v>
      </c>
    </row>
    <row r="58" spans="1:3" x14ac:dyDescent="0.35">
      <c r="A58" s="178" t="s">
        <v>145</v>
      </c>
      <c r="B58">
        <v>7.72</v>
      </c>
      <c r="C58" s="179">
        <v>2914.45</v>
      </c>
    </row>
    <row r="59" spans="1:3" x14ac:dyDescent="0.35">
      <c r="A59" s="178" t="s">
        <v>156</v>
      </c>
      <c r="B59">
        <v>7.16</v>
      </c>
      <c r="C59" s="179">
        <v>3177.15</v>
      </c>
    </row>
    <row r="60" spans="1:3" x14ac:dyDescent="0.35">
      <c r="A60" s="178" t="s">
        <v>3468</v>
      </c>
      <c r="B60">
        <v>6.89</v>
      </c>
      <c r="C60" s="179">
        <v>2790.45</v>
      </c>
    </row>
    <row r="61" spans="1:3" x14ac:dyDescent="0.35">
      <c r="A61" s="178" t="s">
        <v>173</v>
      </c>
      <c r="B61">
        <v>4.2</v>
      </c>
      <c r="C61" s="179">
        <v>1449</v>
      </c>
    </row>
    <row r="62" spans="1:3" x14ac:dyDescent="0.35">
      <c r="A62" s="178" t="s">
        <v>177</v>
      </c>
      <c r="B62">
        <v>4.13</v>
      </c>
      <c r="C62" s="179">
        <v>1528.1</v>
      </c>
    </row>
    <row r="63" spans="1:3" x14ac:dyDescent="0.35">
      <c r="A63" s="178" t="s">
        <v>3476</v>
      </c>
      <c r="B63">
        <v>4.0999999999999996</v>
      </c>
      <c r="C63" s="179">
        <v>1517</v>
      </c>
    </row>
    <row r="64" spans="1:3" x14ac:dyDescent="0.35">
      <c r="A64" s="178" t="s">
        <v>170</v>
      </c>
      <c r="B64">
        <v>4.03</v>
      </c>
      <c r="C64" s="179">
        <v>1067.95</v>
      </c>
    </row>
    <row r="65" spans="1:3" x14ac:dyDescent="0.35">
      <c r="A65" s="178" t="s">
        <v>142</v>
      </c>
      <c r="B65">
        <v>4</v>
      </c>
      <c r="C65" s="179">
        <v>1480</v>
      </c>
    </row>
    <row r="66" spans="1:3" x14ac:dyDescent="0.35">
      <c r="A66" s="178" t="s">
        <v>180</v>
      </c>
      <c r="B66">
        <v>3.85</v>
      </c>
      <c r="C66" s="179">
        <v>1116.5</v>
      </c>
    </row>
    <row r="67" spans="1:3" x14ac:dyDescent="0.35">
      <c r="A67" s="178" t="s">
        <v>172</v>
      </c>
      <c r="B67">
        <v>3.82</v>
      </c>
      <c r="C67" s="179">
        <v>1107.8</v>
      </c>
    </row>
    <row r="68" spans="1:3" x14ac:dyDescent="0.35">
      <c r="A68" s="178" t="s">
        <v>3472</v>
      </c>
      <c r="B68">
        <v>3.81</v>
      </c>
      <c r="C68" s="179">
        <v>1295.4000000000001</v>
      </c>
    </row>
    <row r="69" spans="1:3" x14ac:dyDescent="0.35">
      <c r="A69" s="178" t="s">
        <v>167</v>
      </c>
      <c r="B69">
        <v>3.73</v>
      </c>
      <c r="C69" s="179">
        <v>1651.8</v>
      </c>
    </row>
    <row r="70" spans="1:3" x14ac:dyDescent="0.35">
      <c r="A70" s="178" t="s">
        <v>148</v>
      </c>
      <c r="B70">
        <v>3.61</v>
      </c>
      <c r="C70" s="179">
        <v>902.5</v>
      </c>
    </row>
    <row r="71" spans="1:3" x14ac:dyDescent="0.35">
      <c r="A71" s="178" t="s">
        <v>128</v>
      </c>
      <c r="B71">
        <v>3.58</v>
      </c>
      <c r="C71" s="179">
        <v>1557.3</v>
      </c>
    </row>
    <row r="72" spans="1:3" x14ac:dyDescent="0.35">
      <c r="A72" s="178" t="s">
        <v>179</v>
      </c>
      <c r="B72">
        <v>2.2599999999999998</v>
      </c>
      <c r="C72" s="179">
        <v>971.8</v>
      </c>
    </row>
    <row r="73" spans="1:3" x14ac:dyDescent="0.35">
      <c r="A73" s="178" t="s">
        <v>3467</v>
      </c>
      <c r="B73">
        <v>2.19</v>
      </c>
      <c r="C73" s="179">
        <v>985.5</v>
      </c>
    </row>
    <row r="74" spans="1:3" x14ac:dyDescent="0.35">
      <c r="A74" s="178" t="s">
        <v>125</v>
      </c>
      <c r="B74">
        <v>2.0499999999999998</v>
      </c>
      <c r="C74" s="179">
        <v>809.75</v>
      </c>
    </row>
    <row r="75" spans="1:3" x14ac:dyDescent="0.35">
      <c r="A75" s="178" t="s">
        <v>122</v>
      </c>
      <c r="B75">
        <v>2</v>
      </c>
      <c r="C75" s="179">
        <v>2300</v>
      </c>
    </row>
    <row r="76" spans="1:3" x14ac:dyDescent="0.35">
      <c r="A76" s="178" t="s">
        <v>171</v>
      </c>
      <c r="B76">
        <v>2</v>
      </c>
      <c r="C76" s="179">
        <v>4350</v>
      </c>
    </row>
    <row r="77" spans="1:3" x14ac:dyDescent="0.35">
      <c r="A77" s="178" t="s">
        <v>149</v>
      </c>
      <c r="B77">
        <v>1.89</v>
      </c>
      <c r="C77" s="179">
        <v>850.5</v>
      </c>
    </row>
    <row r="78" spans="1:3" x14ac:dyDescent="0.35">
      <c r="A78" s="178" t="s">
        <v>3470</v>
      </c>
      <c r="B78">
        <v>1.86</v>
      </c>
      <c r="C78" s="179">
        <v>585.9</v>
      </c>
    </row>
    <row r="79" spans="1:3" x14ac:dyDescent="0.35">
      <c r="A79" s="178" t="s">
        <v>163</v>
      </c>
      <c r="B79">
        <v>1.76</v>
      </c>
      <c r="C79" s="179">
        <v>783.2</v>
      </c>
    </row>
    <row r="80" spans="1:3" x14ac:dyDescent="0.35">
      <c r="A80" s="178" t="s">
        <v>165</v>
      </c>
      <c r="B80">
        <v>1.56</v>
      </c>
      <c r="C80" s="179">
        <v>678.6</v>
      </c>
    </row>
    <row r="81" spans="1:3" x14ac:dyDescent="0.35">
      <c r="A81" s="178" t="s">
        <v>143</v>
      </c>
      <c r="B81">
        <v>1.54</v>
      </c>
      <c r="C81" s="179">
        <v>669.9</v>
      </c>
    </row>
    <row r="82" spans="1:3" x14ac:dyDescent="0.35">
      <c r="A82" s="178" t="s">
        <v>124</v>
      </c>
      <c r="B82">
        <v>0.49</v>
      </c>
      <c r="C82" s="179">
        <v>166.6</v>
      </c>
    </row>
    <row r="83" spans="1:3" x14ac:dyDescent="0.35">
      <c r="A83" s="178" t="s">
        <v>158</v>
      </c>
      <c r="B83">
        <v>-1.3</v>
      </c>
      <c r="C83" s="179">
        <v>762.55</v>
      </c>
    </row>
    <row r="84" spans="1:3" x14ac:dyDescent="0.35">
      <c r="A84" s="178" t="s">
        <v>150</v>
      </c>
      <c r="B84">
        <v>-3.65</v>
      </c>
      <c r="C84" s="179">
        <v>-1350.5</v>
      </c>
    </row>
    <row r="85" spans="1:3" x14ac:dyDescent="0.35">
      <c r="A85" s="178" t="s">
        <v>129</v>
      </c>
      <c r="B85">
        <v>-7.39</v>
      </c>
      <c r="C85" s="179">
        <v>-3066.85</v>
      </c>
    </row>
    <row r="86" spans="1:3" x14ac:dyDescent="0.35">
      <c r="A86" s="178" t="s">
        <v>94</v>
      </c>
      <c r="B86">
        <v>2550.4699999999998</v>
      </c>
      <c r="C86" s="179">
        <v>869134.88</v>
      </c>
    </row>
  </sheetData>
  <sortState xmlns:xlrd2="http://schemas.microsoft.com/office/spreadsheetml/2017/richdata2" ref="A4:C85">
    <sortCondition descending="1" ref="B4:B85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0AD8A9-72C9-4FE4-8C8D-0B57BDF267D8}">
  <dimension ref="A1:D203"/>
  <sheetViews>
    <sheetView workbookViewId="0">
      <selection activeCell="J11" sqref="J11"/>
    </sheetView>
  </sheetViews>
  <sheetFormatPr defaultRowHeight="14.5" x14ac:dyDescent="0.35"/>
  <sheetData>
    <row r="1" spans="1:4" x14ac:dyDescent="0.35">
      <c r="A1" s="178" t="s">
        <v>56</v>
      </c>
    </row>
    <row r="2" spans="1:4" x14ac:dyDescent="0.35">
      <c r="A2" s="178" t="s">
        <v>225</v>
      </c>
    </row>
    <row r="3" spans="1:4" x14ac:dyDescent="0.35">
      <c r="A3" s="178" t="s">
        <v>57</v>
      </c>
      <c r="B3" s="178" t="s">
        <v>58</v>
      </c>
      <c r="C3" s="178" t="s">
        <v>59</v>
      </c>
      <c r="D3" s="178" t="s">
        <v>57</v>
      </c>
    </row>
    <row r="4" spans="1:4" x14ac:dyDescent="0.35">
      <c r="A4" s="178" t="s">
        <v>3477</v>
      </c>
      <c r="B4">
        <v>7.27</v>
      </c>
      <c r="C4">
        <v>2617.1999999999998</v>
      </c>
    </row>
    <row r="5" spans="1:4" x14ac:dyDescent="0.35">
      <c r="A5" s="178" t="s">
        <v>3478</v>
      </c>
      <c r="B5">
        <v>6.78</v>
      </c>
      <c r="C5">
        <v>2447.1</v>
      </c>
    </row>
    <row r="6" spans="1:4" x14ac:dyDescent="0.35">
      <c r="A6" s="178" t="s">
        <v>3479</v>
      </c>
      <c r="B6">
        <v>0.89</v>
      </c>
      <c r="C6">
        <v>203.81</v>
      </c>
    </row>
    <row r="7" spans="1:4" x14ac:dyDescent="0.35">
      <c r="A7" s="178" t="s">
        <v>3480</v>
      </c>
      <c r="B7">
        <v>13.45</v>
      </c>
      <c r="C7">
        <v>4869.75</v>
      </c>
    </row>
    <row r="8" spans="1:4" x14ac:dyDescent="0.35">
      <c r="A8" s="178" t="s">
        <v>3481</v>
      </c>
      <c r="B8">
        <v>3.82</v>
      </c>
      <c r="C8">
        <v>878.6</v>
      </c>
    </row>
    <row r="9" spans="1:4" x14ac:dyDescent="0.35">
      <c r="A9" s="178" t="s">
        <v>3482</v>
      </c>
      <c r="B9">
        <v>490.61</v>
      </c>
      <c r="C9">
        <v>142532.70000000001</v>
      </c>
    </row>
    <row r="10" spans="1:4" x14ac:dyDescent="0.35">
      <c r="A10" s="178" t="s">
        <v>3483</v>
      </c>
      <c r="B10">
        <v>5.7</v>
      </c>
      <c r="C10">
        <v>2451</v>
      </c>
    </row>
    <row r="11" spans="1:4" x14ac:dyDescent="0.35">
      <c r="A11" s="178" t="s">
        <v>3484</v>
      </c>
      <c r="B11">
        <v>9.4700000000000006</v>
      </c>
      <c r="C11">
        <v>2828.84</v>
      </c>
    </row>
    <row r="12" spans="1:4" x14ac:dyDescent="0.35">
      <c r="A12" s="178" t="s">
        <v>3485</v>
      </c>
      <c r="B12">
        <v>20.81</v>
      </c>
      <c r="C12">
        <v>8740.2000000000007</v>
      </c>
    </row>
    <row r="13" spans="1:4" x14ac:dyDescent="0.35">
      <c r="A13" s="178" t="s">
        <v>3486</v>
      </c>
      <c r="B13">
        <v>9.24</v>
      </c>
      <c r="C13">
        <v>3009.6</v>
      </c>
    </row>
    <row r="14" spans="1:4" x14ac:dyDescent="0.35">
      <c r="A14" s="178" t="s">
        <v>3487</v>
      </c>
      <c r="B14">
        <v>139.52000000000001</v>
      </c>
      <c r="C14">
        <v>33484.800000000003</v>
      </c>
    </row>
    <row r="15" spans="1:4" x14ac:dyDescent="0.35">
      <c r="A15" s="178" t="s">
        <v>3488</v>
      </c>
      <c r="B15">
        <v>138.47</v>
      </c>
      <c r="C15">
        <v>34320.300000000003</v>
      </c>
    </row>
    <row r="16" spans="1:4" x14ac:dyDescent="0.35">
      <c r="A16" s="178" t="s">
        <v>3489</v>
      </c>
      <c r="B16">
        <v>1.9</v>
      </c>
      <c r="C16">
        <v>750.5</v>
      </c>
    </row>
    <row r="17" spans="1:3" x14ac:dyDescent="0.35">
      <c r="A17" s="178" t="s">
        <v>3490</v>
      </c>
      <c r="B17">
        <v>1</v>
      </c>
      <c r="C17">
        <v>450</v>
      </c>
    </row>
    <row r="18" spans="1:3" x14ac:dyDescent="0.35">
      <c r="A18" s="178" t="s">
        <v>3491</v>
      </c>
      <c r="B18">
        <v>9.5299999999999994</v>
      </c>
      <c r="C18">
        <v>3779.15</v>
      </c>
    </row>
    <row r="19" spans="1:3" x14ac:dyDescent="0.35">
      <c r="A19" s="178" t="s">
        <v>3492</v>
      </c>
      <c r="B19">
        <v>42.83</v>
      </c>
      <c r="C19">
        <v>15980.05</v>
      </c>
    </row>
    <row r="20" spans="1:3" x14ac:dyDescent="0.35">
      <c r="A20" s="178" t="s">
        <v>3493</v>
      </c>
      <c r="B20">
        <v>8.2100000000000009</v>
      </c>
      <c r="C20">
        <v>2134.6</v>
      </c>
    </row>
    <row r="21" spans="1:3" x14ac:dyDescent="0.35">
      <c r="A21" s="178" t="s">
        <v>3494</v>
      </c>
      <c r="B21">
        <v>3.77</v>
      </c>
      <c r="C21">
        <v>1074.45</v>
      </c>
    </row>
    <row r="22" spans="1:3" x14ac:dyDescent="0.35">
      <c r="A22" s="178" t="s">
        <v>3495</v>
      </c>
      <c r="B22">
        <v>10</v>
      </c>
      <c r="C22">
        <v>1200</v>
      </c>
    </row>
    <row r="23" spans="1:3" x14ac:dyDescent="0.35">
      <c r="A23" s="178" t="s">
        <v>3496</v>
      </c>
      <c r="B23">
        <v>14.65</v>
      </c>
      <c r="C23">
        <v>4102</v>
      </c>
    </row>
    <row r="24" spans="1:3" x14ac:dyDescent="0.35">
      <c r="A24" s="178" t="s">
        <v>3497</v>
      </c>
      <c r="B24">
        <v>5.33</v>
      </c>
      <c r="C24">
        <v>1995.65</v>
      </c>
    </row>
    <row r="25" spans="1:3" x14ac:dyDescent="0.35">
      <c r="A25" s="178" t="s">
        <v>3498</v>
      </c>
      <c r="B25">
        <v>2.61</v>
      </c>
      <c r="C25">
        <v>912.31</v>
      </c>
    </row>
    <row r="26" spans="1:3" x14ac:dyDescent="0.35">
      <c r="A26" s="178" t="s">
        <v>3499</v>
      </c>
      <c r="B26">
        <v>1.28</v>
      </c>
      <c r="C26">
        <v>283.56</v>
      </c>
    </row>
    <row r="27" spans="1:3" x14ac:dyDescent="0.35">
      <c r="A27" s="178" t="s">
        <v>3500</v>
      </c>
      <c r="B27">
        <v>24.78</v>
      </c>
      <c r="C27">
        <v>9168.6</v>
      </c>
    </row>
    <row r="28" spans="1:3" x14ac:dyDescent="0.35">
      <c r="A28" s="178" t="s">
        <v>3501</v>
      </c>
      <c r="B28">
        <v>62.75</v>
      </c>
      <c r="C28">
        <v>25832.5</v>
      </c>
    </row>
    <row r="29" spans="1:3" x14ac:dyDescent="0.35">
      <c r="A29" s="178" t="s">
        <v>3502</v>
      </c>
      <c r="B29">
        <v>43.05</v>
      </c>
      <c r="C29">
        <v>15790.45</v>
      </c>
    </row>
    <row r="30" spans="1:3" x14ac:dyDescent="0.35">
      <c r="A30" s="178" t="s">
        <v>3503</v>
      </c>
      <c r="B30">
        <v>1296.1300000000001</v>
      </c>
      <c r="C30">
        <v>452599.8</v>
      </c>
    </row>
    <row r="31" spans="1:3" x14ac:dyDescent="0.35">
      <c r="A31" s="178" t="s">
        <v>3504</v>
      </c>
      <c r="B31">
        <v>89.84</v>
      </c>
      <c r="C31">
        <v>24346.92</v>
      </c>
    </row>
    <row r="32" spans="1:3" x14ac:dyDescent="0.35">
      <c r="A32" s="178" t="s">
        <v>3505</v>
      </c>
      <c r="B32">
        <v>7.84</v>
      </c>
      <c r="C32">
        <v>3371.2</v>
      </c>
    </row>
    <row r="33" spans="1:3" x14ac:dyDescent="0.35">
      <c r="A33" s="178" t="s">
        <v>3506</v>
      </c>
      <c r="B33">
        <v>236.09</v>
      </c>
      <c r="C33">
        <v>105606.84</v>
      </c>
    </row>
    <row r="34" spans="1:3" x14ac:dyDescent="0.35">
      <c r="A34" s="178" t="s">
        <v>3507</v>
      </c>
      <c r="B34">
        <v>3.98</v>
      </c>
      <c r="C34">
        <v>1552.2</v>
      </c>
    </row>
    <row r="35" spans="1:3" x14ac:dyDescent="0.35">
      <c r="A35" s="178" t="s">
        <v>3508</v>
      </c>
      <c r="B35">
        <v>13.47</v>
      </c>
      <c r="C35">
        <v>5264.3</v>
      </c>
    </row>
    <row r="36" spans="1:3" x14ac:dyDescent="0.35">
      <c r="A36" s="178" t="s">
        <v>3509</v>
      </c>
      <c r="B36">
        <v>9.73</v>
      </c>
      <c r="C36">
        <v>4079.3</v>
      </c>
    </row>
    <row r="37" spans="1:3" x14ac:dyDescent="0.35">
      <c r="A37" s="178" t="s">
        <v>3510</v>
      </c>
      <c r="B37">
        <v>40.82</v>
      </c>
      <c r="C37">
        <v>15307.5</v>
      </c>
    </row>
    <row r="38" spans="1:3" x14ac:dyDescent="0.35">
      <c r="A38" s="178" t="s">
        <v>3511</v>
      </c>
      <c r="B38">
        <v>44.31</v>
      </c>
      <c r="C38">
        <v>13578.6</v>
      </c>
    </row>
    <row r="39" spans="1:3" x14ac:dyDescent="0.35">
      <c r="A39" s="178" t="s">
        <v>3512</v>
      </c>
      <c r="B39">
        <v>16.57</v>
      </c>
      <c r="C39">
        <v>6514.95</v>
      </c>
    </row>
    <row r="40" spans="1:3" x14ac:dyDescent="0.35">
      <c r="A40" s="178" t="s">
        <v>3513</v>
      </c>
      <c r="B40">
        <v>5.88</v>
      </c>
      <c r="C40">
        <v>2081.7399999999998</v>
      </c>
    </row>
    <row r="41" spans="1:3" x14ac:dyDescent="0.35">
      <c r="A41" s="178" t="s">
        <v>3514</v>
      </c>
      <c r="B41">
        <v>15.6</v>
      </c>
      <c r="C41">
        <v>4703.7</v>
      </c>
    </row>
    <row r="42" spans="1:3" x14ac:dyDescent="0.35">
      <c r="A42" s="178" t="s">
        <v>3515</v>
      </c>
      <c r="B42">
        <v>1.84</v>
      </c>
      <c r="C42">
        <v>542.79999999999995</v>
      </c>
    </row>
    <row r="43" spans="1:3" x14ac:dyDescent="0.35">
      <c r="A43" s="178" t="s">
        <v>3516</v>
      </c>
      <c r="B43">
        <v>2.11</v>
      </c>
      <c r="C43">
        <v>622.45000000000005</v>
      </c>
    </row>
    <row r="44" spans="1:3" x14ac:dyDescent="0.35">
      <c r="A44" s="178" t="s">
        <v>3517</v>
      </c>
      <c r="B44">
        <v>3.35</v>
      </c>
      <c r="C44">
        <v>1239.5</v>
      </c>
    </row>
    <row r="45" spans="1:3" x14ac:dyDescent="0.35">
      <c r="A45" s="178" t="s">
        <v>3518</v>
      </c>
      <c r="B45">
        <v>4.68</v>
      </c>
      <c r="C45">
        <v>1708.2</v>
      </c>
    </row>
    <row r="46" spans="1:3" x14ac:dyDescent="0.35">
      <c r="A46" s="178" t="s">
        <v>3519</v>
      </c>
      <c r="B46">
        <v>39.18</v>
      </c>
      <c r="C46">
        <v>14635.65</v>
      </c>
    </row>
    <row r="47" spans="1:3" x14ac:dyDescent="0.35">
      <c r="A47" s="178" t="s">
        <v>3520</v>
      </c>
      <c r="B47">
        <v>5.92</v>
      </c>
      <c r="C47">
        <v>1728.34</v>
      </c>
    </row>
    <row r="48" spans="1:3" x14ac:dyDescent="0.35">
      <c r="A48" s="178" t="s">
        <v>3521</v>
      </c>
      <c r="B48">
        <v>9.1300000000000008</v>
      </c>
      <c r="C48">
        <v>6217.45</v>
      </c>
    </row>
    <row r="49" spans="1:3" x14ac:dyDescent="0.35">
      <c r="A49" s="178" t="s">
        <v>3522</v>
      </c>
      <c r="B49">
        <v>18.75</v>
      </c>
      <c r="C49">
        <v>6750</v>
      </c>
    </row>
    <row r="50" spans="1:3" x14ac:dyDescent="0.35">
      <c r="A50" s="178" t="s">
        <v>3523</v>
      </c>
      <c r="B50">
        <v>13.16</v>
      </c>
      <c r="C50">
        <v>4921.95</v>
      </c>
    </row>
    <row r="51" spans="1:3" x14ac:dyDescent="0.35">
      <c r="A51" s="178" t="s">
        <v>3524</v>
      </c>
      <c r="B51">
        <v>33.950000000000003</v>
      </c>
      <c r="C51">
        <v>10015.25</v>
      </c>
    </row>
    <row r="52" spans="1:3" x14ac:dyDescent="0.35">
      <c r="A52" s="178" t="s">
        <v>3525</v>
      </c>
      <c r="B52">
        <v>3.04</v>
      </c>
      <c r="C52">
        <v>774.3</v>
      </c>
    </row>
    <row r="53" spans="1:3" x14ac:dyDescent="0.35">
      <c r="A53" s="178" t="s">
        <v>3526</v>
      </c>
      <c r="B53">
        <v>12.19</v>
      </c>
      <c r="C53">
        <v>3047.5</v>
      </c>
    </row>
    <row r="54" spans="1:3" x14ac:dyDescent="0.35">
      <c r="A54" s="178" t="s">
        <v>3527</v>
      </c>
      <c r="B54">
        <v>4.01</v>
      </c>
      <c r="C54">
        <v>1062.6500000000001</v>
      </c>
    </row>
    <row r="55" spans="1:3" x14ac:dyDescent="0.35">
      <c r="A55" s="178" t="s">
        <v>3528</v>
      </c>
      <c r="B55">
        <v>12.53</v>
      </c>
      <c r="C55">
        <v>3132.5</v>
      </c>
    </row>
    <row r="56" spans="1:3" x14ac:dyDescent="0.35">
      <c r="A56" s="178" t="s">
        <v>3529</v>
      </c>
      <c r="B56">
        <v>32.29</v>
      </c>
      <c r="C56">
        <v>11624.4</v>
      </c>
    </row>
    <row r="57" spans="1:3" x14ac:dyDescent="0.35">
      <c r="A57" s="178" t="s">
        <v>3530</v>
      </c>
      <c r="B57">
        <v>3.14</v>
      </c>
      <c r="C57">
        <v>1208.9000000000001</v>
      </c>
    </row>
    <row r="58" spans="1:3" x14ac:dyDescent="0.35">
      <c r="A58" s="178" t="s">
        <v>3531</v>
      </c>
      <c r="B58">
        <v>53.59</v>
      </c>
      <c r="C58">
        <v>18552.12</v>
      </c>
    </row>
    <row r="59" spans="1:3" x14ac:dyDescent="0.35">
      <c r="A59" s="178" t="s">
        <v>3532</v>
      </c>
      <c r="B59">
        <v>21.86</v>
      </c>
      <c r="C59">
        <v>8282.7000000000007</v>
      </c>
    </row>
    <row r="60" spans="1:3" x14ac:dyDescent="0.35">
      <c r="A60" s="178" t="s">
        <v>3533</v>
      </c>
      <c r="B60">
        <v>3.5</v>
      </c>
      <c r="C60">
        <v>1347.5</v>
      </c>
    </row>
    <row r="61" spans="1:3" x14ac:dyDescent="0.35">
      <c r="A61" s="178" t="s">
        <v>3534</v>
      </c>
      <c r="B61">
        <v>4.09</v>
      </c>
      <c r="C61">
        <v>1145.2</v>
      </c>
    </row>
    <row r="62" spans="1:3" x14ac:dyDescent="0.35">
      <c r="A62" s="178" t="s">
        <v>3535</v>
      </c>
      <c r="B62">
        <v>122.29</v>
      </c>
      <c r="C62">
        <v>32043.5</v>
      </c>
    </row>
    <row r="63" spans="1:3" x14ac:dyDescent="0.35">
      <c r="A63" s="178" t="s">
        <v>3536</v>
      </c>
      <c r="B63">
        <v>7.75</v>
      </c>
      <c r="C63">
        <v>2092.5</v>
      </c>
    </row>
    <row r="64" spans="1:3" x14ac:dyDescent="0.35">
      <c r="A64" s="178" t="s">
        <v>3537</v>
      </c>
      <c r="B64">
        <v>29.5</v>
      </c>
      <c r="C64">
        <v>6642.4</v>
      </c>
    </row>
    <row r="65" spans="1:3" x14ac:dyDescent="0.35">
      <c r="A65" s="178" t="s">
        <v>3538</v>
      </c>
      <c r="B65">
        <v>41.44</v>
      </c>
      <c r="C65">
        <v>11396</v>
      </c>
    </row>
    <row r="66" spans="1:3" x14ac:dyDescent="0.35">
      <c r="A66" s="178" t="s">
        <v>3539</v>
      </c>
      <c r="B66">
        <v>3.18</v>
      </c>
      <c r="C66">
        <v>1224.3</v>
      </c>
    </row>
    <row r="67" spans="1:3" x14ac:dyDescent="0.35">
      <c r="A67" s="178" t="s">
        <v>3540</v>
      </c>
      <c r="B67">
        <v>37.1</v>
      </c>
      <c r="C67">
        <v>9275</v>
      </c>
    </row>
    <row r="68" spans="1:3" x14ac:dyDescent="0.35">
      <c r="A68" s="178" t="s">
        <v>3541</v>
      </c>
      <c r="B68">
        <v>12.9</v>
      </c>
      <c r="C68">
        <v>3909.78</v>
      </c>
    </row>
    <row r="69" spans="1:3" x14ac:dyDescent="0.35">
      <c r="A69" s="178" t="s">
        <v>3542</v>
      </c>
      <c r="B69">
        <v>15.49</v>
      </c>
      <c r="C69">
        <v>5520.97</v>
      </c>
    </row>
    <row r="70" spans="1:3" x14ac:dyDescent="0.35">
      <c r="A70" s="178" t="s">
        <v>3543</v>
      </c>
      <c r="B70">
        <v>8.19</v>
      </c>
      <c r="C70">
        <v>2803.65</v>
      </c>
    </row>
    <row r="71" spans="1:3" x14ac:dyDescent="0.35">
      <c r="A71" s="178" t="s">
        <v>3544</v>
      </c>
      <c r="B71">
        <v>17.77</v>
      </c>
      <c r="C71">
        <v>7552</v>
      </c>
    </row>
    <row r="72" spans="1:3" x14ac:dyDescent="0.35">
      <c r="A72" s="178" t="s">
        <v>3545</v>
      </c>
      <c r="B72">
        <v>4.41</v>
      </c>
      <c r="C72">
        <v>1697.85</v>
      </c>
    </row>
    <row r="73" spans="1:3" x14ac:dyDescent="0.35">
      <c r="A73" s="178" t="s">
        <v>3546</v>
      </c>
      <c r="B73">
        <v>18.100000000000001</v>
      </c>
      <c r="C73">
        <v>4142.8999999999996</v>
      </c>
    </row>
    <row r="74" spans="1:3" x14ac:dyDescent="0.35">
      <c r="A74" s="178" t="s">
        <v>3547</v>
      </c>
      <c r="B74">
        <v>14.75</v>
      </c>
      <c r="C74">
        <v>5664.55</v>
      </c>
    </row>
    <row r="75" spans="1:3" x14ac:dyDescent="0.35">
      <c r="A75" s="178" t="s">
        <v>3548</v>
      </c>
      <c r="B75">
        <v>4.74</v>
      </c>
      <c r="C75">
        <v>1686.44</v>
      </c>
    </row>
    <row r="76" spans="1:3" x14ac:dyDescent="0.35">
      <c r="A76" s="178" t="s">
        <v>3549</v>
      </c>
      <c r="B76">
        <v>16.03</v>
      </c>
      <c r="C76">
        <v>6504.15</v>
      </c>
    </row>
    <row r="77" spans="1:3" x14ac:dyDescent="0.35">
      <c r="A77" s="178" t="s">
        <v>3550</v>
      </c>
      <c r="B77">
        <v>19.05</v>
      </c>
      <c r="C77">
        <v>5143.5</v>
      </c>
    </row>
    <row r="78" spans="1:3" x14ac:dyDescent="0.35">
      <c r="A78" s="178" t="s">
        <v>3551</v>
      </c>
      <c r="B78">
        <v>6.12</v>
      </c>
      <c r="C78">
        <v>2539.8000000000002</v>
      </c>
    </row>
    <row r="79" spans="1:3" x14ac:dyDescent="0.35">
      <c r="A79" s="178" t="s">
        <v>3552</v>
      </c>
      <c r="B79">
        <v>128.19999999999999</v>
      </c>
      <c r="C79">
        <v>47155</v>
      </c>
    </row>
    <row r="80" spans="1:3" x14ac:dyDescent="0.35">
      <c r="A80" s="178" t="s">
        <v>3553</v>
      </c>
      <c r="B80">
        <v>11.38</v>
      </c>
      <c r="C80">
        <v>3015.7</v>
      </c>
    </row>
    <row r="81" spans="1:3" x14ac:dyDescent="0.35">
      <c r="A81" s="178" t="s">
        <v>3554</v>
      </c>
      <c r="B81">
        <v>8.89</v>
      </c>
      <c r="C81">
        <v>2077.9499999999998</v>
      </c>
    </row>
    <row r="82" spans="1:3" x14ac:dyDescent="0.35">
      <c r="A82" s="178" t="s">
        <v>3555</v>
      </c>
      <c r="B82">
        <v>8.91</v>
      </c>
      <c r="C82">
        <v>2227.5</v>
      </c>
    </row>
    <row r="83" spans="1:3" x14ac:dyDescent="0.35">
      <c r="A83" s="178" t="s">
        <v>3556</v>
      </c>
      <c r="B83">
        <v>3.89</v>
      </c>
      <c r="C83">
        <v>1225.3499999999999</v>
      </c>
    </row>
    <row r="84" spans="1:3" x14ac:dyDescent="0.35">
      <c r="A84" s="178" t="s">
        <v>3557</v>
      </c>
      <c r="B84">
        <v>89.44</v>
      </c>
      <c r="C84">
        <v>24828.2</v>
      </c>
    </row>
    <row r="85" spans="1:3" x14ac:dyDescent="0.35">
      <c r="A85" s="178" t="s">
        <v>3558</v>
      </c>
      <c r="B85">
        <v>1873.16</v>
      </c>
      <c r="C85">
        <v>468704.8</v>
      </c>
    </row>
    <row r="86" spans="1:3" x14ac:dyDescent="0.35">
      <c r="A86" s="178" t="s">
        <v>3559</v>
      </c>
      <c r="B86">
        <v>20.25</v>
      </c>
      <c r="C86">
        <v>4657.5</v>
      </c>
    </row>
    <row r="87" spans="1:3" x14ac:dyDescent="0.35">
      <c r="A87" s="178" t="s">
        <v>3560</v>
      </c>
      <c r="B87">
        <v>31.69</v>
      </c>
      <c r="C87">
        <v>8397.85</v>
      </c>
    </row>
    <row r="88" spans="1:3" x14ac:dyDescent="0.35">
      <c r="A88" s="178" t="s">
        <v>3561</v>
      </c>
      <c r="B88">
        <v>340.27</v>
      </c>
      <c r="C88">
        <v>93436.6</v>
      </c>
    </row>
    <row r="89" spans="1:3" x14ac:dyDescent="0.35">
      <c r="A89" s="178" t="s">
        <v>3562</v>
      </c>
      <c r="B89">
        <v>163.88</v>
      </c>
      <c r="C89">
        <v>62061.75</v>
      </c>
    </row>
    <row r="90" spans="1:3" x14ac:dyDescent="0.35">
      <c r="A90" s="178" t="s">
        <v>3563</v>
      </c>
      <c r="B90">
        <v>87.84</v>
      </c>
      <c r="C90">
        <v>34567.599999999999</v>
      </c>
    </row>
    <row r="91" spans="1:3" x14ac:dyDescent="0.35">
      <c r="A91" s="178" t="s">
        <v>3564</v>
      </c>
      <c r="B91">
        <v>11.34</v>
      </c>
      <c r="C91">
        <v>4082.4</v>
      </c>
    </row>
    <row r="92" spans="1:3" x14ac:dyDescent="0.35">
      <c r="A92" s="178" t="s">
        <v>3565</v>
      </c>
      <c r="B92">
        <v>5.35</v>
      </c>
      <c r="C92">
        <v>1222.75</v>
      </c>
    </row>
    <row r="93" spans="1:3" x14ac:dyDescent="0.35">
      <c r="A93" s="178" t="s">
        <v>3566</v>
      </c>
      <c r="B93">
        <v>41.69</v>
      </c>
      <c r="C93">
        <v>11047.85</v>
      </c>
    </row>
    <row r="94" spans="1:3" x14ac:dyDescent="0.35">
      <c r="A94" s="178" t="s">
        <v>3567</v>
      </c>
      <c r="B94">
        <v>65.55</v>
      </c>
      <c r="C94">
        <v>15763.65</v>
      </c>
    </row>
    <row r="95" spans="1:3" x14ac:dyDescent="0.35">
      <c r="A95" s="178" t="s">
        <v>3568</v>
      </c>
      <c r="B95">
        <v>1198.22</v>
      </c>
      <c r="C95">
        <v>317528.3</v>
      </c>
    </row>
    <row r="96" spans="1:3" x14ac:dyDescent="0.35">
      <c r="A96" s="178" t="s">
        <v>3569</v>
      </c>
      <c r="B96">
        <v>7.74</v>
      </c>
      <c r="C96">
        <v>3250.8</v>
      </c>
    </row>
    <row r="97" spans="1:3" x14ac:dyDescent="0.35">
      <c r="A97" s="178" t="s">
        <v>3570</v>
      </c>
      <c r="B97">
        <v>4.75</v>
      </c>
      <c r="C97">
        <v>1510.04</v>
      </c>
    </row>
    <row r="98" spans="1:3" x14ac:dyDescent="0.35">
      <c r="A98" s="178" t="s">
        <v>3571</v>
      </c>
      <c r="B98">
        <v>6.23</v>
      </c>
      <c r="C98">
        <v>2585.4499999999998</v>
      </c>
    </row>
    <row r="99" spans="1:3" x14ac:dyDescent="0.35">
      <c r="A99" s="178" t="s">
        <v>3572</v>
      </c>
      <c r="B99">
        <v>10.4</v>
      </c>
      <c r="C99">
        <v>4149.95</v>
      </c>
    </row>
    <row r="100" spans="1:3" x14ac:dyDescent="0.35">
      <c r="A100" s="178" t="s">
        <v>3573</v>
      </c>
      <c r="B100">
        <v>4.75</v>
      </c>
      <c r="C100">
        <v>1697.29</v>
      </c>
    </row>
    <row r="101" spans="1:3" x14ac:dyDescent="0.35">
      <c r="A101" s="178" t="s">
        <v>3574</v>
      </c>
      <c r="B101">
        <v>196.78</v>
      </c>
      <c r="C101">
        <v>79280.75</v>
      </c>
    </row>
    <row r="102" spans="1:3" x14ac:dyDescent="0.35">
      <c r="A102" s="178" t="s">
        <v>3575</v>
      </c>
      <c r="B102">
        <v>30.82</v>
      </c>
      <c r="C102">
        <v>12408.8</v>
      </c>
    </row>
    <row r="103" spans="1:3" x14ac:dyDescent="0.35">
      <c r="A103" s="178" t="s">
        <v>3576</v>
      </c>
      <c r="B103">
        <v>408.13</v>
      </c>
      <c r="C103">
        <v>160883.4</v>
      </c>
    </row>
    <row r="104" spans="1:3" x14ac:dyDescent="0.35">
      <c r="A104" s="178" t="s">
        <v>3577</v>
      </c>
      <c r="B104">
        <v>15.26</v>
      </c>
      <c r="C104">
        <v>5722.5</v>
      </c>
    </row>
    <row r="105" spans="1:3" x14ac:dyDescent="0.35">
      <c r="A105" s="178" t="s">
        <v>3578</v>
      </c>
      <c r="B105">
        <v>24.19</v>
      </c>
      <c r="C105">
        <v>5596.85</v>
      </c>
    </row>
    <row r="106" spans="1:3" x14ac:dyDescent="0.35">
      <c r="A106" s="178" t="s">
        <v>3579</v>
      </c>
      <c r="B106">
        <v>26.35</v>
      </c>
      <c r="C106">
        <v>10472.1</v>
      </c>
    </row>
    <row r="107" spans="1:3" x14ac:dyDescent="0.35">
      <c r="A107" s="178" t="s">
        <v>3580</v>
      </c>
      <c r="B107">
        <v>53.33</v>
      </c>
      <c r="C107">
        <v>18870.349999999999</v>
      </c>
    </row>
    <row r="108" spans="1:3" x14ac:dyDescent="0.35">
      <c r="A108" s="178" t="s">
        <v>3581</v>
      </c>
      <c r="B108">
        <v>4.8</v>
      </c>
      <c r="C108">
        <v>1755.54</v>
      </c>
    </row>
    <row r="109" spans="1:3" x14ac:dyDescent="0.35">
      <c r="A109" s="178" t="s">
        <v>3582</v>
      </c>
      <c r="B109">
        <v>37.5</v>
      </c>
      <c r="C109">
        <v>12870.9</v>
      </c>
    </row>
    <row r="110" spans="1:3" x14ac:dyDescent="0.35">
      <c r="A110" s="178" t="s">
        <v>3583</v>
      </c>
      <c r="B110">
        <v>23.35</v>
      </c>
      <c r="C110">
        <v>8989.75</v>
      </c>
    </row>
    <row r="111" spans="1:3" x14ac:dyDescent="0.35">
      <c r="A111" s="178" t="s">
        <v>3584</v>
      </c>
      <c r="B111">
        <v>3.64</v>
      </c>
      <c r="C111">
        <v>1309.7</v>
      </c>
    </row>
    <row r="112" spans="1:3" x14ac:dyDescent="0.35">
      <c r="A112" s="178" t="s">
        <v>3585</v>
      </c>
      <c r="B112">
        <v>60.62</v>
      </c>
      <c r="C112">
        <v>22507.5</v>
      </c>
    </row>
    <row r="113" spans="1:3" x14ac:dyDescent="0.35">
      <c r="A113" s="178" t="s">
        <v>3586</v>
      </c>
      <c r="B113">
        <v>22.72</v>
      </c>
      <c r="C113">
        <v>8593.2900000000009</v>
      </c>
    </row>
    <row r="114" spans="1:3" x14ac:dyDescent="0.35">
      <c r="A114" s="178" t="s">
        <v>3587</v>
      </c>
      <c r="B114">
        <v>145.21</v>
      </c>
      <c r="C114">
        <v>43846.400000000001</v>
      </c>
    </row>
    <row r="115" spans="1:3" x14ac:dyDescent="0.35">
      <c r="A115" s="178" t="s">
        <v>3588</v>
      </c>
      <c r="B115">
        <v>13.38</v>
      </c>
      <c r="C115">
        <v>5149.5</v>
      </c>
    </row>
    <row r="116" spans="1:3" x14ac:dyDescent="0.35">
      <c r="A116" s="178" t="s">
        <v>3589</v>
      </c>
      <c r="B116">
        <v>8.56</v>
      </c>
      <c r="C116">
        <v>6349.6</v>
      </c>
    </row>
    <row r="117" spans="1:3" x14ac:dyDescent="0.35">
      <c r="A117" s="178" t="s">
        <v>3590</v>
      </c>
      <c r="B117">
        <v>4.42</v>
      </c>
      <c r="C117">
        <v>1635.1</v>
      </c>
    </row>
    <row r="118" spans="1:3" x14ac:dyDescent="0.35">
      <c r="A118" s="178" t="s">
        <v>3591</v>
      </c>
      <c r="B118">
        <v>6</v>
      </c>
      <c r="C118">
        <v>2405.8000000000002</v>
      </c>
    </row>
    <row r="119" spans="1:3" x14ac:dyDescent="0.35">
      <c r="A119" s="178" t="s">
        <v>3592</v>
      </c>
      <c r="B119">
        <v>18.260000000000002</v>
      </c>
      <c r="C119">
        <v>7577.9</v>
      </c>
    </row>
    <row r="120" spans="1:3" x14ac:dyDescent="0.35">
      <c r="A120" s="178" t="s">
        <v>3593</v>
      </c>
      <c r="B120">
        <v>4.5</v>
      </c>
      <c r="C120">
        <v>1386.87</v>
      </c>
    </row>
    <row r="121" spans="1:3" x14ac:dyDescent="0.35">
      <c r="A121" s="178" t="s">
        <v>3594</v>
      </c>
      <c r="B121">
        <v>11.43</v>
      </c>
      <c r="C121">
        <v>4408.8999999999996</v>
      </c>
    </row>
    <row r="122" spans="1:3" x14ac:dyDescent="0.35">
      <c r="A122" s="178" t="s">
        <v>3595</v>
      </c>
      <c r="B122">
        <v>9.1999999999999993</v>
      </c>
      <c r="C122">
        <v>1886</v>
      </c>
    </row>
    <row r="123" spans="1:3" x14ac:dyDescent="0.35">
      <c r="A123" s="178" t="s">
        <v>3596</v>
      </c>
      <c r="B123">
        <v>11.73</v>
      </c>
      <c r="C123">
        <v>3521.5</v>
      </c>
    </row>
    <row r="124" spans="1:3" x14ac:dyDescent="0.35">
      <c r="A124" s="178" t="s">
        <v>3597</v>
      </c>
      <c r="B124">
        <v>7.84</v>
      </c>
      <c r="C124">
        <v>2940</v>
      </c>
    </row>
    <row r="125" spans="1:3" x14ac:dyDescent="0.35">
      <c r="A125" s="178" t="s">
        <v>3598</v>
      </c>
      <c r="B125">
        <v>29.14</v>
      </c>
      <c r="C125">
        <v>8965.0499999999993</v>
      </c>
    </row>
    <row r="126" spans="1:3" x14ac:dyDescent="0.35">
      <c r="A126" s="178" t="s">
        <v>3599</v>
      </c>
      <c r="B126">
        <v>34.659999999999997</v>
      </c>
      <c r="C126">
        <v>13344.1</v>
      </c>
    </row>
    <row r="127" spans="1:3" x14ac:dyDescent="0.35">
      <c r="A127" s="178" t="s">
        <v>3600</v>
      </c>
      <c r="B127">
        <v>12.67</v>
      </c>
      <c r="C127">
        <v>2822.17</v>
      </c>
    </row>
    <row r="128" spans="1:3" x14ac:dyDescent="0.35">
      <c r="A128" s="178" t="s">
        <v>3601</v>
      </c>
      <c r="B128">
        <v>91.82</v>
      </c>
      <c r="C128">
        <v>22955</v>
      </c>
    </row>
    <row r="129" spans="1:3" x14ac:dyDescent="0.35">
      <c r="A129" s="178" t="s">
        <v>3602</v>
      </c>
      <c r="B129">
        <v>16.13</v>
      </c>
      <c r="C129">
        <v>5787.15</v>
      </c>
    </row>
    <row r="130" spans="1:3" x14ac:dyDescent="0.35">
      <c r="A130" s="178" t="s">
        <v>3603</v>
      </c>
      <c r="B130">
        <v>12.03</v>
      </c>
      <c r="C130">
        <v>4815</v>
      </c>
    </row>
    <row r="131" spans="1:3" x14ac:dyDescent="0.35">
      <c r="A131" s="178" t="s">
        <v>3604</v>
      </c>
      <c r="B131">
        <v>42.22</v>
      </c>
      <c r="C131">
        <v>11399.4</v>
      </c>
    </row>
    <row r="132" spans="1:3" x14ac:dyDescent="0.35">
      <c r="A132" s="178" t="s">
        <v>3605</v>
      </c>
      <c r="B132">
        <v>3.11</v>
      </c>
      <c r="C132">
        <v>1146.19</v>
      </c>
    </row>
    <row r="133" spans="1:3" x14ac:dyDescent="0.35">
      <c r="A133" s="178" t="s">
        <v>3606</v>
      </c>
      <c r="B133">
        <v>8.91</v>
      </c>
      <c r="C133">
        <v>3131.97</v>
      </c>
    </row>
    <row r="134" spans="1:3" x14ac:dyDescent="0.35">
      <c r="A134" s="178" t="s">
        <v>3607</v>
      </c>
      <c r="B134">
        <v>17.02</v>
      </c>
      <c r="C134">
        <v>4200.8500000000004</v>
      </c>
    </row>
    <row r="135" spans="1:3" x14ac:dyDescent="0.35">
      <c r="A135" s="178" t="s">
        <v>3608</v>
      </c>
      <c r="B135">
        <v>4.1100000000000003</v>
      </c>
      <c r="C135">
        <v>1453.64</v>
      </c>
    </row>
    <row r="136" spans="1:3" x14ac:dyDescent="0.35">
      <c r="A136" s="178" t="s">
        <v>3609</v>
      </c>
      <c r="B136">
        <v>11.61</v>
      </c>
      <c r="C136">
        <v>4469.8500000000004</v>
      </c>
    </row>
    <row r="137" spans="1:3" x14ac:dyDescent="0.35">
      <c r="A137" s="178" t="s">
        <v>3610</v>
      </c>
      <c r="B137">
        <v>24.58</v>
      </c>
      <c r="C137">
        <v>6975.4</v>
      </c>
    </row>
    <row r="138" spans="1:3" x14ac:dyDescent="0.35">
      <c r="A138" s="178" t="s">
        <v>3611</v>
      </c>
      <c r="B138">
        <v>31.8</v>
      </c>
      <c r="C138">
        <v>12566.74</v>
      </c>
    </row>
    <row r="139" spans="1:3" x14ac:dyDescent="0.35">
      <c r="A139" s="178" t="s">
        <v>3612</v>
      </c>
      <c r="B139">
        <v>8.35</v>
      </c>
      <c r="C139">
        <v>2859.44</v>
      </c>
    </row>
    <row r="140" spans="1:3" x14ac:dyDescent="0.35">
      <c r="A140" s="178" t="s">
        <v>3613</v>
      </c>
      <c r="B140">
        <v>8.6</v>
      </c>
      <c r="C140">
        <v>2754.92</v>
      </c>
    </row>
    <row r="141" spans="1:3" x14ac:dyDescent="0.35">
      <c r="A141" s="178" t="s">
        <v>3614</v>
      </c>
      <c r="B141">
        <v>8.2799999999999994</v>
      </c>
      <c r="C141">
        <v>2401.1999999999998</v>
      </c>
    </row>
    <row r="142" spans="1:3" x14ac:dyDescent="0.35">
      <c r="A142" s="178" t="s">
        <v>3615</v>
      </c>
      <c r="B142">
        <v>4</v>
      </c>
      <c r="C142">
        <v>2000</v>
      </c>
    </row>
    <row r="143" spans="1:3" x14ac:dyDescent="0.35">
      <c r="A143" s="178" t="s">
        <v>3616</v>
      </c>
      <c r="B143">
        <v>16.55</v>
      </c>
      <c r="C143">
        <v>5854.29</v>
      </c>
    </row>
    <row r="144" spans="1:3" x14ac:dyDescent="0.35">
      <c r="A144" s="178" t="s">
        <v>3617</v>
      </c>
      <c r="B144">
        <v>26.57</v>
      </c>
      <c r="C144">
        <v>10415.6</v>
      </c>
    </row>
    <row r="145" spans="1:3" x14ac:dyDescent="0.35">
      <c r="A145" s="178" t="s">
        <v>3618</v>
      </c>
      <c r="B145">
        <v>4.51</v>
      </c>
      <c r="C145">
        <v>1736.35</v>
      </c>
    </row>
    <row r="146" spans="1:3" x14ac:dyDescent="0.35">
      <c r="A146" s="178" t="s">
        <v>3619</v>
      </c>
      <c r="B146">
        <v>6.39</v>
      </c>
      <c r="C146">
        <v>1714.65</v>
      </c>
    </row>
    <row r="147" spans="1:3" x14ac:dyDescent="0.35">
      <c r="A147" s="178" t="s">
        <v>3620</v>
      </c>
      <c r="B147">
        <v>3.16</v>
      </c>
      <c r="C147">
        <v>1342</v>
      </c>
    </row>
    <row r="148" spans="1:3" x14ac:dyDescent="0.35">
      <c r="A148" s="178" t="s">
        <v>3621</v>
      </c>
      <c r="B148">
        <v>11.17</v>
      </c>
      <c r="C148">
        <v>3127.6</v>
      </c>
    </row>
    <row r="149" spans="1:3" x14ac:dyDescent="0.35">
      <c r="A149" s="178" t="s">
        <v>3622</v>
      </c>
      <c r="B149">
        <v>11.94</v>
      </c>
      <c r="C149">
        <v>4642.0200000000004</v>
      </c>
    </row>
    <row r="150" spans="1:3" x14ac:dyDescent="0.35">
      <c r="A150" s="178" t="s">
        <v>3623</v>
      </c>
      <c r="B150">
        <v>55.57</v>
      </c>
      <c r="C150">
        <v>21132.1</v>
      </c>
    </row>
    <row r="151" spans="1:3" x14ac:dyDescent="0.35">
      <c r="A151" s="178" t="s">
        <v>3624</v>
      </c>
      <c r="B151">
        <v>4.01</v>
      </c>
      <c r="C151">
        <v>1664.15</v>
      </c>
    </row>
    <row r="152" spans="1:3" x14ac:dyDescent="0.35">
      <c r="A152" s="178" t="s">
        <v>3625</v>
      </c>
      <c r="B152">
        <v>2.13</v>
      </c>
      <c r="C152">
        <v>777.45</v>
      </c>
    </row>
    <row r="153" spans="1:3" x14ac:dyDescent="0.35">
      <c r="A153" s="178" t="s">
        <v>3626</v>
      </c>
      <c r="B153">
        <v>162.82</v>
      </c>
      <c r="C153">
        <v>63017.13</v>
      </c>
    </row>
    <row r="154" spans="1:3" x14ac:dyDescent="0.35">
      <c r="A154" s="178" t="s">
        <v>3627</v>
      </c>
      <c r="B154">
        <v>22.17</v>
      </c>
      <c r="C154">
        <v>8503.35</v>
      </c>
    </row>
    <row r="155" spans="1:3" x14ac:dyDescent="0.35">
      <c r="A155" s="178" t="s">
        <v>3628</v>
      </c>
      <c r="B155">
        <v>24.8</v>
      </c>
      <c r="C155">
        <v>8928</v>
      </c>
    </row>
    <row r="156" spans="1:3" x14ac:dyDescent="0.35">
      <c r="A156" s="178" t="s">
        <v>3629</v>
      </c>
      <c r="B156">
        <v>6.66</v>
      </c>
      <c r="C156">
        <v>2458.67</v>
      </c>
    </row>
    <row r="157" spans="1:3" x14ac:dyDescent="0.35">
      <c r="A157" s="178" t="s">
        <v>3630</v>
      </c>
      <c r="B157">
        <v>5.83</v>
      </c>
      <c r="C157">
        <v>2311.4499999999998</v>
      </c>
    </row>
    <row r="158" spans="1:3" x14ac:dyDescent="0.35">
      <c r="A158" s="178" t="s">
        <v>3631</v>
      </c>
      <c r="B158">
        <v>4.53</v>
      </c>
      <c r="C158">
        <v>1291.05</v>
      </c>
    </row>
    <row r="159" spans="1:3" x14ac:dyDescent="0.35">
      <c r="A159" s="178" t="s">
        <v>3632</v>
      </c>
      <c r="B159">
        <v>1</v>
      </c>
      <c r="C159">
        <v>500</v>
      </c>
    </row>
    <row r="160" spans="1:3" x14ac:dyDescent="0.35">
      <c r="A160" s="178" t="s">
        <v>3633</v>
      </c>
      <c r="B160">
        <v>2.16</v>
      </c>
      <c r="C160">
        <v>896.4</v>
      </c>
    </row>
    <row r="161" spans="1:3" x14ac:dyDescent="0.35">
      <c r="A161" s="178" t="s">
        <v>3634</v>
      </c>
      <c r="B161">
        <v>101.26</v>
      </c>
      <c r="C161">
        <v>39112.35</v>
      </c>
    </row>
    <row r="162" spans="1:3" x14ac:dyDescent="0.35">
      <c r="A162" s="178" t="s">
        <v>3461</v>
      </c>
      <c r="B162">
        <v>25.7</v>
      </c>
      <c r="C162">
        <v>10280</v>
      </c>
    </row>
    <row r="163" spans="1:3" x14ac:dyDescent="0.35">
      <c r="A163" s="178" t="s">
        <v>3635</v>
      </c>
      <c r="B163">
        <v>4.49</v>
      </c>
      <c r="C163">
        <v>1616.4</v>
      </c>
    </row>
    <row r="164" spans="1:3" x14ac:dyDescent="0.35">
      <c r="A164" s="178" t="s">
        <v>3636</v>
      </c>
      <c r="B164">
        <v>3.94</v>
      </c>
      <c r="C164">
        <v>1694.2</v>
      </c>
    </row>
    <row r="165" spans="1:3" x14ac:dyDescent="0.35">
      <c r="A165" s="178" t="s">
        <v>3637</v>
      </c>
      <c r="B165">
        <v>71.86</v>
      </c>
      <c r="C165">
        <v>27061.97</v>
      </c>
    </row>
    <row r="166" spans="1:3" x14ac:dyDescent="0.35">
      <c r="A166" s="178" t="s">
        <v>3638</v>
      </c>
      <c r="B166">
        <v>52.14</v>
      </c>
      <c r="C166">
        <v>14077.8</v>
      </c>
    </row>
    <row r="167" spans="1:3" x14ac:dyDescent="0.35">
      <c r="A167" s="178" t="s">
        <v>3639</v>
      </c>
      <c r="B167">
        <v>79.540000000000006</v>
      </c>
      <c r="C167">
        <v>28941.55</v>
      </c>
    </row>
    <row r="168" spans="1:3" x14ac:dyDescent="0.35">
      <c r="A168" s="178" t="s">
        <v>3640</v>
      </c>
      <c r="B168">
        <v>76.510000000000005</v>
      </c>
      <c r="C168">
        <v>19700.8</v>
      </c>
    </row>
    <row r="169" spans="1:3" x14ac:dyDescent="0.35">
      <c r="A169" s="178" t="s">
        <v>3641</v>
      </c>
      <c r="B169">
        <v>1.96</v>
      </c>
      <c r="C169">
        <v>842.8</v>
      </c>
    </row>
    <row r="170" spans="1:3" x14ac:dyDescent="0.35">
      <c r="A170" s="178" t="s">
        <v>3642</v>
      </c>
      <c r="B170">
        <v>121.26</v>
      </c>
      <c r="C170">
        <v>34559.1</v>
      </c>
    </row>
    <row r="171" spans="1:3" x14ac:dyDescent="0.35">
      <c r="A171" s="178" t="s">
        <v>3643</v>
      </c>
      <c r="B171">
        <v>4.37</v>
      </c>
      <c r="C171">
        <v>1573.2</v>
      </c>
    </row>
    <row r="172" spans="1:3" x14ac:dyDescent="0.35">
      <c r="A172" s="178" t="s">
        <v>3644</v>
      </c>
      <c r="B172">
        <v>2.27</v>
      </c>
      <c r="C172">
        <v>519.83000000000004</v>
      </c>
    </row>
    <row r="173" spans="1:3" x14ac:dyDescent="0.35">
      <c r="A173" s="178" t="s">
        <v>3645</v>
      </c>
      <c r="B173">
        <v>34.9</v>
      </c>
      <c r="C173">
        <v>14258.64</v>
      </c>
    </row>
    <row r="174" spans="1:3" x14ac:dyDescent="0.35">
      <c r="A174" s="178" t="s">
        <v>3467</v>
      </c>
      <c r="B174">
        <v>3.98</v>
      </c>
      <c r="C174">
        <v>911.42</v>
      </c>
    </row>
    <row r="175" spans="1:3" x14ac:dyDescent="0.35">
      <c r="A175" s="178" t="s">
        <v>3468</v>
      </c>
      <c r="B175">
        <v>42.23</v>
      </c>
      <c r="C175">
        <v>13850.45</v>
      </c>
    </row>
    <row r="176" spans="1:3" x14ac:dyDescent="0.35">
      <c r="A176" s="178" t="s">
        <v>3646</v>
      </c>
      <c r="B176">
        <v>11.12</v>
      </c>
      <c r="C176">
        <v>2972.2</v>
      </c>
    </row>
    <row r="177" spans="1:3" x14ac:dyDescent="0.35">
      <c r="A177" s="178" t="s">
        <v>3647</v>
      </c>
      <c r="B177">
        <v>11.89</v>
      </c>
      <c r="C177">
        <v>4931.3500000000004</v>
      </c>
    </row>
    <row r="178" spans="1:3" x14ac:dyDescent="0.35">
      <c r="A178" s="178" t="s">
        <v>3648</v>
      </c>
      <c r="B178">
        <v>47.96</v>
      </c>
      <c r="C178">
        <v>12831.47</v>
      </c>
    </row>
    <row r="179" spans="1:3" x14ac:dyDescent="0.35">
      <c r="A179" s="178" t="s">
        <v>3649</v>
      </c>
      <c r="B179">
        <v>3.68</v>
      </c>
      <c r="C179">
        <v>1324.8</v>
      </c>
    </row>
    <row r="180" spans="1:3" x14ac:dyDescent="0.35">
      <c r="A180" s="178" t="s">
        <v>3650</v>
      </c>
      <c r="B180">
        <v>7.64</v>
      </c>
      <c r="C180">
        <v>2788.6</v>
      </c>
    </row>
    <row r="181" spans="1:3" x14ac:dyDescent="0.35">
      <c r="A181" s="178" t="s">
        <v>3651</v>
      </c>
      <c r="B181">
        <v>31.36</v>
      </c>
      <c r="C181">
        <v>9598.7000000000007</v>
      </c>
    </row>
    <row r="182" spans="1:3" x14ac:dyDescent="0.35">
      <c r="A182" s="178" t="s">
        <v>3652</v>
      </c>
      <c r="B182">
        <v>4.32</v>
      </c>
      <c r="C182">
        <v>1490.4</v>
      </c>
    </row>
    <row r="183" spans="1:3" x14ac:dyDescent="0.35">
      <c r="A183" s="178" t="s">
        <v>3653</v>
      </c>
      <c r="B183">
        <v>50</v>
      </c>
      <c r="C183">
        <v>18000</v>
      </c>
    </row>
    <row r="184" spans="1:3" x14ac:dyDescent="0.35">
      <c r="A184" s="178" t="s">
        <v>3654</v>
      </c>
      <c r="B184">
        <v>11.45</v>
      </c>
      <c r="C184">
        <v>4236.5</v>
      </c>
    </row>
    <row r="185" spans="1:3" x14ac:dyDescent="0.35">
      <c r="A185" s="178" t="s">
        <v>3655</v>
      </c>
      <c r="B185">
        <v>91.84</v>
      </c>
      <c r="C185">
        <v>24460.16</v>
      </c>
    </row>
    <row r="186" spans="1:3" x14ac:dyDescent="0.35">
      <c r="A186" s="178" t="s">
        <v>3656</v>
      </c>
      <c r="B186">
        <v>3.25</v>
      </c>
      <c r="C186">
        <v>1397.5</v>
      </c>
    </row>
    <row r="187" spans="1:3" x14ac:dyDescent="0.35">
      <c r="A187" s="178" t="s">
        <v>3657</v>
      </c>
      <c r="B187">
        <v>0.3</v>
      </c>
      <c r="C187">
        <v>143</v>
      </c>
    </row>
    <row r="188" spans="1:3" x14ac:dyDescent="0.35">
      <c r="A188" s="178" t="s">
        <v>3658</v>
      </c>
      <c r="B188">
        <v>9.34</v>
      </c>
      <c r="C188">
        <v>2982.4</v>
      </c>
    </row>
    <row r="189" spans="1:3" x14ac:dyDescent="0.35">
      <c r="A189" s="178" t="s">
        <v>3659</v>
      </c>
      <c r="B189">
        <v>15.76</v>
      </c>
      <c r="C189">
        <v>5910</v>
      </c>
    </row>
    <row r="190" spans="1:3" x14ac:dyDescent="0.35">
      <c r="A190" s="178" t="s">
        <v>3660</v>
      </c>
      <c r="B190">
        <v>11.02</v>
      </c>
      <c r="C190">
        <v>4132.5</v>
      </c>
    </row>
    <row r="191" spans="1:3" x14ac:dyDescent="0.35">
      <c r="A191" s="178" t="s">
        <v>3661</v>
      </c>
      <c r="B191">
        <v>136.4</v>
      </c>
      <c r="C191">
        <v>51013.25</v>
      </c>
    </row>
    <row r="192" spans="1:3" x14ac:dyDescent="0.35">
      <c r="A192" s="178" t="s">
        <v>3662</v>
      </c>
      <c r="B192">
        <v>29.32</v>
      </c>
      <c r="C192">
        <v>7599.2</v>
      </c>
    </row>
    <row r="193" spans="1:3" x14ac:dyDescent="0.35">
      <c r="A193" s="178" t="s">
        <v>3663</v>
      </c>
      <c r="B193">
        <v>2</v>
      </c>
      <c r="C193">
        <v>302.54000000000002</v>
      </c>
    </row>
    <row r="194" spans="1:3" x14ac:dyDescent="0.35">
      <c r="A194" s="178" t="s">
        <v>3664</v>
      </c>
      <c r="B194">
        <v>30.51</v>
      </c>
      <c r="C194">
        <v>10373.4</v>
      </c>
    </row>
    <row r="195" spans="1:3" x14ac:dyDescent="0.35">
      <c r="A195" s="178" t="s">
        <v>3665</v>
      </c>
      <c r="B195">
        <v>38.33</v>
      </c>
      <c r="C195">
        <v>14160.3</v>
      </c>
    </row>
    <row r="196" spans="1:3" x14ac:dyDescent="0.35">
      <c r="A196" s="178" t="s">
        <v>3666</v>
      </c>
      <c r="B196">
        <v>7.6</v>
      </c>
      <c r="C196">
        <v>2052</v>
      </c>
    </row>
    <row r="197" spans="1:3" x14ac:dyDescent="0.35">
      <c r="A197" s="178" t="s">
        <v>3667</v>
      </c>
      <c r="B197">
        <v>58.61</v>
      </c>
      <c r="C197">
        <v>18084.05</v>
      </c>
    </row>
    <row r="198" spans="1:3" x14ac:dyDescent="0.35">
      <c r="A198" s="178" t="s">
        <v>3668</v>
      </c>
      <c r="B198">
        <v>6.94</v>
      </c>
      <c r="C198">
        <v>2864.3</v>
      </c>
    </row>
    <row r="199" spans="1:3" x14ac:dyDescent="0.35">
      <c r="A199" s="178" t="s">
        <v>3669</v>
      </c>
      <c r="B199">
        <v>8.1999999999999993</v>
      </c>
      <c r="C199">
        <v>2952</v>
      </c>
    </row>
    <row r="200" spans="1:3" x14ac:dyDescent="0.35">
      <c r="A200" s="178" t="s">
        <v>3670</v>
      </c>
      <c r="B200">
        <v>1.49</v>
      </c>
      <c r="C200">
        <v>588.54999999999995</v>
      </c>
    </row>
    <row r="201" spans="1:3" x14ac:dyDescent="0.35">
      <c r="A201" s="178" t="s">
        <v>3671</v>
      </c>
      <c r="B201">
        <v>276.51</v>
      </c>
      <c r="C201">
        <v>63838.45</v>
      </c>
    </row>
    <row r="202" spans="1:3" x14ac:dyDescent="0.35">
      <c r="A202" s="178" t="s">
        <v>3672</v>
      </c>
      <c r="B202">
        <v>12.21</v>
      </c>
      <c r="C202">
        <v>4456.6499999999996</v>
      </c>
    </row>
    <row r="203" spans="1:3" x14ac:dyDescent="0.35">
      <c r="A203" s="178" t="s">
        <v>94</v>
      </c>
      <c r="B203">
        <v>11077.41</v>
      </c>
      <c r="C203">
        <v>3453651.8100000098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50"/>
  <sheetViews>
    <sheetView topLeftCell="A22" workbookViewId="0">
      <selection sqref="A1:E44"/>
    </sheetView>
  </sheetViews>
  <sheetFormatPr defaultRowHeight="14.5" x14ac:dyDescent="0.35"/>
  <cols>
    <col min="1" max="1" width="62.1796875" bestFit="1" customWidth="1"/>
    <col min="2" max="2" width="33.08984375" bestFit="1" customWidth="1"/>
  </cols>
  <sheetData>
    <row r="1" spans="1:5" x14ac:dyDescent="0.35">
      <c r="A1" s="178" t="s">
        <v>56</v>
      </c>
    </row>
    <row r="2" spans="1:5" x14ac:dyDescent="0.35">
      <c r="A2" s="178" t="s">
        <v>272</v>
      </c>
    </row>
    <row r="3" spans="1:5" x14ac:dyDescent="0.35">
      <c r="A3" s="178" t="s">
        <v>57</v>
      </c>
      <c r="B3" s="178" t="s">
        <v>57</v>
      </c>
      <c r="C3" s="178" t="s">
        <v>57</v>
      </c>
    </row>
    <row r="4" spans="1:5" x14ac:dyDescent="0.35">
      <c r="A4" s="178" t="s">
        <v>273</v>
      </c>
      <c r="B4" s="178" t="s">
        <v>57</v>
      </c>
      <c r="C4" s="178" t="s">
        <v>57</v>
      </c>
    </row>
    <row r="5" spans="1:5" x14ac:dyDescent="0.35">
      <c r="A5" s="178" t="s">
        <v>274</v>
      </c>
      <c r="B5" s="178" t="s">
        <v>57</v>
      </c>
      <c r="C5" s="178" t="s">
        <v>57</v>
      </c>
    </row>
    <row r="6" spans="1:5" x14ac:dyDescent="0.35">
      <c r="A6" s="178" t="s">
        <v>57</v>
      </c>
      <c r="B6" s="178" t="s">
        <v>57</v>
      </c>
      <c r="C6" s="178" t="s">
        <v>57</v>
      </c>
    </row>
    <row r="7" spans="1:5" x14ac:dyDescent="0.35">
      <c r="A7" s="178" t="s">
        <v>275</v>
      </c>
      <c r="B7" s="178" t="s">
        <v>57</v>
      </c>
      <c r="C7" s="178" t="s">
        <v>57</v>
      </c>
    </row>
    <row r="8" spans="1:5" x14ac:dyDescent="0.35">
      <c r="A8" s="178" t="s">
        <v>57</v>
      </c>
      <c r="B8" s="178" t="s">
        <v>276</v>
      </c>
      <c r="C8">
        <v>100</v>
      </c>
      <c r="D8">
        <v>100</v>
      </c>
    </row>
    <row r="9" spans="1:5" x14ac:dyDescent="0.35">
      <c r="A9" s="178" t="s">
        <v>277</v>
      </c>
      <c r="B9" s="178" t="s">
        <v>57</v>
      </c>
      <c r="C9" s="178" t="s">
        <v>57</v>
      </c>
    </row>
    <row r="10" spans="1:5" x14ac:dyDescent="0.35">
      <c r="A10" s="178" t="s">
        <v>57</v>
      </c>
      <c r="B10" s="178" t="s">
        <v>278</v>
      </c>
      <c r="C10">
        <v>33130566.18</v>
      </c>
      <c r="D10" s="178" t="s">
        <v>57</v>
      </c>
    </row>
    <row r="11" spans="1:5" x14ac:dyDescent="0.35">
      <c r="A11" s="178" t="s">
        <v>57</v>
      </c>
      <c r="B11" s="178" t="s">
        <v>279</v>
      </c>
      <c r="C11">
        <v>1168520.22</v>
      </c>
      <c r="D11">
        <v>34299086.399999999</v>
      </c>
      <c r="E11">
        <v>34299186.399999999</v>
      </c>
    </row>
    <row r="12" spans="1:5" x14ac:dyDescent="0.35">
      <c r="A12" s="178" t="s">
        <v>57</v>
      </c>
      <c r="B12" s="178" t="s">
        <v>57</v>
      </c>
      <c r="C12" s="178" t="s">
        <v>57</v>
      </c>
    </row>
    <row r="13" spans="1:5" x14ac:dyDescent="0.35">
      <c r="A13" s="178" t="s">
        <v>280</v>
      </c>
      <c r="B13" s="178" t="s">
        <v>57</v>
      </c>
      <c r="C13" s="178" t="s">
        <v>57</v>
      </c>
    </row>
    <row r="14" spans="1:5" x14ac:dyDescent="0.35">
      <c r="A14" s="178" t="s">
        <v>281</v>
      </c>
      <c r="B14" s="178" t="s">
        <v>57</v>
      </c>
      <c r="C14" s="178" t="s">
        <v>57</v>
      </c>
    </row>
    <row r="15" spans="1:5" x14ac:dyDescent="0.35">
      <c r="A15" s="178" t="s">
        <v>57</v>
      </c>
      <c r="B15" s="178" t="s">
        <v>57</v>
      </c>
      <c r="C15" s="178" t="s">
        <v>57</v>
      </c>
    </row>
    <row r="16" spans="1:5" x14ac:dyDescent="0.35">
      <c r="A16" s="178" t="s">
        <v>57</v>
      </c>
      <c r="B16" s="178" t="s">
        <v>57</v>
      </c>
      <c r="C16" s="178" t="s">
        <v>57</v>
      </c>
      <c r="D16">
        <v>34299186.399999999</v>
      </c>
    </row>
    <row r="17" spans="1:5" x14ac:dyDescent="0.35">
      <c r="A17" s="178" t="s">
        <v>282</v>
      </c>
      <c r="B17" s="178" t="s">
        <v>57</v>
      </c>
      <c r="C17" s="178" t="s">
        <v>57</v>
      </c>
    </row>
    <row r="18" spans="1:5" x14ac:dyDescent="0.35">
      <c r="A18" s="178" t="s">
        <v>57</v>
      </c>
      <c r="B18" s="178" t="s">
        <v>283</v>
      </c>
      <c r="C18">
        <v>4029.91</v>
      </c>
      <c r="D18" s="178" t="s">
        <v>57</v>
      </c>
    </row>
    <row r="19" spans="1:5" x14ac:dyDescent="0.35">
      <c r="A19" s="178" t="s">
        <v>57</v>
      </c>
      <c r="B19" s="178" t="s">
        <v>284</v>
      </c>
      <c r="C19">
        <v>60360.63</v>
      </c>
      <c r="D19" s="178" t="s">
        <v>57</v>
      </c>
    </row>
    <row r="20" spans="1:5" x14ac:dyDescent="0.35">
      <c r="A20" s="178" t="s">
        <v>57</v>
      </c>
      <c r="B20" s="178" t="s">
        <v>285</v>
      </c>
      <c r="C20">
        <v>1397414.22</v>
      </c>
      <c r="D20" s="178" t="s">
        <v>57</v>
      </c>
    </row>
    <row r="21" spans="1:5" x14ac:dyDescent="0.35">
      <c r="A21" s="178" t="s">
        <v>57</v>
      </c>
      <c r="B21" s="178" t="s">
        <v>286</v>
      </c>
      <c r="C21">
        <v>103377.73</v>
      </c>
      <c r="D21" s="178" t="s">
        <v>57</v>
      </c>
    </row>
    <row r="22" spans="1:5" x14ac:dyDescent="0.35">
      <c r="A22" s="178" t="s">
        <v>57</v>
      </c>
      <c r="B22" s="178" t="s">
        <v>287</v>
      </c>
      <c r="C22">
        <v>159098.43</v>
      </c>
      <c r="D22">
        <v>1724280.92</v>
      </c>
      <c r="E22">
        <v>1724280.92</v>
      </c>
    </row>
    <row r="23" spans="1:5" x14ac:dyDescent="0.35">
      <c r="A23" s="178" t="s">
        <v>288</v>
      </c>
      <c r="B23" s="178" t="s">
        <v>57</v>
      </c>
      <c r="C23" s="178" t="s">
        <v>57</v>
      </c>
      <c r="D23">
        <v>36023467.32</v>
      </c>
    </row>
    <row r="24" spans="1:5" x14ac:dyDescent="0.35">
      <c r="A24" s="178" t="s">
        <v>57</v>
      </c>
      <c r="B24" s="178" t="s">
        <v>57</v>
      </c>
      <c r="C24" s="178" t="s">
        <v>57</v>
      </c>
    </row>
    <row r="25" spans="1:5" x14ac:dyDescent="0.35">
      <c r="A25" s="178" t="s">
        <v>289</v>
      </c>
      <c r="B25" s="178" t="s">
        <v>57</v>
      </c>
      <c r="C25" s="178" t="s">
        <v>57</v>
      </c>
    </row>
    <row r="26" spans="1:5" x14ac:dyDescent="0.35">
      <c r="A26" s="178" t="s">
        <v>290</v>
      </c>
      <c r="B26" s="178" t="s">
        <v>57</v>
      </c>
      <c r="C26" s="178" t="s">
        <v>57</v>
      </c>
    </row>
    <row r="27" spans="1:5" x14ac:dyDescent="0.35">
      <c r="A27" s="178" t="s">
        <v>57</v>
      </c>
      <c r="B27" s="178" t="s">
        <v>57</v>
      </c>
      <c r="C27" s="178" t="s">
        <v>57</v>
      </c>
    </row>
    <row r="28" spans="1:5" x14ac:dyDescent="0.35">
      <c r="A28" s="178" t="s">
        <v>291</v>
      </c>
      <c r="B28" s="178" t="s">
        <v>57</v>
      </c>
      <c r="C28" s="178" t="s">
        <v>57</v>
      </c>
    </row>
    <row r="29" spans="1:5" x14ac:dyDescent="0.35">
      <c r="A29" s="178" t="s">
        <v>57</v>
      </c>
      <c r="B29" s="178" t="s">
        <v>292</v>
      </c>
      <c r="C29">
        <v>1438086.08</v>
      </c>
      <c r="D29" s="178" t="s">
        <v>57</v>
      </c>
    </row>
    <row r="30" spans="1:5" x14ac:dyDescent="0.35">
      <c r="A30" s="178" t="s">
        <v>57</v>
      </c>
      <c r="B30" s="178" t="s">
        <v>293</v>
      </c>
      <c r="C30">
        <v>36323.03</v>
      </c>
      <c r="D30" s="178" t="s">
        <v>57</v>
      </c>
    </row>
    <row r="31" spans="1:5" x14ac:dyDescent="0.35">
      <c r="A31" s="178" t="s">
        <v>57</v>
      </c>
      <c r="B31" s="178" t="s">
        <v>294</v>
      </c>
      <c r="C31">
        <v>16195.62</v>
      </c>
      <c r="D31">
        <v>1490604.73</v>
      </c>
      <c r="E31">
        <v>1490604.73</v>
      </c>
    </row>
    <row r="32" spans="1:5" x14ac:dyDescent="0.35">
      <c r="A32" s="178" t="s">
        <v>295</v>
      </c>
      <c r="B32" s="178" t="s">
        <v>57</v>
      </c>
      <c r="C32" s="178" t="s">
        <v>57</v>
      </c>
    </row>
    <row r="33" spans="1:5" x14ac:dyDescent="0.35">
      <c r="A33" s="178" t="s">
        <v>57</v>
      </c>
      <c r="B33" s="178" t="s">
        <v>296</v>
      </c>
      <c r="C33" s="178" t="s">
        <v>57</v>
      </c>
      <c r="D33" s="178" t="s">
        <v>57</v>
      </c>
    </row>
    <row r="34" spans="1:5" x14ac:dyDescent="0.35">
      <c r="A34" s="178" t="s">
        <v>57</v>
      </c>
      <c r="B34" s="178" t="s">
        <v>57</v>
      </c>
      <c r="C34" s="178" t="s">
        <v>296</v>
      </c>
      <c r="D34">
        <v>12760583.699999999</v>
      </c>
      <c r="E34" s="178" t="s">
        <v>57</v>
      </c>
    </row>
    <row r="35" spans="1:5" x14ac:dyDescent="0.35">
      <c r="A35" s="178" t="s">
        <v>57</v>
      </c>
      <c r="B35" s="178" t="s">
        <v>297</v>
      </c>
      <c r="C35">
        <v>4382.2</v>
      </c>
      <c r="D35" s="178" t="s">
        <v>57</v>
      </c>
    </row>
    <row r="36" spans="1:5" x14ac:dyDescent="0.35">
      <c r="A36" s="178" t="s">
        <v>57</v>
      </c>
      <c r="B36" s="178" t="s">
        <v>298</v>
      </c>
      <c r="C36">
        <v>1526847.65</v>
      </c>
      <c r="D36" s="178" t="s">
        <v>57</v>
      </c>
    </row>
    <row r="37" spans="1:5" x14ac:dyDescent="0.35">
      <c r="A37" s="178" t="s">
        <v>57</v>
      </c>
      <c r="B37" s="178" t="s">
        <v>299</v>
      </c>
      <c r="C37">
        <v>9926644.0199999996</v>
      </c>
      <c r="D37" s="178" t="s">
        <v>57</v>
      </c>
    </row>
    <row r="38" spans="1:5" x14ac:dyDescent="0.35">
      <c r="A38" s="178" t="s">
        <v>57</v>
      </c>
      <c r="B38" s="178" t="s">
        <v>300</v>
      </c>
      <c r="C38">
        <v>989367.23</v>
      </c>
      <c r="D38" s="178" t="s">
        <v>57</v>
      </c>
    </row>
    <row r="39" spans="1:5" x14ac:dyDescent="0.35">
      <c r="A39" s="178" t="s">
        <v>57</v>
      </c>
      <c r="B39" s="178" t="s">
        <v>301</v>
      </c>
      <c r="C39">
        <v>6759923.4000000004</v>
      </c>
      <c r="D39" s="178" t="s">
        <v>57</v>
      </c>
    </row>
    <row r="40" spans="1:5" x14ac:dyDescent="0.35">
      <c r="A40" s="178" t="s">
        <v>57</v>
      </c>
      <c r="B40" s="178" t="s">
        <v>302</v>
      </c>
      <c r="C40">
        <v>17562.54</v>
      </c>
      <c r="D40" s="178" t="s">
        <v>57</v>
      </c>
    </row>
    <row r="41" spans="1:5" x14ac:dyDescent="0.35">
      <c r="A41" s="178" t="s">
        <v>57</v>
      </c>
      <c r="B41" s="178" t="s">
        <v>303</v>
      </c>
      <c r="C41">
        <v>13160.03</v>
      </c>
      <c r="D41" s="178" t="s">
        <v>57</v>
      </c>
    </row>
    <row r="42" spans="1:5" x14ac:dyDescent="0.35">
      <c r="A42" s="178" t="s">
        <v>57</v>
      </c>
      <c r="B42" s="178" t="s">
        <v>304</v>
      </c>
      <c r="C42">
        <v>84249</v>
      </c>
      <c r="D42" s="178" t="s">
        <v>57</v>
      </c>
    </row>
    <row r="43" spans="1:5" x14ac:dyDescent="0.35">
      <c r="A43" s="178" t="s">
        <v>57</v>
      </c>
      <c r="B43" s="178" t="s">
        <v>305</v>
      </c>
      <c r="C43">
        <v>2450142.8199999998</v>
      </c>
      <c r="D43">
        <v>34532862.590000004</v>
      </c>
      <c r="E43">
        <v>34532862.590000004</v>
      </c>
    </row>
    <row r="44" spans="1:5" x14ac:dyDescent="0.35">
      <c r="A44" s="178" t="s">
        <v>306</v>
      </c>
      <c r="B44" s="178" t="s">
        <v>57</v>
      </c>
      <c r="C44" s="178" t="s">
        <v>57</v>
      </c>
      <c r="D44">
        <v>36023467.32</v>
      </c>
    </row>
    <row r="45" spans="1:5" x14ac:dyDescent="0.35">
      <c r="A45" s="178"/>
      <c r="B45" s="178"/>
    </row>
    <row r="46" spans="1:5" x14ac:dyDescent="0.35">
      <c r="A46" s="178"/>
      <c r="B46" s="178"/>
      <c r="C46" s="178"/>
    </row>
    <row r="47" spans="1:5" x14ac:dyDescent="0.35">
      <c r="A47" s="178"/>
      <c r="B47" s="178"/>
      <c r="D47" s="178"/>
    </row>
    <row r="48" spans="1:5" x14ac:dyDescent="0.35">
      <c r="A48" s="178"/>
      <c r="B48" s="178"/>
      <c r="D48" s="178"/>
    </row>
    <row r="49" spans="1:3" x14ac:dyDescent="0.35">
      <c r="A49" s="178"/>
      <c r="B49" s="178"/>
    </row>
    <row r="50" spans="1:3" x14ac:dyDescent="0.35">
      <c r="A50" s="178"/>
      <c r="B50" s="178"/>
      <c r="C50" s="178"/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D46"/>
  <sheetViews>
    <sheetView workbookViewId="0">
      <selection sqref="A1:D46"/>
    </sheetView>
  </sheetViews>
  <sheetFormatPr defaultRowHeight="14.5" x14ac:dyDescent="0.35"/>
  <cols>
    <col min="2" max="2" width="25.1796875" bestFit="1" customWidth="1"/>
  </cols>
  <sheetData>
    <row r="1" spans="1:4" x14ac:dyDescent="0.35">
      <c r="A1" s="178" t="s">
        <v>56</v>
      </c>
    </row>
    <row r="2" spans="1:4" x14ac:dyDescent="0.35">
      <c r="A2" s="178" t="s">
        <v>232</v>
      </c>
    </row>
    <row r="3" spans="1:4" x14ac:dyDescent="0.35">
      <c r="A3" s="178" t="s">
        <v>0</v>
      </c>
    </row>
    <row r="4" spans="1:4" x14ac:dyDescent="0.35">
      <c r="A4" s="178" t="s">
        <v>57</v>
      </c>
      <c r="B4" s="178" t="s">
        <v>233</v>
      </c>
      <c r="C4">
        <v>8457723.7100000009</v>
      </c>
    </row>
    <row r="5" spans="1:4" x14ac:dyDescent="0.35">
      <c r="A5" s="178" t="s">
        <v>57</v>
      </c>
      <c r="B5" s="178" t="s">
        <v>234</v>
      </c>
      <c r="C5">
        <v>1043.48</v>
      </c>
    </row>
    <row r="6" spans="1:4" x14ac:dyDescent="0.35">
      <c r="A6" s="178" t="s">
        <v>57</v>
      </c>
      <c r="B6" s="178" t="s">
        <v>235</v>
      </c>
      <c r="C6">
        <v>337667.32</v>
      </c>
      <c r="D6">
        <v>8796434.5099999998</v>
      </c>
    </row>
    <row r="7" spans="1:4" x14ac:dyDescent="0.35">
      <c r="A7" s="178" t="s">
        <v>1</v>
      </c>
    </row>
    <row r="8" spans="1:4" x14ac:dyDescent="0.35">
      <c r="A8" s="178" t="s">
        <v>57</v>
      </c>
      <c r="B8" s="178" t="s">
        <v>236</v>
      </c>
      <c r="C8">
        <v>7267470.79</v>
      </c>
    </row>
    <row r="9" spans="1:4" x14ac:dyDescent="0.35">
      <c r="A9" s="178" t="s">
        <v>57</v>
      </c>
      <c r="B9" s="178" t="s">
        <v>237</v>
      </c>
      <c r="C9">
        <v>58940.77</v>
      </c>
    </row>
    <row r="10" spans="1:4" x14ac:dyDescent="0.35">
      <c r="A10" s="178" t="s">
        <v>57</v>
      </c>
      <c r="B10" s="178" t="s">
        <v>238</v>
      </c>
      <c r="C10">
        <v>117108.99</v>
      </c>
      <c r="D10">
        <v>7443520.5499999998</v>
      </c>
    </row>
    <row r="11" spans="1:4" x14ac:dyDescent="0.35">
      <c r="A11" s="178" t="s">
        <v>239</v>
      </c>
      <c r="B11" s="178" t="s">
        <v>57</v>
      </c>
      <c r="C11">
        <v>1352913.96</v>
      </c>
    </row>
    <row r="12" spans="1:4" x14ac:dyDescent="0.35">
      <c r="A12" s="178" t="s">
        <v>2</v>
      </c>
    </row>
    <row r="13" spans="1:4" x14ac:dyDescent="0.35">
      <c r="A13" s="178" t="s">
        <v>57</v>
      </c>
      <c r="B13" s="178" t="s">
        <v>240</v>
      </c>
      <c r="C13">
        <v>294343.65000000002</v>
      </c>
    </row>
    <row r="14" spans="1:4" x14ac:dyDescent="0.35">
      <c r="A14" s="178" t="s">
        <v>57</v>
      </c>
      <c r="B14" s="178" t="s">
        <v>241</v>
      </c>
      <c r="C14">
        <v>9506.17</v>
      </c>
    </row>
    <row r="15" spans="1:4" x14ac:dyDescent="0.35">
      <c r="A15" s="178" t="s">
        <v>57</v>
      </c>
      <c r="B15" s="178" t="s">
        <v>242</v>
      </c>
      <c r="C15">
        <v>3293.41</v>
      </c>
    </row>
    <row r="16" spans="1:4" x14ac:dyDescent="0.35">
      <c r="A16" s="178" t="s">
        <v>57</v>
      </c>
      <c r="B16" s="178" t="s">
        <v>243</v>
      </c>
      <c r="C16">
        <v>496773.08</v>
      </c>
      <c r="D16">
        <v>803916.31</v>
      </c>
    </row>
    <row r="17" spans="1:3" x14ac:dyDescent="0.35">
      <c r="A17" s="178" t="s">
        <v>57</v>
      </c>
      <c r="B17" s="178" t="s">
        <v>57</v>
      </c>
      <c r="C17">
        <v>2156830.27</v>
      </c>
    </row>
    <row r="18" spans="1:3" x14ac:dyDescent="0.35">
      <c r="A18" s="178" t="s">
        <v>3</v>
      </c>
    </row>
    <row r="19" spans="1:3" x14ac:dyDescent="0.35">
      <c r="A19" s="178" t="s">
        <v>57</v>
      </c>
      <c r="B19" s="178" t="s">
        <v>244</v>
      </c>
      <c r="C19">
        <v>5929</v>
      </c>
    </row>
    <row r="20" spans="1:3" x14ac:dyDescent="0.35">
      <c r="A20" s="178" t="s">
        <v>57</v>
      </c>
      <c r="B20" s="178" t="s">
        <v>245</v>
      </c>
      <c r="C20">
        <v>4791.67</v>
      </c>
    </row>
    <row r="21" spans="1:3" x14ac:dyDescent="0.35">
      <c r="A21" s="178" t="s">
        <v>57</v>
      </c>
      <c r="B21" s="178" t="s">
        <v>246</v>
      </c>
      <c r="C21">
        <v>3387.1</v>
      </c>
    </row>
    <row r="22" spans="1:3" x14ac:dyDescent="0.35">
      <c r="A22" s="178" t="s">
        <v>57</v>
      </c>
      <c r="B22" s="178" t="s">
        <v>247</v>
      </c>
      <c r="C22">
        <v>8348.5300000000007</v>
      </c>
    </row>
    <row r="23" spans="1:3" x14ac:dyDescent="0.35">
      <c r="A23" s="178" t="s">
        <v>57</v>
      </c>
      <c r="B23" s="178" t="s">
        <v>248</v>
      </c>
      <c r="C23">
        <v>16393.78</v>
      </c>
    </row>
    <row r="24" spans="1:3" x14ac:dyDescent="0.35">
      <c r="A24" s="178" t="s">
        <v>57</v>
      </c>
      <c r="B24" s="178" t="s">
        <v>249</v>
      </c>
      <c r="C24">
        <v>11758.72</v>
      </c>
    </row>
    <row r="25" spans="1:3" x14ac:dyDescent="0.35">
      <c r="A25" s="178" t="s">
        <v>57</v>
      </c>
      <c r="B25" s="178" t="s">
        <v>250</v>
      </c>
      <c r="C25">
        <v>28500</v>
      </c>
    </row>
    <row r="26" spans="1:3" x14ac:dyDescent="0.35">
      <c r="A26" s="178" t="s">
        <v>57</v>
      </c>
      <c r="B26" s="178" t="s">
        <v>251</v>
      </c>
      <c r="C26">
        <v>14074.82</v>
      </c>
    </row>
    <row r="27" spans="1:3" x14ac:dyDescent="0.35">
      <c r="A27" s="178" t="s">
        <v>57</v>
      </c>
      <c r="B27" s="178" t="s">
        <v>252</v>
      </c>
      <c r="C27">
        <v>1584.43</v>
      </c>
    </row>
    <row r="28" spans="1:3" x14ac:dyDescent="0.35">
      <c r="A28" s="178" t="s">
        <v>57</v>
      </c>
      <c r="B28" s="178" t="s">
        <v>253</v>
      </c>
      <c r="C28">
        <v>20916.53</v>
      </c>
    </row>
    <row r="29" spans="1:3" x14ac:dyDescent="0.35">
      <c r="A29" s="178" t="s">
        <v>57</v>
      </c>
      <c r="B29" s="178" t="s">
        <v>254</v>
      </c>
      <c r="C29">
        <v>30070.27</v>
      </c>
    </row>
    <row r="30" spans="1:3" x14ac:dyDescent="0.35">
      <c r="A30" s="178" t="s">
        <v>57</v>
      </c>
      <c r="B30" s="178" t="s">
        <v>255</v>
      </c>
      <c r="C30">
        <v>427.25</v>
      </c>
    </row>
    <row r="31" spans="1:3" x14ac:dyDescent="0.35">
      <c r="A31" s="178" t="s">
        <v>57</v>
      </c>
      <c r="B31" s="178" t="s">
        <v>256</v>
      </c>
      <c r="C31">
        <v>40888.75</v>
      </c>
    </row>
    <row r="32" spans="1:3" x14ac:dyDescent="0.35">
      <c r="A32" s="178" t="s">
        <v>57</v>
      </c>
      <c r="B32" s="178" t="s">
        <v>257</v>
      </c>
      <c r="C32">
        <v>6645.37</v>
      </c>
    </row>
    <row r="33" spans="1:4" x14ac:dyDescent="0.35">
      <c r="A33" s="178" t="s">
        <v>57</v>
      </c>
      <c r="B33" s="178" t="s">
        <v>258</v>
      </c>
      <c r="C33">
        <v>161914.43</v>
      </c>
    </row>
    <row r="34" spans="1:4" x14ac:dyDescent="0.35">
      <c r="A34" s="178" t="s">
        <v>57</v>
      </c>
      <c r="B34" s="178" t="s">
        <v>259</v>
      </c>
      <c r="C34">
        <v>3134.56</v>
      </c>
    </row>
    <row r="35" spans="1:4" x14ac:dyDescent="0.35">
      <c r="A35" s="178" t="s">
        <v>57</v>
      </c>
      <c r="B35" s="178" t="s">
        <v>260</v>
      </c>
      <c r="C35">
        <v>373.04</v>
      </c>
    </row>
    <row r="36" spans="1:4" x14ac:dyDescent="0.35">
      <c r="A36" s="178" t="s">
        <v>57</v>
      </c>
      <c r="B36" s="178" t="s">
        <v>261</v>
      </c>
      <c r="C36">
        <v>457771.85</v>
      </c>
    </row>
    <row r="37" spans="1:4" x14ac:dyDescent="0.35">
      <c r="A37" s="178" t="s">
        <v>57</v>
      </c>
      <c r="B37" s="178" t="s">
        <v>262</v>
      </c>
      <c r="C37">
        <v>103377.73</v>
      </c>
    </row>
    <row r="38" spans="1:4" x14ac:dyDescent="0.35">
      <c r="A38" s="178" t="s">
        <v>57</v>
      </c>
      <c r="B38" s="178" t="s">
        <v>263</v>
      </c>
      <c r="C38">
        <v>1791.16</v>
      </c>
    </row>
    <row r="39" spans="1:4" x14ac:dyDescent="0.35">
      <c r="A39" s="178" t="s">
        <v>57</v>
      </c>
      <c r="B39" s="178" t="s">
        <v>264</v>
      </c>
      <c r="C39">
        <v>1365.75</v>
      </c>
    </row>
    <row r="40" spans="1:4" x14ac:dyDescent="0.35">
      <c r="A40" s="178" t="s">
        <v>57</v>
      </c>
      <c r="B40" s="178" t="s">
        <v>265</v>
      </c>
      <c r="C40">
        <v>1560.85</v>
      </c>
    </row>
    <row r="41" spans="1:4" x14ac:dyDescent="0.35">
      <c r="A41" s="178" t="s">
        <v>57</v>
      </c>
      <c r="B41" s="178" t="s">
        <v>266</v>
      </c>
      <c r="C41">
        <v>13503.76</v>
      </c>
    </row>
    <row r="42" spans="1:4" x14ac:dyDescent="0.35">
      <c r="A42" s="178" t="s">
        <v>57</v>
      </c>
      <c r="B42" s="178" t="s">
        <v>267</v>
      </c>
      <c r="C42">
        <v>49800.7</v>
      </c>
      <c r="D42">
        <v>988310.05</v>
      </c>
    </row>
    <row r="43" spans="1:4" x14ac:dyDescent="0.35">
      <c r="A43" s="178" t="s">
        <v>268</v>
      </c>
      <c r="B43" s="178" t="s">
        <v>57</v>
      </c>
      <c r="C43">
        <v>1168520.22</v>
      </c>
    </row>
    <row r="44" spans="1:4" x14ac:dyDescent="0.35">
      <c r="A44" s="178" t="s">
        <v>269</v>
      </c>
    </row>
    <row r="45" spans="1:4" x14ac:dyDescent="0.35">
      <c r="A45" s="178" t="s">
        <v>270</v>
      </c>
    </row>
    <row r="46" spans="1:4" x14ac:dyDescent="0.35">
      <c r="A46" s="178" t="s">
        <v>271</v>
      </c>
      <c r="B46" s="178" t="s">
        <v>57</v>
      </c>
      <c r="C46">
        <v>1168520.22</v>
      </c>
    </row>
  </sheetData>
  <pageMargins left="0.70866141732283472" right="0.70866141732283472" top="0.74803149606299213" bottom="0.74803149606299213" header="0.31496062992125984" footer="0.31496062992125984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58"/>
  <sheetViews>
    <sheetView topLeftCell="A4" workbookViewId="0">
      <selection activeCell="A4" sqref="A1:XFD1048576"/>
    </sheetView>
  </sheetViews>
  <sheetFormatPr defaultRowHeight="14.5" x14ac:dyDescent="0.35"/>
  <sheetData>
    <row r="1" spans="1:2" x14ac:dyDescent="0.35">
      <c r="A1" s="178"/>
    </row>
    <row r="2" spans="1:2" x14ac:dyDescent="0.35">
      <c r="A2" s="178"/>
    </row>
    <row r="3" spans="1:2" x14ac:dyDescent="0.35">
      <c r="A3" s="178"/>
    </row>
    <row r="4" spans="1:2" x14ac:dyDescent="0.35">
      <c r="A4" s="178"/>
      <c r="B4" s="178"/>
    </row>
    <row r="5" spans="1:2" x14ac:dyDescent="0.35">
      <c r="A5" s="178"/>
      <c r="B5" s="178"/>
    </row>
    <row r="6" spans="1:2" x14ac:dyDescent="0.35">
      <c r="A6" s="178"/>
      <c r="B6" s="178"/>
    </row>
    <row r="7" spans="1:2" x14ac:dyDescent="0.35">
      <c r="A7" s="178"/>
    </row>
    <row r="8" spans="1:2" x14ac:dyDescent="0.35">
      <c r="A8" s="178"/>
      <c r="B8" s="178"/>
    </row>
    <row r="9" spans="1:2" x14ac:dyDescent="0.35">
      <c r="A9" s="178"/>
      <c r="B9" s="178"/>
    </row>
    <row r="10" spans="1:2" x14ac:dyDescent="0.35">
      <c r="A10" s="178"/>
      <c r="B10" s="178"/>
    </row>
    <row r="11" spans="1:2" x14ac:dyDescent="0.35">
      <c r="A11" s="178"/>
      <c r="B11" s="178"/>
    </row>
    <row r="12" spans="1:2" x14ac:dyDescent="0.35">
      <c r="A12" s="178"/>
      <c r="B12" s="178"/>
    </row>
    <row r="13" spans="1:2" x14ac:dyDescent="0.35">
      <c r="A13" s="178"/>
    </row>
    <row r="14" spans="1:2" x14ac:dyDescent="0.35">
      <c r="A14" s="178"/>
      <c r="B14" s="178"/>
    </row>
    <row r="15" spans="1:2" x14ac:dyDescent="0.35">
      <c r="A15" s="178"/>
      <c r="B15" s="178"/>
    </row>
    <row r="16" spans="1:2" x14ac:dyDescent="0.35">
      <c r="A16" s="178"/>
      <c r="B16" s="178"/>
    </row>
    <row r="17" spans="1:2" x14ac:dyDescent="0.35">
      <c r="A17" s="178"/>
      <c r="B17" s="178"/>
    </row>
    <row r="18" spans="1:2" x14ac:dyDescent="0.35">
      <c r="A18" s="178"/>
      <c r="B18" s="178"/>
    </row>
    <row r="19" spans="1:2" x14ac:dyDescent="0.35">
      <c r="A19" s="178"/>
      <c r="B19" s="178"/>
    </row>
    <row r="20" spans="1:2" x14ac:dyDescent="0.35">
      <c r="A20" s="178"/>
    </row>
    <row r="21" spans="1:2" x14ac:dyDescent="0.35">
      <c r="A21" s="178"/>
      <c r="B21" s="178"/>
    </row>
    <row r="22" spans="1:2" x14ac:dyDescent="0.35">
      <c r="A22" s="178"/>
      <c r="B22" s="178"/>
    </row>
    <row r="23" spans="1:2" x14ac:dyDescent="0.35">
      <c r="A23" s="178"/>
      <c r="B23" s="178"/>
    </row>
    <row r="24" spans="1:2" x14ac:dyDescent="0.35">
      <c r="A24" s="178"/>
      <c r="B24" s="178"/>
    </row>
    <row r="25" spans="1:2" x14ac:dyDescent="0.35">
      <c r="A25" s="178"/>
      <c r="B25" s="178"/>
    </row>
    <row r="26" spans="1:2" x14ac:dyDescent="0.35">
      <c r="A26" s="178"/>
      <c r="B26" s="178"/>
    </row>
    <row r="27" spans="1:2" x14ac:dyDescent="0.35">
      <c r="A27" s="178"/>
      <c r="B27" s="178"/>
    </row>
    <row r="28" spans="1:2" x14ac:dyDescent="0.35">
      <c r="A28" s="178"/>
      <c r="B28" s="178"/>
    </row>
    <row r="29" spans="1:2" x14ac:dyDescent="0.35">
      <c r="A29" s="178"/>
      <c r="B29" s="178"/>
    </row>
    <row r="30" spans="1:2" x14ac:dyDescent="0.35">
      <c r="A30" s="178"/>
      <c r="B30" s="178"/>
    </row>
    <row r="31" spans="1:2" x14ac:dyDescent="0.35">
      <c r="A31" s="178"/>
      <c r="B31" s="178"/>
    </row>
    <row r="32" spans="1:2" x14ac:dyDescent="0.35">
      <c r="A32" s="178"/>
      <c r="B32" s="178"/>
    </row>
    <row r="33" spans="1:2" x14ac:dyDescent="0.35">
      <c r="A33" s="178"/>
      <c r="B33" s="178"/>
    </row>
    <row r="34" spans="1:2" x14ac:dyDescent="0.35">
      <c r="A34" s="178"/>
      <c r="B34" s="178"/>
    </row>
    <row r="35" spans="1:2" x14ac:dyDescent="0.35">
      <c r="A35" s="178"/>
      <c r="B35" s="178"/>
    </row>
    <row r="36" spans="1:2" x14ac:dyDescent="0.35">
      <c r="A36" s="178"/>
      <c r="B36" s="178"/>
    </row>
    <row r="37" spans="1:2" x14ac:dyDescent="0.35">
      <c r="A37" s="178"/>
      <c r="B37" s="178"/>
    </row>
    <row r="38" spans="1:2" x14ac:dyDescent="0.35">
      <c r="A38" s="178"/>
      <c r="B38" s="178"/>
    </row>
    <row r="39" spans="1:2" x14ac:dyDescent="0.35">
      <c r="A39" s="178"/>
      <c r="B39" s="178"/>
    </row>
    <row r="40" spans="1:2" x14ac:dyDescent="0.35">
      <c r="A40" s="178"/>
      <c r="B40" s="178"/>
    </row>
    <row r="41" spans="1:2" x14ac:dyDescent="0.35">
      <c r="A41" s="178"/>
      <c r="B41" s="178"/>
    </row>
    <row r="42" spans="1:2" x14ac:dyDescent="0.35">
      <c r="A42" s="178"/>
      <c r="B42" s="178"/>
    </row>
    <row r="43" spans="1:2" x14ac:dyDescent="0.35">
      <c r="A43" s="178"/>
      <c r="B43" s="178"/>
    </row>
    <row r="44" spans="1:2" x14ac:dyDescent="0.35">
      <c r="A44" s="178"/>
      <c r="B44" s="178"/>
    </row>
    <row r="45" spans="1:2" x14ac:dyDescent="0.35">
      <c r="A45" s="178"/>
      <c r="B45" s="178"/>
    </row>
    <row r="46" spans="1:2" x14ac:dyDescent="0.35">
      <c r="A46" s="178"/>
      <c r="B46" s="178"/>
    </row>
    <row r="47" spans="1:2" x14ac:dyDescent="0.35">
      <c r="A47" s="178"/>
      <c r="B47" s="178"/>
    </row>
    <row r="48" spans="1:2" x14ac:dyDescent="0.35">
      <c r="A48" s="178"/>
      <c r="B48" s="178"/>
    </row>
    <row r="49" spans="1:2" x14ac:dyDescent="0.35">
      <c r="A49" s="178"/>
      <c r="B49" s="178"/>
    </row>
    <row r="50" spans="1:2" x14ac:dyDescent="0.35">
      <c r="A50" s="178"/>
      <c r="B50" s="178"/>
    </row>
    <row r="51" spans="1:2" x14ac:dyDescent="0.35">
      <c r="A51" s="178"/>
      <c r="B51" s="178"/>
    </row>
    <row r="52" spans="1:2" x14ac:dyDescent="0.35">
      <c r="A52" s="178"/>
      <c r="B52" s="178"/>
    </row>
    <row r="53" spans="1:2" x14ac:dyDescent="0.35">
      <c r="A53" s="178"/>
      <c r="B53" s="178"/>
    </row>
    <row r="54" spans="1:2" x14ac:dyDescent="0.35">
      <c r="A54" s="178"/>
      <c r="B54" s="178"/>
    </row>
    <row r="55" spans="1:2" x14ac:dyDescent="0.35">
      <c r="A55" s="178"/>
    </row>
    <row r="56" spans="1:2" x14ac:dyDescent="0.35">
      <c r="A56" s="178"/>
    </row>
    <row r="57" spans="1:2" x14ac:dyDescent="0.35">
      <c r="A57" s="178"/>
      <c r="B57" s="178"/>
    </row>
    <row r="58" spans="1:2" x14ac:dyDescent="0.35">
      <c r="A58" s="178"/>
      <c r="B58" s="178"/>
    </row>
  </sheetData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268"/>
  <sheetViews>
    <sheetView topLeftCell="A178" workbookViewId="0">
      <selection activeCell="B1" sqref="B1:C1048576"/>
    </sheetView>
  </sheetViews>
  <sheetFormatPr defaultRowHeight="14.5" x14ac:dyDescent="0.35"/>
  <cols>
    <col min="1" max="1" width="62.1796875" bestFit="1" customWidth="1"/>
    <col min="2" max="2" width="10.90625" style="179" bestFit="1" customWidth="1"/>
    <col min="3" max="5" width="12.36328125" style="179" bestFit="1" customWidth="1"/>
  </cols>
  <sheetData>
    <row r="1" spans="1:7" x14ac:dyDescent="0.35">
      <c r="A1" s="178" t="s">
        <v>56</v>
      </c>
      <c r="B1"/>
      <c r="C1"/>
      <c r="D1"/>
      <c r="E1"/>
    </row>
    <row r="2" spans="1:7" x14ac:dyDescent="0.35">
      <c r="A2" s="178" t="s">
        <v>2842</v>
      </c>
      <c r="B2"/>
      <c r="C2"/>
      <c r="D2"/>
      <c r="E2"/>
    </row>
    <row r="3" spans="1:7" x14ac:dyDescent="0.35">
      <c r="A3" s="178" t="s">
        <v>2843</v>
      </c>
      <c r="B3" s="178" t="s">
        <v>2844</v>
      </c>
      <c r="C3" s="178" t="s">
        <v>2845</v>
      </c>
      <c r="D3" s="178" t="s">
        <v>2846</v>
      </c>
      <c r="E3" s="178" t="s">
        <v>2847</v>
      </c>
      <c r="F3" s="178" t="s">
        <v>2848</v>
      </c>
      <c r="G3" s="178" t="s">
        <v>2849</v>
      </c>
    </row>
    <row r="4" spans="1:7" x14ac:dyDescent="0.35">
      <c r="A4" s="178" t="s">
        <v>2850</v>
      </c>
      <c r="B4">
        <v>0</v>
      </c>
      <c r="C4">
        <v>0</v>
      </c>
      <c r="D4">
        <v>0</v>
      </c>
      <c r="E4">
        <v>0</v>
      </c>
      <c r="F4">
        <v>7717.55</v>
      </c>
      <c r="G4">
        <v>7717.55</v>
      </c>
    </row>
    <row r="5" spans="1:7" x14ac:dyDescent="0.35">
      <c r="A5" s="178" t="s">
        <v>2851</v>
      </c>
      <c r="B5">
        <v>0</v>
      </c>
      <c r="C5">
        <v>0</v>
      </c>
      <c r="D5">
        <v>0</v>
      </c>
      <c r="E5">
        <v>134433.06</v>
      </c>
      <c r="F5">
        <v>358395.37</v>
      </c>
      <c r="G5">
        <v>492828.43</v>
      </c>
    </row>
    <row r="6" spans="1:7" x14ac:dyDescent="0.35">
      <c r="A6" s="178" t="s">
        <v>2852</v>
      </c>
      <c r="B6">
        <v>0</v>
      </c>
      <c r="C6">
        <v>2304.0500000000002</v>
      </c>
      <c r="D6">
        <v>13760.11</v>
      </c>
      <c r="E6">
        <v>77520.47</v>
      </c>
      <c r="F6">
        <v>30209</v>
      </c>
      <c r="G6">
        <v>123793.63</v>
      </c>
    </row>
    <row r="7" spans="1:7" x14ac:dyDescent="0.35">
      <c r="A7" s="178" t="s">
        <v>2853</v>
      </c>
      <c r="B7">
        <v>0</v>
      </c>
      <c r="C7">
        <v>0</v>
      </c>
      <c r="D7">
        <v>0</v>
      </c>
      <c r="E7">
        <v>0</v>
      </c>
      <c r="F7">
        <v>74257.8</v>
      </c>
      <c r="G7">
        <v>74257.8</v>
      </c>
    </row>
    <row r="8" spans="1:7" x14ac:dyDescent="0.35">
      <c r="A8" s="178" t="s">
        <v>2854</v>
      </c>
      <c r="B8">
        <v>0</v>
      </c>
      <c r="C8">
        <v>0</v>
      </c>
      <c r="D8">
        <v>0</v>
      </c>
      <c r="E8">
        <v>0</v>
      </c>
      <c r="F8">
        <v>18.89</v>
      </c>
      <c r="G8">
        <v>18.89</v>
      </c>
    </row>
    <row r="9" spans="1:7" x14ac:dyDescent="0.35">
      <c r="A9" s="178" t="s">
        <v>2855</v>
      </c>
      <c r="B9">
        <v>0</v>
      </c>
      <c r="C9">
        <v>0</v>
      </c>
      <c r="D9">
        <v>0</v>
      </c>
      <c r="E9">
        <v>15486.13</v>
      </c>
      <c r="F9">
        <v>30491.74</v>
      </c>
      <c r="G9">
        <v>45977.87</v>
      </c>
    </row>
    <row r="10" spans="1:7" x14ac:dyDescent="0.35">
      <c r="A10" s="178" t="s">
        <v>2856</v>
      </c>
      <c r="B10">
        <v>0</v>
      </c>
      <c r="C10">
        <v>0</v>
      </c>
      <c r="D10">
        <v>0</v>
      </c>
      <c r="E10">
        <v>0</v>
      </c>
      <c r="F10">
        <v>19504.990000000002</v>
      </c>
      <c r="G10">
        <v>19504.990000000002</v>
      </c>
    </row>
    <row r="11" spans="1:7" x14ac:dyDescent="0.35">
      <c r="A11" s="178" t="s">
        <v>2857</v>
      </c>
      <c r="B11">
        <v>0</v>
      </c>
      <c r="C11">
        <v>0</v>
      </c>
      <c r="D11">
        <v>0</v>
      </c>
      <c r="E11">
        <v>0</v>
      </c>
      <c r="F11">
        <v>168.08</v>
      </c>
      <c r="G11">
        <v>168.08</v>
      </c>
    </row>
    <row r="12" spans="1:7" x14ac:dyDescent="0.35">
      <c r="A12" s="178" t="s">
        <v>2858</v>
      </c>
      <c r="B12">
        <v>0</v>
      </c>
      <c r="C12">
        <v>0</v>
      </c>
      <c r="D12">
        <v>0</v>
      </c>
      <c r="E12">
        <v>10012.25</v>
      </c>
      <c r="F12">
        <v>18377.060000000001</v>
      </c>
      <c r="G12">
        <v>28389.31</v>
      </c>
    </row>
    <row r="13" spans="1:7" x14ac:dyDescent="0.35">
      <c r="A13" s="178" t="s">
        <v>2859</v>
      </c>
      <c r="B13">
        <v>0</v>
      </c>
      <c r="C13">
        <v>0</v>
      </c>
      <c r="D13">
        <v>0</v>
      </c>
      <c r="E13">
        <v>0</v>
      </c>
      <c r="F13">
        <v>11436.24</v>
      </c>
      <c r="G13">
        <v>11436.24</v>
      </c>
    </row>
    <row r="14" spans="1:7" x14ac:dyDescent="0.35">
      <c r="A14" s="178" t="s">
        <v>2860</v>
      </c>
      <c r="B14">
        <v>0</v>
      </c>
      <c r="C14">
        <v>0</v>
      </c>
      <c r="D14">
        <v>0</v>
      </c>
      <c r="E14">
        <v>13006.16</v>
      </c>
      <c r="F14">
        <v>34813.61</v>
      </c>
      <c r="G14">
        <v>47819.77</v>
      </c>
    </row>
    <row r="15" spans="1:7" x14ac:dyDescent="0.35">
      <c r="A15" s="178" t="s">
        <v>2861</v>
      </c>
      <c r="B15">
        <v>0</v>
      </c>
      <c r="C15">
        <v>0</v>
      </c>
      <c r="D15">
        <v>0</v>
      </c>
      <c r="E15">
        <v>8494.44</v>
      </c>
      <c r="F15">
        <v>1790.89</v>
      </c>
      <c r="G15">
        <v>10285.33</v>
      </c>
    </row>
    <row r="16" spans="1:7" x14ac:dyDescent="0.35">
      <c r="A16" s="178" t="s">
        <v>2862</v>
      </c>
      <c r="B16">
        <v>0</v>
      </c>
      <c r="C16">
        <v>0</v>
      </c>
      <c r="D16">
        <v>0</v>
      </c>
      <c r="E16">
        <v>0</v>
      </c>
      <c r="F16">
        <v>3707.38</v>
      </c>
      <c r="G16">
        <v>3707.38</v>
      </c>
    </row>
    <row r="17" spans="1:7" x14ac:dyDescent="0.35">
      <c r="A17" s="178" t="s">
        <v>2863</v>
      </c>
      <c r="B17">
        <v>0</v>
      </c>
      <c r="C17">
        <v>21053.94</v>
      </c>
      <c r="D17">
        <v>242809.08</v>
      </c>
      <c r="E17">
        <v>196116.04</v>
      </c>
      <c r="F17">
        <v>520489.78</v>
      </c>
      <c r="G17">
        <v>980468.84</v>
      </c>
    </row>
    <row r="18" spans="1:7" x14ac:dyDescent="0.35">
      <c r="A18" s="178" t="s">
        <v>2864</v>
      </c>
      <c r="B18">
        <v>0</v>
      </c>
      <c r="C18">
        <v>0</v>
      </c>
      <c r="D18">
        <v>0</v>
      </c>
      <c r="E18">
        <v>0</v>
      </c>
      <c r="F18">
        <v>9713.36</v>
      </c>
      <c r="G18">
        <v>9713.36</v>
      </c>
    </row>
    <row r="19" spans="1:7" x14ac:dyDescent="0.35">
      <c r="A19" s="178" t="s">
        <v>2865</v>
      </c>
      <c r="B19">
        <v>0</v>
      </c>
      <c r="C19">
        <v>0</v>
      </c>
      <c r="D19">
        <v>0</v>
      </c>
      <c r="E19">
        <v>3512.21</v>
      </c>
      <c r="F19">
        <v>16707.759999999998</v>
      </c>
      <c r="G19">
        <v>20219.97</v>
      </c>
    </row>
    <row r="20" spans="1:7" x14ac:dyDescent="0.35">
      <c r="A20" s="178" t="s">
        <v>2866</v>
      </c>
      <c r="B20">
        <v>0</v>
      </c>
      <c r="C20">
        <v>0</v>
      </c>
      <c r="D20">
        <v>9132.09</v>
      </c>
      <c r="E20">
        <v>0</v>
      </c>
      <c r="F20">
        <v>8188.11</v>
      </c>
      <c r="G20">
        <v>17320.2</v>
      </c>
    </row>
    <row r="21" spans="1:7" x14ac:dyDescent="0.35">
      <c r="A21" s="178" t="s">
        <v>2867</v>
      </c>
      <c r="B21">
        <v>0</v>
      </c>
      <c r="C21">
        <v>0</v>
      </c>
      <c r="D21">
        <v>0</v>
      </c>
      <c r="E21">
        <v>8345.5499999999993</v>
      </c>
      <c r="F21">
        <v>42763.06</v>
      </c>
      <c r="G21">
        <v>51108.61</v>
      </c>
    </row>
    <row r="22" spans="1:7" x14ac:dyDescent="0.35">
      <c r="A22" s="178" t="s">
        <v>2868</v>
      </c>
      <c r="B22">
        <v>0</v>
      </c>
      <c r="C22">
        <v>0</v>
      </c>
      <c r="D22">
        <v>0</v>
      </c>
      <c r="E22">
        <v>0</v>
      </c>
      <c r="F22">
        <v>1593.9</v>
      </c>
      <c r="G22">
        <v>1593.9</v>
      </c>
    </row>
    <row r="23" spans="1:7" x14ac:dyDescent="0.35">
      <c r="A23" s="178" t="s">
        <v>2869</v>
      </c>
      <c r="B23">
        <v>0</v>
      </c>
      <c r="C23">
        <v>0</v>
      </c>
      <c r="D23">
        <v>0</v>
      </c>
      <c r="E23">
        <v>0</v>
      </c>
      <c r="F23">
        <v>1928.21</v>
      </c>
      <c r="G23">
        <v>1928.21</v>
      </c>
    </row>
    <row r="24" spans="1:7" x14ac:dyDescent="0.35">
      <c r="A24" s="178" t="s">
        <v>2870</v>
      </c>
      <c r="B24">
        <v>0</v>
      </c>
      <c r="C24">
        <v>0</v>
      </c>
      <c r="D24">
        <v>0</v>
      </c>
      <c r="E24">
        <v>72521.350000000006</v>
      </c>
      <c r="F24">
        <v>63784.31</v>
      </c>
      <c r="G24">
        <v>136305.66</v>
      </c>
    </row>
    <row r="25" spans="1:7" x14ac:dyDescent="0.35">
      <c r="A25" s="178" t="s">
        <v>2871</v>
      </c>
      <c r="B25">
        <v>0</v>
      </c>
      <c r="C25">
        <v>0</v>
      </c>
      <c r="D25">
        <v>0</v>
      </c>
      <c r="E25">
        <v>10058.02</v>
      </c>
      <c r="F25">
        <v>2612.5700000000002</v>
      </c>
      <c r="G25">
        <v>12670.59</v>
      </c>
    </row>
    <row r="26" spans="1:7" x14ac:dyDescent="0.35">
      <c r="A26" s="178" t="s">
        <v>2872</v>
      </c>
      <c r="B26">
        <v>0</v>
      </c>
      <c r="C26">
        <v>0</v>
      </c>
      <c r="D26">
        <v>0</v>
      </c>
      <c r="E26">
        <v>29642.81</v>
      </c>
      <c r="F26">
        <v>31445.43</v>
      </c>
      <c r="G26">
        <v>61088.24</v>
      </c>
    </row>
    <row r="27" spans="1:7" x14ac:dyDescent="0.35">
      <c r="A27" s="178" t="s">
        <v>2873</v>
      </c>
      <c r="B27">
        <v>0</v>
      </c>
      <c r="C27">
        <v>0</v>
      </c>
      <c r="D27">
        <v>0</v>
      </c>
      <c r="E27">
        <v>13884.42</v>
      </c>
      <c r="F27">
        <v>20934.32</v>
      </c>
      <c r="G27">
        <v>34818.74</v>
      </c>
    </row>
    <row r="28" spans="1:7" x14ac:dyDescent="0.35">
      <c r="A28" s="178" t="s">
        <v>2874</v>
      </c>
      <c r="B28">
        <v>0</v>
      </c>
      <c r="C28">
        <v>0</v>
      </c>
      <c r="D28">
        <v>0</v>
      </c>
      <c r="E28">
        <v>22236.69</v>
      </c>
      <c r="F28">
        <v>4007.53</v>
      </c>
      <c r="G28">
        <v>26244.22</v>
      </c>
    </row>
    <row r="29" spans="1:7" x14ac:dyDescent="0.35">
      <c r="A29" s="178" t="s">
        <v>2875</v>
      </c>
      <c r="B29">
        <v>0</v>
      </c>
      <c r="C29">
        <v>0</v>
      </c>
      <c r="D29">
        <v>0</v>
      </c>
      <c r="E29">
        <v>33837.85</v>
      </c>
      <c r="F29">
        <v>28702.52</v>
      </c>
      <c r="G29">
        <v>62540.37</v>
      </c>
    </row>
    <row r="30" spans="1:7" x14ac:dyDescent="0.35">
      <c r="A30" s="178" t="s">
        <v>2876</v>
      </c>
      <c r="B30">
        <v>0</v>
      </c>
      <c r="C30">
        <v>0</v>
      </c>
      <c r="D30">
        <v>0</v>
      </c>
      <c r="E30">
        <v>33080.04</v>
      </c>
      <c r="F30">
        <v>56813.52</v>
      </c>
      <c r="G30">
        <v>89893.56</v>
      </c>
    </row>
    <row r="31" spans="1:7" x14ac:dyDescent="0.35">
      <c r="A31" s="178" t="s">
        <v>2877</v>
      </c>
      <c r="B31">
        <v>0</v>
      </c>
      <c r="C31">
        <v>0</v>
      </c>
      <c r="D31">
        <v>0</v>
      </c>
      <c r="E31">
        <v>0</v>
      </c>
      <c r="F31">
        <v>31987.5</v>
      </c>
      <c r="G31">
        <v>31987.5</v>
      </c>
    </row>
    <row r="32" spans="1:7" x14ac:dyDescent="0.35">
      <c r="A32" s="178" t="s">
        <v>2878</v>
      </c>
      <c r="B32">
        <v>0</v>
      </c>
      <c r="C32">
        <v>0</v>
      </c>
      <c r="D32">
        <v>0</v>
      </c>
      <c r="E32">
        <v>0</v>
      </c>
      <c r="F32">
        <v>7433.15</v>
      </c>
      <c r="G32">
        <v>7433.15</v>
      </c>
    </row>
    <row r="33" spans="1:7" x14ac:dyDescent="0.35">
      <c r="A33" s="178" t="s">
        <v>2879</v>
      </c>
      <c r="B33">
        <v>0</v>
      </c>
      <c r="C33">
        <v>0</v>
      </c>
      <c r="D33">
        <v>0</v>
      </c>
      <c r="E33">
        <v>5925.49</v>
      </c>
      <c r="F33">
        <v>14641.59</v>
      </c>
      <c r="G33">
        <v>20567.080000000002</v>
      </c>
    </row>
    <row r="34" spans="1:7" x14ac:dyDescent="0.35">
      <c r="A34" s="178" t="s">
        <v>2880</v>
      </c>
      <c r="B34">
        <v>0</v>
      </c>
      <c r="C34">
        <v>0</v>
      </c>
      <c r="D34">
        <v>0</v>
      </c>
      <c r="E34">
        <v>853.99</v>
      </c>
      <c r="F34">
        <v>17215.04</v>
      </c>
      <c r="G34">
        <v>18069.03</v>
      </c>
    </row>
    <row r="35" spans="1:7" x14ac:dyDescent="0.35">
      <c r="A35" s="178" t="s">
        <v>2881</v>
      </c>
      <c r="B35">
        <v>0</v>
      </c>
      <c r="C35">
        <v>0</v>
      </c>
      <c r="D35">
        <v>3114.66</v>
      </c>
      <c r="E35">
        <v>3463.57</v>
      </c>
      <c r="F35">
        <v>0</v>
      </c>
      <c r="G35">
        <v>6578.23</v>
      </c>
    </row>
    <row r="36" spans="1:7" x14ac:dyDescent="0.35">
      <c r="A36" s="178" t="s">
        <v>2882</v>
      </c>
      <c r="B36">
        <v>0</v>
      </c>
      <c r="C36">
        <v>0</v>
      </c>
      <c r="D36">
        <v>0</v>
      </c>
      <c r="E36">
        <v>74150.509999999995</v>
      </c>
      <c r="F36">
        <v>0</v>
      </c>
      <c r="G36">
        <v>74150.509999999995</v>
      </c>
    </row>
    <row r="37" spans="1:7" x14ac:dyDescent="0.35">
      <c r="A37" s="178" t="s">
        <v>2883</v>
      </c>
      <c r="B37">
        <v>0</v>
      </c>
      <c r="C37">
        <v>0</v>
      </c>
      <c r="D37">
        <v>0</v>
      </c>
      <c r="E37">
        <v>26883.9</v>
      </c>
      <c r="F37">
        <v>15790.95</v>
      </c>
      <c r="G37">
        <v>42674.85</v>
      </c>
    </row>
    <row r="38" spans="1:7" x14ac:dyDescent="0.35">
      <c r="A38" s="178" t="s">
        <v>2884</v>
      </c>
      <c r="B38">
        <v>2907.63</v>
      </c>
      <c r="C38">
        <v>0</v>
      </c>
      <c r="D38">
        <v>0</v>
      </c>
      <c r="E38">
        <v>0</v>
      </c>
      <c r="F38">
        <v>0</v>
      </c>
      <c r="G38">
        <v>2907.63</v>
      </c>
    </row>
    <row r="39" spans="1:7" x14ac:dyDescent="0.35">
      <c r="A39" s="178" t="s">
        <v>2885</v>
      </c>
      <c r="B39">
        <v>0</v>
      </c>
      <c r="C39">
        <v>0</v>
      </c>
      <c r="D39">
        <v>0</v>
      </c>
      <c r="E39">
        <v>0</v>
      </c>
      <c r="F39">
        <v>907.53</v>
      </c>
      <c r="G39">
        <v>907.53</v>
      </c>
    </row>
    <row r="40" spans="1:7" x14ac:dyDescent="0.35">
      <c r="A40" s="178" t="s">
        <v>2886</v>
      </c>
      <c r="B40">
        <v>13643.48</v>
      </c>
      <c r="C40">
        <v>24363.69</v>
      </c>
      <c r="D40">
        <v>12621.89</v>
      </c>
      <c r="E40">
        <v>0</v>
      </c>
      <c r="F40">
        <v>0</v>
      </c>
      <c r="G40">
        <v>50629.06</v>
      </c>
    </row>
    <row r="41" spans="1:7" x14ac:dyDescent="0.35">
      <c r="A41" s="178" t="s">
        <v>2887</v>
      </c>
      <c r="B41">
        <v>0</v>
      </c>
      <c r="C41">
        <v>0</v>
      </c>
      <c r="D41">
        <v>0</v>
      </c>
      <c r="E41">
        <v>0</v>
      </c>
      <c r="F41">
        <v>79369.66</v>
      </c>
      <c r="G41">
        <v>79369.66</v>
      </c>
    </row>
    <row r="42" spans="1:7" x14ac:dyDescent="0.35">
      <c r="A42" s="178" t="s">
        <v>2888</v>
      </c>
      <c r="B42">
        <v>0</v>
      </c>
      <c r="C42">
        <v>0</v>
      </c>
      <c r="D42">
        <v>0</v>
      </c>
      <c r="E42">
        <v>0</v>
      </c>
      <c r="F42">
        <v>75559.600000000006</v>
      </c>
      <c r="G42">
        <v>75559.600000000006</v>
      </c>
    </row>
    <row r="43" spans="1:7" x14ac:dyDescent="0.35">
      <c r="A43" s="178" t="s">
        <v>2889</v>
      </c>
      <c r="B43">
        <v>0</v>
      </c>
      <c r="C43">
        <v>0</v>
      </c>
      <c r="D43">
        <v>0</v>
      </c>
      <c r="E43">
        <v>0</v>
      </c>
      <c r="F43">
        <v>3643.78</v>
      </c>
      <c r="G43">
        <v>3643.78</v>
      </c>
    </row>
    <row r="44" spans="1:7" x14ac:dyDescent="0.35">
      <c r="A44" s="178" t="s">
        <v>2890</v>
      </c>
      <c r="B44">
        <v>0</v>
      </c>
      <c r="C44">
        <v>0</v>
      </c>
      <c r="D44">
        <v>0</v>
      </c>
      <c r="E44">
        <v>0</v>
      </c>
      <c r="F44">
        <v>159728.03</v>
      </c>
      <c r="G44">
        <v>159728.03</v>
      </c>
    </row>
    <row r="45" spans="1:7" x14ac:dyDescent="0.35">
      <c r="A45" s="178" t="s">
        <v>2891</v>
      </c>
      <c r="B45">
        <v>0</v>
      </c>
      <c r="C45">
        <v>0</v>
      </c>
      <c r="D45">
        <v>0</v>
      </c>
      <c r="E45">
        <v>0</v>
      </c>
      <c r="F45">
        <v>21079.5</v>
      </c>
      <c r="G45">
        <v>21079.5</v>
      </c>
    </row>
    <row r="46" spans="1:7" x14ac:dyDescent="0.35">
      <c r="A46" s="178" t="s">
        <v>2892</v>
      </c>
      <c r="B46">
        <v>0</v>
      </c>
      <c r="C46">
        <v>0</v>
      </c>
      <c r="D46">
        <v>0</v>
      </c>
      <c r="E46">
        <v>43155.14</v>
      </c>
      <c r="F46">
        <v>13105.4</v>
      </c>
      <c r="G46">
        <v>56260.54</v>
      </c>
    </row>
    <row r="47" spans="1:7" x14ac:dyDescent="0.35">
      <c r="A47" s="178" t="s">
        <v>2893</v>
      </c>
      <c r="B47">
        <v>0</v>
      </c>
      <c r="C47">
        <v>0</v>
      </c>
      <c r="D47">
        <v>0</v>
      </c>
      <c r="E47">
        <v>19333.419999999998</v>
      </c>
      <c r="F47">
        <v>38518.5</v>
      </c>
      <c r="G47">
        <v>57851.92</v>
      </c>
    </row>
    <row r="48" spans="1:7" x14ac:dyDescent="0.35">
      <c r="A48" s="178" t="s">
        <v>2894</v>
      </c>
      <c r="B48">
        <v>0</v>
      </c>
      <c r="C48">
        <v>0</v>
      </c>
      <c r="D48">
        <v>0</v>
      </c>
      <c r="E48">
        <v>0</v>
      </c>
      <c r="F48">
        <v>3351.62</v>
      </c>
      <c r="G48">
        <v>3351.62</v>
      </c>
    </row>
    <row r="49" spans="1:7" x14ac:dyDescent="0.35">
      <c r="A49" s="178" t="s">
        <v>2895</v>
      </c>
      <c r="B49">
        <v>0</v>
      </c>
      <c r="C49">
        <v>0</v>
      </c>
      <c r="D49">
        <v>0</v>
      </c>
      <c r="E49">
        <v>476145.36</v>
      </c>
      <c r="F49">
        <v>143841.45000000001</v>
      </c>
      <c r="G49">
        <v>619986.81000000006</v>
      </c>
    </row>
    <row r="50" spans="1:7" x14ac:dyDescent="0.35">
      <c r="A50" s="178" t="s">
        <v>2896</v>
      </c>
      <c r="B50">
        <v>0</v>
      </c>
      <c r="C50">
        <v>0</v>
      </c>
      <c r="D50">
        <v>0</v>
      </c>
      <c r="E50">
        <v>0</v>
      </c>
      <c r="F50">
        <v>2894.78</v>
      </c>
      <c r="G50">
        <v>2894.78</v>
      </c>
    </row>
    <row r="51" spans="1:7" x14ac:dyDescent="0.35">
      <c r="A51" s="178" t="s">
        <v>2897</v>
      </c>
      <c r="B51">
        <v>0</v>
      </c>
      <c r="C51">
        <v>0</v>
      </c>
      <c r="D51">
        <v>0</v>
      </c>
      <c r="E51">
        <v>0</v>
      </c>
      <c r="F51">
        <v>1022</v>
      </c>
      <c r="G51">
        <v>1022</v>
      </c>
    </row>
    <row r="52" spans="1:7" x14ac:dyDescent="0.35">
      <c r="A52" s="178" t="s">
        <v>2898</v>
      </c>
      <c r="B52">
        <v>0</v>
      </c>
      <c r="C52">
        <v>0</v>
      </c>
      <c r="D52">
        <v>0</v>
      </c>
      <c r="E52">
        <v>80162.33</v>
      </c>
      <c r="F52">
        <v>43167.15</v>
      </c>
      <c r="G52">
        <v>123329.48</v>
      </c>
    </row>
    <row r="53" spans="1:7" x14ac:dyDescent="0.35">
      <c r="A53" s="178" t="s">
        <v>2899</v>
      </c>
      <c r="B53">
        <v>0</v>
      </c>
      <c r="C53">
        <v>0</v>
      </c>
      <c r="D53">
        <v>0</v>
      </c>
      <c r="E53">
        <v>0</v>
      </c>
      <c r="F53">
        <v>4341.72</v>
      </c>
      <c r="G53">
        <v>4341.72</v>
      </c>
    </row>
    <row r="54" spans="1:7" x14ac:dyDescent="0.35">
      <c r="A54" s="178" t="s">
        <v>2900</v>
      </c>
      <c r="B54">
        <v>0</v>
      </c>
      <c r="C54">
        <v>0</v>
      </c>
      <c r="D54">
        <v>0</v>
      </c>
      <c r="E54">
        <v>0</v>
      </c>
      <c r="F54">
        <v>121739.81</v>
      </c>
      <c r="G54">
        <v>121739.81</v>
      </c>
    </row>
    <row r="55" spans="1:7" x14ac:dyDescent="0.35">
      <c r="A55" s="178" t="s">
        <v>2901</v>
      </c>
      <c r="B55">
        <v>0</v>
      </c>
      <c r="C55">
        <v>0</v>
      </c>
      <c r="D55">
        <v>0</v>
      </c>
      <c r="E55">
        <v>28891.41</v>
      </c>
      <c r="F55">
        <v>45408.41</v>
      </c>
      <c r="G55">
        <v>74299.820000000007</v>
      </c>
    </row>
    <row r="56" spans="1:7" x14ac:dyDescent="0.35">
      <c r="A56" s="178" t="s">
        <v>2902</v>
      </c>
      <c r="B56">
        <v>0</v>
      </c>
      <c r="C56">
        <v>0</v>
      </c>
      <c r="D56">
        <v>0</v>
      </c>
      <c r="E56">
        <v>1638.17</v>
      </c>
      <c r="F56">
        <v>11476.08</v>
      </c>
      <c r="G56">
        <v>13114.25</v>
      </c>
    </row>
    <row r="57" spans="1:7" x14ac:dyDescent="0.35">
      <c r="A57" s="178" t="s">
        <v>2903</v>
      </c>
      <c r="B57">
        <v>0</v>
      </c>
      <c r="C57">
        <v>0</v>
      </c>
      <c r="D57">
        <v>0</v>
      </c>
      <c r="E57">
        <v>0</v>
      </c>
      <c r="F57">
        <v>8107.5</v>
      </c>
      <c r="G57">
        <v>8107.5</v>
      </c>
    </row>
    <row r="58" spans="1:7" x14ac:dyDescent="0.35">
      <c r="A58" s="178" t="s">
        <v>2904</v>
      </c>
      <c r="B58">
        <v>0</v>
      </c>
      <c r="C58">
        <v>0</v>
      </c>
      <c r="D58">
        <v>0</v>
      </c>
      <c r="E58">
        <v>66.069999999999993</v>
      </c>
      <c r="F58">
        <v>1952.53</v>
      </c>
      <c r="G58">
        <v>2018.6</v>
      </c>
    </row>
    <row r="59" spans="1:7" x14ac:dyDescent="0.35">
      <c r="A59" s="178" t="s">
        <v>2905</v>
      </c>
      <c r="B59">
        <v>0</v>
      </c>
      <c r="C59">
        <v>0</v>
      </c>
      <c r="D59">
        <v>0</v>
      </c>
      <c r="E59">
        <v>0</v>
      </c>
      <c r="F59">
        <v>7145.72</v>
      </c>
      <c r="G59">
        <v>7145.72</v>
      </c>
    </row>
    <row r="60" spans="1:7" x14ac:dyDescent="0.35">
      <c r="A60" s="178" t="s">
        <v>2906</v>
      </c>
      <c r="B60">
        <v>0</v>
      </c>
      <c r="C60">
        <v>0</v>
      </c>
      <c r="D60">
        <v>0</v>
      </c>
      <c r="E60">
        <v>0</v>
      </c>
      <c r="F60">
        <v>1481.09</v>
      </c>
      <c r="G60">
        <v>1481.09</v>
      </c>
    </row>
    <row r="61" spans="1:7" x14ac:dyDescent="0.35">
      <c r="A61" s="178" t="s">
        <v>2907</v>
      </c>
      <c r="B61">
        <v>0</v>
      </c>
      <c r="C61">
        <v>0</v>
      </c>
      <c r="D61">
        <v>0</v>
      </c>
      <c r="E61">
        <v>66599.83</v>
      </c>
      <c r="F61">
        <v>61172.52</v>
      </c>
      <c r="G61">
        <v>127772.35</v>
      </c>
    </row>
    <row r="62" spans="1:7" x14ac:dyDescent="0.35">
      <c r="A62" s="178" t="s">
        <v>2908</v>
      </c>
      <c r="B62">
        <v>0</v>
      </c>
      <c r="C62">
        <v>0</v>
      </c>
      <c r="D62">
        <v>0</v>
      </c>
      <c r="E62">
        <v>0</v>
      </c>
      <c r="F62">
        <v>9912.31</v>
      </c>
      <c r="G62">
        <v>9912.31</v>
      </c>
    </row>
    <row r="63" spans="1:7" x14ac:dyDescent="0.35">
      <c r="A63" s="178" t="s">
        <v>2909</v>
      </c>
      <c r="B63">
        <v>0</v>
      </c>
      <c r="C63">
        <v>0</v>
      </c>
      <c r="D63">
        <v>0</v>
      </c>
      <c r="E63">
        <v>0</v>
      </c>
      <c r="F63">
        <v>2131.3000000000002</v>
      </c>
      <c r="G63">
        <v>2131.3000000000002</v>
      </c>
    </row>
    <row r="64" spans="1:7" x14ac:dyDescent="0.35">
      <c r="A64" s="178" t="s">
        <v>2910</v>
      </c>
      <c r="B64">
        <v>0</v>
      </c>
      <c r="C64">
        <v>0</v>
      </c>
      <c r="D64">
        <v>0</v>
      </c>
      <c r="E64">
        <v>27455.33</v>
      </c>
      <c r="F64">
        <v>49764.07</v>
      </c>
      <c r="G64">
        <v>77219.399999999994</v>
      </c>
    </row>
    <row r="65" spans="1:7" x14ac:dyDescent="0.35">
      <c r="A65" s="178" t="s">
        <v>2911</v>
      </c>
      <c r="B65">
        <v>0</v>
      </c>
      <c r="C65">
        <v>0</v>
      </c>
      <c r="D65">
        <v>0</v>
      </c>
      <c r="E65">
        <v>0</v>
      </c>
      <c r="F65">
        <v>90.48</v>
      </c>
      <c r="G65">
        <v>90.48</v>
      </c>
    </row>
    <row r="66" spans="1:7" x14ac:dyDescent="0.35">
      <c r="A66" s="178" t="s">
        <v>2912</v>
      </c>
      <c r="B66">
        <v>0</v>
      </c>
      <c r="C66">
        <v>0</v>
      </c>
      <c r="D66">
        <v>0</v>
      </c>
      <c r="E66">
        <v>0</v>
      </c>
      <c r="F66">
        <v>68.09</v>
      </c>
      <c r="G66">
        <v>68.09</v>
      </c>
    </row>
    <row r="67" spans="1:7" x14ac:dyDescent="0.35">
      <c r="A67" s="178" t="s">
        <v>2913</v>
      </c>
      <c r="B67">
        <v>0</v>
      </c>
      <c r="C67">
        <v>0</v>
      </c>
      <c r="D67">
        <v>0</v>
      </c>
      <c r="E67">
        <v>0</v>
      </c>
      <c r="F67">
        <v>24965.87</v>
      </c>
      <c r="G67">
        <v>24965.87</v>
      </c>
    </row>
    <row r="68" spans="1:7" x14ac:dyDescent="0.35">
      <c r="A68" s="178" t="s">
        <v>2914</v>
      </c>
      <c r="B68">
        <v>0</v>
      </c>
      <c r="C68">
        <v>0</v>
      </c>
      <c r="D68">
        <v>3527</v>
      </c>
      <c r="E68">
        <v>0</v>
      </c>
      <c r="F68">
        <v>0</v>
      </c>
      <c r="G68">
        <v>3527</v>
      </c>
    </row>
    <row r="69" spans="1:7" x14ac:dyDescent="0.35">
      <c r="A69" s="178" t="s">
        <v>2915</v>
      </c>
      <c r="B69">
        <v>0</v>
      </c>
      <c r="C69">
        <v>0</v>
      </c>
      <c r="D69">
        <v>11545.73</v>
      </c>
      <c r="E69">
        <v>7456.95</v>
      </c>
      <c r="F69">
        <v>3470.13</v>
      </c>
      <c r="G69">
        <v>22472.81</v>
      </c>
    </row>
    <row r="70" spans="1:7" x14ac:dyDescent="0.35">
      <c r="A70" s="178" t="s">
        <v>2916</v>
      </c>
      <c r="B70">
        <v>0</v>
      </c>
      <c r="C70">
        <v>0</v>
      </c>
      <c r="D70">
        <v>0</v>
      </c>
      <c r="E70">
        <v>440805.15</v>
      </c>
      <c r="F70">
        <v>539010.6</v>
      </c>
      <c r="G70">
        <v>979815.75</v>
      </c>
    </row>
    <row r="71" spans="1:7" x14ac:dyDescent="0.35">
      <c r="A71" s="178" t="s">
        <v>2917</v>
      </c>
      <c r="B71">
        <v>0</v>
      </c>
      <c r="C71">
        <v>0</v>
      </c>
      <c r="D71">
        <v>0</v>
      </c>
      <c r="E71">
        <v>0</v>
      </c>
      <c r="F71">
        <v>483</v>
      </c>
      <c r="G71">
        <v>483</v>
      </c>
    </row>
    <row r="72" spans="1:7" x14ac:dyDescent="0.35">
      <c r="A72" s="178" t="s">
        <v>2918</v>
      </c>
      <c r="B72">
        <v>0</v>
      </c>
      <c r="C72">
        <v>0</v>
      </c>
      <c r="D72">
        <v>0</v>
      </c>
      <c r="E72">
        <v>0</v>
      </c>
      <c r="F72">
        <v>71371.02</v>
      </c>
      <c r="G72">
        <v>71371.02</v>
      </c>
    </row>
    <row r="73" spans="1:7" x14ac:dyDescent="0.35">
      <c r="A73" s="178" t="s">
        <v>2919</v>
      </c>
      <c r="B73">
        <v>0</v>
      </c>
      <c r="C73">
        <v>0</v>
      </c>
      <c r="D73">
        <v>0</v>
      </c>
      <c r="E73">
        <v>0</v>
      </c>
      <c r="F73">
        <v>4694.76</v>
      </c>
      <c r="G73">
        <v>4694.76</v>
      </c>
    </row>
    <row r="74" spans="1:7" x14ac:dyDescent="0.35">
      <c r="A74" s="178" t="s">
        <v>2920</v>
      </c>
      <c r="B74">
        <v>0</v>
      </c>
      <c r="C74">
        <v>0</v>
      </c>
      <c r="D74">
        <v>0</v>
      </c>
      <c r="E74">
        <v>0</v>
      </c>
      <c r="F74">
        <v>26929.34</v>
      </c>
      <c r="G74">
        <v>26929.34</v>
      </c>
    </row>
    <row r="75" spans="1:7" x14ac:dyDescent="0.35">
      <c r="A75" s="178" t="s">
        <v>2921</v>
      </c>
      <c r="B75">
        <v>0</v>
      </c>
      <c r="C75">
        <v>0</v>
      </c>
      <c r="D75">
        <v>0</v>
      </c>
      <c r="E75">
        <v>0</v>
      </c>
      <c r="F75">
        <v>13199.5</v>
      </c>
      <c r="G75">
        <v>13199.5</v>
      </c>
    </row>
    <row r="76" spans="1:7" x14ac:dyDescent="0.35">
      <c r="A76" s="178" t="s">
        <v>2922</v>
      </c>
      <c r="B76">
        <v>0</v>
      </c>
      <c r="C76">
        <v>0</v>
      </c>
      <c r="D76">
        <v>0</v>
      </c>
      <c r="E76">
        <v>0</v>
      </c>
      <c r="F76">
        <v>3344.26</v>
      </c>
      <c r="G76">
        <v>3344.26</v>
      </c>
    </row>
    <row r="77" spans="1:7" x14ac:dyDescent="0.35">
      <c r="A77" s="178" t="s">
        <v>2923</v>
      </c>
      <c r="B77">
        <v>0</v>
      </c>
      <c r="C77">
        <v>0</v>
      </c>
      <c r="D77">
        <v>0</v>
      </c>
      <c r="E77">
        <v>0</v>
      </c>
      <c r="F77">
        <v>17983.759999999998</v>
      </c>
      <c r="G77">
        <v>17983.759999999998</v>
      </c>
    </row>
    <row r="78" spans="1:7" x14ac:dyDescent="0.35">
      <c r="A78" s="178" t="s">
        <v>2924</v>
      </c>
      <c r="B78">
        <v>0</v>
      </c>
      <c r="C78">
        <v>0</v>
      </c>
      <c r="D78">
        <v>0</v>
      </c>
      <c r="E78">
        <v>0</v>
      </c>
      <c r="F78">
        <v>14174.33</v>
      </c>
      <c r="G78">
        <v>14174.33</v>
      </c>
    </row>
    <row r="79" spans="1:7" x14ac:dyDescent="0.35">
      <c r="A79" s="178" t="s">
        <v>2925</v>
      </c>
      <c r="B79">
        <v>0</v>
      </c>
      <c r="C79">
        <v>0</v>
      </c>
      <c r="D79">
        <v>0</v>
      </c>
      <c r="E79">
        <v>54003.41</v>
      </c>
      <c r="F79">
        <v>12705.03</v>
      </c>
      <c r="G79">
        <v>66708.44</v>
      </c>
    </row>
    <row r="80" spans="1:7" x14ac:dyDescent="0.35">
      <c r="A80" s="178" t="s">
        <v>2926</v>
      </c>
      <c r="B80">
        <v>0</v>
      </c>
      <c r="C80">
        <v>0</v>
      </c>
      <c r="D80">
        <v>0</v>
      </c>
      <c r="E80">
        <v>61556.04</v>
      </c>
      <c r="F80">
        <v>433509.95</v>
      </c>
      <c r="G80">
        <v>495065.99</v>
      </c>
    </row>
    <row r="81" spans="1:7" x14ac:dyDescent="0.35">
      <c r="A81" s="178" t="s">
        <v>2927</v>
      </c>
      <c r="B81">
        <v>0</v>
      </c>
      <c r="C81">
        <v>0</v>
      </c>
      <c r="D81">
        <v>0</v>
      </c>
      <c r="E81">
        <v>93585.13</v>
      </c>
      <c r="F81">
        <v>41115.26</v>
      </c>
      <c r="G81">
        <v>134700.39000000001</v>
      </c>
    </row>
    <row r="82" spans="1:7" x14ac:dyDescent="0.35">
      <c r="A82" s="178" t="s">
        <v>2928</v>
      </c>
      <c r="B82">
        <v>26916.01</v>
      </c>
      <c r="C82">
        <v>0</v>
      </c>
      <c r="D82">
        <v>0</v>
      </c>
      <c r="E82">
        <v>0</v>
      </c>
      <c r="F82">
        <v>0</v>
      </c>
      <c r="G82">
        <v>26916.01</v>
      </c>
    </row>
    <row r="83" spans="1:7" x14ac:dyDescent="0.35">
      <c r="A83" s="178" t="s">
        <v>2929</v>
      </c>
      <c r="B83">
        <v>0</v>
      </c>
      <c r="C83">
        <v>0</v>
      </c>
      <c r="D83">
        <v>0</v>
      </c>
      <c r="E83">
        <v>11655.54</v>
      </c>
      <c r="F83">
        <v>5694</v>
      </c>
      <c r="G83">
        <v>17349.54</v>
      </c>
    </row>
    <row r="84" spans="1:7" x14ac:dyDescent="0.35">
      <c r="A84" s="178" t="s">
        <v>2930</v>
      </c>
      <c r="B84">
        <v>0</v>
      </c>
      <c r="C84">
        <v>0</v>
      </c>
      <c r="D84">
        <v>0</v>
      </c>
      <c r="E84">
        <v>26816.639999999999</v>
      </c>
      <c r="F84">
        <v>109301.05</v>
      </c>
      <c r="G84">
        <v>136117.69</v>
      </c>
    </row>
    <row r="85" spans="1:7" x14ac:dyDescent="0.35">
      <c r="A85" s="178" t="s">
        <v>2931</v>
      </c>
      <c r="B85">
        <v>0</v>
      </c>
      <c r="C85">
        <v>0</v>
      </c>
      <c r="D85">
        <v>0</v>
      </c>
      <c r="E85">
        <v>949.38</v>
      </c>
      <c r="F85">
        <v>10764.95</v>
      </c>
      <c r="G85">
        <v>11714.33</v>
      </c>
    </row>
    <row r="86" spans="1:7" x14ac:dyDescent="0.35">
      <c r="A86" s="178" t="s">
        <v>2932</v>
      </c>
      <c r="B86">
        <v>0</v>
      </c>
      <c r="C86">
        <v>0</v>
      </c>
      <c r="D86">
        <v>0</v>
      </c>
      <c r="E86">
        <v>42301.599999999999</v>
      </c>
      <c r="F86">
        <v>142714.32</v>
      </c>
      <c r="G86">
        <v>185015.92</v>
      </c>
    </row>
    <row r="87" spans="1:7" x14ac:dyDescent="0.35">
      <c r="A87" s="178" t="s">
        <v>2933</v>
      </c>
      <c r="B87">
        <v>0</v>
      </c>
      <c r="C87">
        <v>0</v>
      </c>
      <c r="D87">
        <v>0</v>
      </c>
      <c r="E87">
        <v>0</v>
      </c>
      <c r="F87">
        <v>210180.19</v>
      </c>
      <c r="G87">
        <v>210180.19</v>
      </c>
    </row>
    <row r="88" spans="1:7" x14ac:dyDescent="0.35">
      <c r="A88" s="178" t="s">
        <v>2934</v>
      </c>
      <c r="B88">
        <v>0</v>
      </c>
      <c r="C88">
        <v>0</v>
      </c>
      <c r="D88">
        <v>0</v>
      </c>
      <c r="E88">
        <v>0</v>
      </c>
      <c r="F88">
        <v>7031.62</v>
      </c>
      <c r="G88">
        <v>7031.62</v>
      </c>
    </row>
    <row r="89" spans="1:7" x14ac:dyDescent="0.35">
      <c r="A89" s="178" t="s">
        <v>2935</v>
      </c>
      <c r="B89">
        <v>0</v>
      </c>
      <c r="C89">
        <v>0</v>
      </c>
      <c r="D89">
        <v>0</v>
      </c>
      <c r="E89">
        <v>0</v>
      </c>
      <c r="F89">
        <v>60013.279999999999</v>
      </c>
      <c r="G89">
        <v>60013.279999999999</v>
      </c>
    </row>
    <row r="90" spans="1:7" x14ac:dyDescent="0.35">
      <c r="A90" s="178" t="s">
        <v>2936</v>
      </c>
      <c r="B90">
        <v>0</v>
      </c>
      <c r="C90">
        <v>0</v>
      </c>
      <c r="D90">
        <v>0</v>
      </c>
      <c r="E90">
        <v>0</v>
      </c>
      <c r="F90">
        <v>12577.67</v>
      </c>
      <c r="G90">
        <v>12577.67</v>
      </c>
    </row>
    <row r="91" spans="1:7" x14ac:dyDescent="0.35">
      <c r="A91" s="178" t="s">
        <v>2937</v>
      </c>
      <c r="B91">
        <v>0</v>
      </c>
      <c r="C91">
        <v>0</v>
      </c>
      <c r="D91">
        <v>0</v>
      </c>
      <c r="E91">
        <v>0</v>
      </c>
      <c r="F91">
        <v>7264.95</v>
      </c>
      <c r="G91">
        <v>7264.95</v>
      </c>
    </row>
    <row r="92" spans="1:7" x14ac:dyDescent="0.35">
      <c r="A92" s="178" t="s">
        <v>2938</v>
      </c>
      <c r="B92">
        <v>0</v>
      </c>
      <c r="C92">
        <v>0</v>
      </c>
      <c r="D92">
        <v>11270.58</v>
      </c>
      <c r="E92">
        <v>10542.65</v>
      </c>
      <c r="F92">
        <v>21700.94</v>
      </c>
      <c r="G92">
        <v>43514.17</v>
      </c>
    </row>
    <row r="93" spans="1:7" x14ac:dyDescent="0.35">
      <c r="A93" s="178" t="s">
        <v>2939</v>
      </c>
      <c r="B93">
        <v>0</v>
      </c>
      <c r="C93">
        <v>0</v>
      </c>
      <c r="D93">
        <v>0</v>
      </c>
      <c r="E93">
        <v>9077.19</v>
      </c>
      <c r="F93">
        <v>9348.4699999999993</v>
      </c>
      <c r="G93">
        <v>18425.66</v>
      </c>
    </row>
    <row r="94" spans="1:7" x14ac:dyDescent="0.35">
      <c r="A94" s="178" t="s">
        <v>2940</v>
      </c>
      <c r="B94">
        <v>0</v>
      </c>
      <c r="C94">
        <v>0</v>
      </c>
      <c r="D94">
        <v>0</v>
      </c>
      <c r="E94">
        <v>0</v>
      </c>
      <c r="F94">
        <v>900.68</v>
      </c>
      <c r="G94">
        <v>900.68</v>
      </c>
    </row>
    <row r="95" spans="1:7" x14ac:dyDescent="0.35">
      <c r="A95" s="178" t="s">
        <v>2941</v>
      </c>
      <c r="B95">
        <v>0</v>
      </c>
      <c r="C95">
        <v>0</v>
      </c>
      <c r="D95">
        <v>0</v>
      </c>
      <c r="E95">
        <v>0</v>
      </c>
      <c r="F95">
        <v>77496.77</v>
      </c>
      <c r="G95">
        <v>77496.77</v>
      </c>
    </row>
    <row r="96" spans="1:7" x14ac:dyDescent="0.35">
      <c r="A96" s="178" t="s">
        <v>2942</v>
      </c>
      <c r="B96">
        <v>0</v>
      </c>
      <c r="C96">
        <v>0</v>
      </c>
      <c r="D96">
        <v>0</v>
      </c>
      <c r="E96">
        <v>0</v>
      </c>
      <c r="F96">
        <v>7235.42</v>
      </c>
      <c r="G96">
        <v>7235.42</v>
      </c>
    </row>
    <row r="97" spans="1:7" x14ac:dyDescent="0.35">
      <c r="A97" s="178" t="s">
        <v>2943</v>
      </c>
      <c r="B97">
        <v>0</v>
      </c>
      <c r="C97">
        <v>0</v>
      </c>
      <c r="D97">
        <v>0</v>
      </c>
      <c r="E97">
        <v>54005.72</v>
      </c>
      <c r="F97">
        <v>42824.58</v>
      </c>
      <c r="G97">
        <v>96830.3</v>
      </c>
    </row>
    <row r="98" spans="1:7" x14ac:dyDescent="0.35">
      <c r="A98" s="178" t="s">
        <v>2944</v>
      </c>
      <c r="B98">
        <v>0</v>
      </c>
      <c r="C98">
        <v>0</v>
      </c>
      <c r="D98">
        <v>0</v>
      </c>
      <c r="E98">
        <v>3666.09</v>
      </c>
      <c r="F98">
        <v>0</v>
      </c>
      <c r="G98">
        <v>3666.09</v>
      </c>
    </row>
    <row r="99" spans="1:7" x14ac:dyDescent="0.35">
      <c r="A99" s="178" t="s">
        <v>2945</v>
      </c>
      <c r="B99">
        <v>2903.76</v>
      </c>
      <c r="C99">
        <v>1819.99</v>
      </c>
      <c r="D99">
        <v>4490.76</v>
      </c>
      <c r="E99">
        <v>0</v>
      </c>
      <c r="F99">
        <v>0</v>
      </c>
      <c r="G99">
        <v>9214.51</v>
      </c>
    </row>
    <row r="100" spans="1:7" x14ac:dyDescent="0.35">
      <c r="A100" s="178" t="s">
        <v>2946</v>
      </c>
      <c r="B100">
        <v>0</v>
      </c>
      <c r="C100">
        <v>0</v>
      </c>
      <c r="D100">
        <v>0</v>
      </c>
      <c r="E100">
        <v>0</v>
      </c>
      <c r="F100">
        <v>21925.439999999999</v>
      </c>
      <c r="G100">
        <v>21925.439999999999</v>
      </c>
    </row>
    <row r="101" spans="1:7" x14ac:dyDescent="0.35">
      <c r="A101" s="178" t="s">
        <v>2947</v>
      </c>
      <c r="B101">
        <v>0</v>
      </c>
      <c r="C101">
        <v>0</v>
      </c>
      <c r="D101">
        <v>0</v>
      </c>
      <c r="E101">
        <v>0</v>
      </c>
      <c r="F101">
        <v>1026.6099999999999</v>
      </c>
      <c r="G101">
        <v>1026.6099999999999</v>
      </c>
    </row>
    <row r="102" spans="1:7" x14ac:dyDescent="0.35">
      <c r="A102" s="178" t="s">
        <v>2948</v>
      </c>
      <c r="B102">
        <v>0</v>
      </c>
      <c r="C102">
        <v>0</v>
      </c>
      <c r="D102">
        <v>0</v>
      </c>
      <c r="E102">
        <v>3000.83</v>
      </c>
      <c r="F102">
        <v>0</v>
      </c>
      <c r="G102">
        <v>3000.83</v>
      </c>
    </row>
    <row r="103" spans="1:7" x14ac:dyDescent="0.35">
      <c r="A103" s="178" t="s">
        <v>2949</v>
      </c>
      <c r="B103">
        <v>0</v>
      </c>
      <c r="C103">
        <v>0</v>
      </c>
      <c r="D103">
        <v>0</v>
      </c>
      <c r="E103">
        <v>0</v>
      </c>
      <c r="F103">
        <v>2332.1999999999998</v>
      </c>
      <c r="G103">
        <v>2332.1999999999998</v>
      </c>
    </row>
    <row r="104" spans="1:7" x14ac:dyDescent="0.35">
      <c r="A104" s="178" t="s">
        <v>2950</v>
      </c>
      <c r="B104">
        <v>0</v>
      </c>
      <c r="C104">
        <v>0</v>
      </c>
      <c r="D104">
        <v>0</v>
      </c>
      <c r="E104">
        <v>929.26</v>
      </c>
      <c r="F104">
        <v>1899.58</v>
      </c>
      <c r="G104">
        <v>2828.84</v>
      </c>
    </row>
    <row r="105" spans="1:7" x14ac:dyDescent="0.35">
      <c r="A105" s="178" t="s">
        <v>2951</v>
      </c>
      <c r="B105">
        <v>0</v>
      </c>
      <c r="C105">
        <v>0</v>
      </c>
      <c r="D105">
        <v>0</v>
      </c>
      <c r="E105">
        <v>0</v>
      </c>
      <c r="F105">
        <v>1617.02</v>
      </c>
      <c r="G105">
        <v>1617.02</v>
      </c>
    </row>
    <row r="106" spans="1:7" x14ac:dyDescent="0.35">
      <c r="A106" s="178" t="s">
        <v>2952</v>
      </c>
      <c r="B106">
        <v>60245.58</v>
      </c>
      <c r="C106">
        <v>0</v>
      </c>
      <c r="D106">
        <v>0</v>
      </c>
      <c r="E106">
        <v>0</v>
      </c>
      <c r="F106">
        <v>0</v>
      </c>
      <c r="G106">
        <v>60245.58</v>
      </c>
    </row>
    <row r="107" spans="1:7" x14ac:dyDescent="0.35">
      <c r="A107" s="178" t="s">
        <v>2953</v>
      </c>
      <c r="B107">
        <v>0</v>
      </c>
      <c r="C107">
        <v>0</v>
      </c>
      <c r="D107">
        <v>0</v>
      </c>
      <c r="E107">
        <v>13512.14</v>
      </c>
      <c r="F107">
        <v>20314.82</v>
      </c>
      <c r="G107">
        <v>33826.959999999999</v>
      </c>
    </row>
    <row r="108" spans="1:7" x14ac:dyDescent="0.35">
      <c r="A108" s="178" t="s">
        <v>2954</v>
      </c>
      <c r="B108">
        <v>0</v>
      </c>
      <c r="C108">
        <v>0</v>
      </c>
      <c r="D108">
        <v>0</v>
      </c>
      <c r="E108">
        <v>8226.82</v>
      </c>
      <c r="F108">
        <v>27185.54</v>
      </c>
      <c r="G108">
        <v>35412.36</v>
      </c>
    </row>
    <row r="109" spans="1:7" x14ac:dyDescent="0.35">
      <c r="A109" s="178" t="s">
        <v>2955</v>
      </c>
      <c r="B109">
        <v>0</v>
      </c>
      <c r="C109">
        <v>0</v>
      </c>
      <c r="D109">
        <v>0</v>
      </c>
      <c r="E109">
        <v>0</v>
      </c>
      <c r="F109">
        <v>4856.51</v>
      </c>
      <c r="G109">
        <v>4856.51</v>
      </c>
    </row>
    <row r="110" spans="1:7" x14ac:dyDescent="0.35">
      <c r="A110" s="178" t="s">
        <v>2956</v>
      </c>
      <c r="B110">
        <v>0</v>
      </c>
      <c r="C110">
        <v>0</v>
      </c>
      <c r="D110">
        <v>0</v>
      </c>
      <c r="E110">
        <v>0</v>
      </c>
      <c r="F110">
        <v>5537.25</v>
      </c>
      <c r="G110">
        <v>5537.25</v>
      </c>
    </row>
    <row r="111" spans="1:7" x14ac:dyDescent="0.35">
      <c r="A111" s="178" t="s">
        <v>2957</v>
      </c>
      <c r="B111">
        <v>0</v>
      </c>
      <c r="C111">
        <v>0</v>
      </c>
      <c r="D111">
        <v>0</v>
      </c>
      <c r="E111">
        <v>0</v>
      </c>
      <c r="F111">
        <v>18938.78</v>
      </c>
      <c r="G111">
        <v>18938.78</v>
      </c>
    </row>
    <row r="112" spans="1:7" x14ac:dyDescent="0.35">
      <c r="A112" s="178" t="s">
        <v>2958</v>
      </c>
      <c r="B112">
        <v>0</v>
      </c>
      <c r="C112">
        <v>0</v>
      </c>
      <c r="D112">
        <v>0</v>
      </c>
      <c r="E112">
        <v>0</v>
      </c>
      <c r="F112">
        <v>28752.34</v>
      </c>
      <c r="G112">
        <v>28752.34</v>
      </c>
    </row>
    <row r="113" spans="1:7" x14ac:dyDescent="0.35">
      <c r="A113" s="178" t="s">
        <v>2959</v>
      </c>
      <c r="B113">
        <v>0</v>
      </c>
      <c r="C113">
        <v>0</v>
      </c>
      <c r="D113">
        <v>0</v>
      </c>
      <c r="E113">
        <v>124569.63</v>
      </c>
      <c r="F113">
        <v>0</v>
      </c>
      <c r="G113">
        <v>124569.63</v>
      </c>
    </row>
    <row r="114" spans="1:7" x14ac:dyDescent="0.35">
      <c r="A114" s="178" t="s">
        <v>2960</v>
      </c>
      <c r="B114">
        <v>0</v>
      </c>
      <c r="C114">
        <v>0</v>
      </c>
      <c r="D114">
        <v>0</v>
      </c>
      <c r="E114">
        <v>1614.37</v>
      </c>
      <c r="F114">
        <v>20623.18</v>
      </c>
      <c r="G114">
        <v>22237.55</v>
      </c>
    </row>
    <row r="115" spans="1:7" x14ac:dyDescent="0.35">
      <c r="A115" s="178" t="s">
        <v>2961</v>
      </c>
      <c r="B115">
        <v>0</v>
      </c>
      <c r="C115">
        <v>0</v>
      </c>
      <c r="D115">
        <v>0</v>
      </c>
      <c r="E115">
        <v>763.17</v>
      </c>
      <c r="F115">
        <v>0</v>
      </c>
      <c r="G115">
        <v>763.17</v>
      </c>
    </row>
    <row r="116" spans="1:7" x14ac:dyDescent="0.35">
      <c r="A116" s="178" t="s">
        <v>2962</v>
      </c>
      <c r="B116">
        <v>0</v>
      </c>
      <c r="C116">
        <v>0</v>
      </c>
      <c r="D116">
        <v>0</v>
      </c>
      <c r="E116">
        <v>67099.63</v>
      </c>
      <c r="F116">
        <v>0</v>
      </c>
      <c r="G116">
        <v>67099.63</v>
      </c>
    </row>
    <row r="117" spans="1:7" x14ac:dyDescent="0.35">
      <c r="A117" s="178" t="s">
        <v>2963</v>
      </c>
      <c r="B117">
        <v>0</v>
      </c>
      <c r="C117">
        <v>0</v>
      </c>
      <c r="D117">
        <v>0</v>
      </c>
      <c r="E117">
        <v>0</v>
      </c>
      <c r="F117">
        <v>8741.85</v>
      </c>
      <c r="G117">
        <v>8741.85</v>
      </c>
    </row>
    <row r="118" spans="1:7" x14ac:dyDescent="0.35">
      <c r="A118" s="178" t="s">
        <v>2964</v>
      </c>
      <c r="B118">
        <v>0</v>
      </c>
      <c r="C118">
        <v>0</v>
      </c>
      <c r="D118">
        <v>0</v>
      </c>
      <c r="E118">
        <v>549.46</v>
      </c>
      <c r="F118">
        <v>9005.9599999999991</v>
      </c>
      <c r="G118">
        <v>9555.42</v>
      </c>
    </row>
    <row r="119" spans="1:7" x14ac:dyDescent="0.35">
      <c r="A119" s="178" t="s">
        <v>2965</v>
      </c>
      <c r="B119">
        <v>0</v>
      </c>
      <c r="C119">
        <v>2571.98</v>
      </c>
      <c r="D119">
        <v>0</v>
      </c>
      <c r="E119">
        <v>0</v>
      </c>
      <c r="F119">
        <v>0</v>
      </c>
      <c r="G119">
        <v>2571.98</v>
      </c>
    </row>
    <row r="120" spans="1:7" x14ac:dyDescent="0.35">
      <c r="A120" s="178" t="s">
        <v>2966</v>
      </c>
      <c r="B120">
        <v>1409.1</v>
      </c>
      <c r="C120">
        <v>8758.9599999999991</v>
      </c>
      <c r="D120">
        <v>0</v>
      </c>
      <c r="E120">
        <v>34317.449999999997</v>
      </c>
      <c r="F120">
        <v>67786.38</v>
      </c>
      <c r="G120">
        <v>112271.89</v>
      </c>
    </row>
    <row r="121" spans="1:7" x14ac:dyDescent="0.35">
      <c r="A121" s="178" t="s">
        <v>2967</v>
      </c>
      <c r="B121">
        <v>0</v>
      </c>
      <c r="C121">
        <v>0</v>
      </c>
      <c r="D121">
        <v>0</v>
      </c>
      <c r="E121">
        <v>0</v>
      </c>
      <c r="F121">
        <v>1256.56</v>
      </c>
      <c r="G121">
        <v>1256.56</v>
      </c>
    </row>
    <row r="122" spans="1:7" x14ac:dyDescent="0.35">
      <c r="A122" s="178" t="s">
        <v>2968</v>
      </c>
      <c r="B122">
        <v>0</v>
      </c>
      <c r="C122">
        <v>10101.27</v>
      </c>
      <c r="D122">
        <v>0</v>
      </c>
      <c r="E122">
        <v>19639.419999999998</v>
      </c>
      <c r="F122">
        <v>4290.43</v>
      </c>
      <c r="G122">
        <v>34031.120000000003</v>
      </c>
    </row>
    <row r="123" spans="1:7" x14ac:dyDescent="0.35">
      <c r="A123" s="178" t="s">
        <v>2969</v>
      </c>
      <c r="B123">
        <v>0</v>
      </c>
      <c r="C123">
        <v>0</v>
      </c>
      <c r="D123">
        <v>0</v>
      </c>
      <c r="E123">
        <v>59343.87</v>
      </c>
      <c r="F123">
        <v>75974.64</v>
      </c>
      <c r="G123">
        <v>135318.51</v>
      </c>
    </row>
    <row r="124" spans="1:7" x14ac:dyDescent="0.35">
      <c r="A124" s="178" t="s">
        <v>2970</v>
      </c>
      <c r="B124">
        <v>0</v>
      </c>
      <c r="C124">
        <v>0</v>
      </c>
      <c r="D124">
        <v>0</v>
      </c>
      <c r="E124">
        <v>0</v>
      </c>
      <c r="F124">
        <v>1228.5</v>
      </c>
      <c r="G124">
        <v>1228.5</v>
      </c>
    </row>
    <row r="125" spans="1:7" x14ac:dyDescent="0.35">
      <c r="A125" s="178" t="s">
        <v>2971</v>
      </c>
      <c r="B125">
        <v>0</v>
      </c>
      <c r="C125">
        <v>0</v>
      </c>
      <c r="D125">
        <v>0</v>
      </c>
      <c r="E125">
        <v>69.38</v>
      </c>
      <c r="F125">
        <v>0</v>
      </c>
      <c r="G125">
        <v>69.38</v>
      </c>
    </row>
    <row r="126" spans="1:7" x14ac:dyDescent="0.35">
      <c r="A126" s="178" t="s">
        <v>2972</v>
      </c>
      <c r="B126">
        <v>0</v>
      </c>
      <c r="C126">
        <v>0</v>
      </c>
      <c r="D126">
        <v>0</v>
      </c>
      <c r="E126">
        <v>12973.63</v>
      </c>
      <c r="F126">
        <v>9487.6200000000008</v>
      </c>
      <c r="G126">
        <v>22461.25</v>
      </c>
    </row>
    <row r="127" spans="1:7" x14ac:dyDescent="0.35">
      <c r="A127" s="178" t="s">
        <v>2973</v>
      </c>
      <c r="B127">
        <v>0</v>
      </c>
      <c r="C127">
        <v>0</v>
      </c>
      <c r="D127">
        <v>0</v>
      </c>
      <c r="E127">
        <v>0</v>
      </c>
      <c r="F127">
        <v>11586.77</v>
      </c>
      <c r="G127">
        <v>11586.77</v>
      </c>
    </row>
    <row r="128" spans="1:7" x14ac:dyDescent="0.35">
      <c r="A128" s="178" t="s">
        <v>2974</v>
      </c>
      <c r="B128">
        <v>0</v>
      </c>
      <c r="C128">
        <v>0</v>
      </c>
      <c r="D128">
        <v>0</v>
      </c>
      <c r="E128">
        <v>0</v>
      </c>
      <c r="F128">
        <v>6812.06</v>
      </c>
      <c r="G128">
        <v>6812.06</v>
      </c>
    </row>
    <row r="129" spans="1:7" x14ac:dyDescent="0.35">
      <c r="A129" s="178" t="s">
        <v>2975</v>
      </c>
      <c r="B129">
        <v>22615.75</v>
      </c>
      <c r="C129">
        <v>15279.71</v>
      </c>
      <c r="D129">
        <v>0</v>
      </c>
      <c r="E129">
        <v>29149.4</v>
      </c>
      <c r="F129">
        <v>2062.64</v>
      </c>
      <c r="G129">
        <v>69107.5</v>
      </c>
    </row>
    <row r="130" spans="1:7" x14ac:dyDescent="0.35">
      <c r="A130" s="178" t="s">
        <v>2976</v>
      </c>
      <c r="B130">
        <v>0</v>
      </c>
      <c r="C130">
        <v>0</v>
      </c>
      <c r="D130">
        <v>0</v>
      </c>
      <c r="E130">
        <v>146295.47</v>
      </c>
      <c r="F130">
        <v>131330.48000000001</v>
      </c>
      <c r="G130">
        <v>277625.95</v>
      </c>
    </row>
    <row r="131" spans="1:7" x14ac:dyDescent="0.35">
      <c r="A131" s="178" t="s">
        <v>2977</v>
      </c>
      <c r="B131">
        <v>0</v>
      </c>
      <c r="C131">
        <v>0</v>
      </c>
      <c r="D131">
        <v>0</v>
      </c>
      <c r="E131">
        <v>0</v>
      </c>
      <c r="F131">
        <v>3494.56</v>
      </c>
      <c r="G131">
        <v>3494.56</v>
      </c>
    </row>
    <row r="132" spans="1:7" x14ac:dyDescent="0.35">
      <c r="A132" s="178" t="s">
        <v>2978</v>
      </c>
      <c r="B132">
        <v>0</v>
      </c>
      <c r="C132">
        <v>10726.85</v>
      </c>
      <c r="D132">
        <v>4749.87</v>
      </c>
      <c r="E132">
        <v>13794.37</v>
      </c>
      <c r="F132">
        <v>17637.12</v>
      </c>
      <c r="G132">
        <v>46908.21</v>
      </c>
    </row>
    <row r="133" spans="1:7" x14ac:dyDescent="0.35">
      <c r="A133" s="178" t="s">
        <v>2979</v>
      </c>
      <c r="B133">
        <v>0</v>
      </c>
      <c r="C133">
        <v>0</v>
      </c>
      <c r="D133">
        <v>0</v>
      </c>
      <c r="E133">
        <v>0</v>
      </c>
      <c r="F133">
        <v>8774.73</v>
      </c>
      <c r="G133">
        <v>8774.73</v>
      </c>
    </row>
    <row r="134" spans="1:7" x14ac:dyDescent="0.35">
      <c r="A134" s="178" t="s">
        <v>2980</v>
      </c>
      <c r="B134">
        <v>0</v>
      </c>
      <c r="C134">
        <v>0</v>
      </c>
      <c r="D134">
        <v>0</v>
      </c>
      <c r="E134">
        <v>229483.96</v>
      </c>
      <c r="F134">
        <v>2265.79</v>
      </c>
      <c r="G134">
        <v>231749.75</v>
      </c>
    </row>
    <row r="135" spans="1:7" x14ac:dyDescent="0.35">
      <c r="A135" s="178" t="s">
        <v>2981</v>
      </c>
      <c r="B135">
        <v>0</v>
      </c>
      <c r="C135">
        <v>0</v>
      </c>
      <c r="D135">
        <v>0</v>
      </c>
      <c r="E135">
        <v>0</v>
      </c>
      <c r="F135">
        <v>1687.97</v>
      </c>
      <c r="G135">
        <v>1687.97</v>
      </c>
    </row>
    <row r="136" spans="1:7" x14ac:dyDescent="0.35">
      <c r="A136" s="178" t="s">
        <v>2982</v>
      </c>
      <c r="B136">
        <v>0</v>
      </c>
      <c r="C136">
        <v>0</v>
      </c>
      <c r="D136">
        <v>0</v>
      </c>
      <c r="E136">
        <v>0</v>
      </c>
      <c r="F136">
        <v>250.59</v>
      </c>
      <c r="G136">
        <v>250.59</v>
      </c>
    </row>
    <row r="137" spans="1:7" x14ac:dyDescent="0.35">
      <c r="A137" s="178" t="s">
        <v>2983</v>
      </c>
      <c r="B137">
        <v>0</v>
      </c>
      <c r="C137">
        <v>0</v>
      </c>
      <c r="D137">
        <v>0</v>
      </c>
      <c r="E137">
        <v>32915.760000000002</v>
      </c>
      <c r="F137">
        <v>0</v>
      </c>
      <c r="G137">
        <v>32915.760000000002</v>
      </c>
    </row>
    <row r="138" spans="1:7" x14ac:dyDescent="0.35">
      <c r="A138" s="178" t="s">
        <v>2984</v>
      </c>
      <c r="B138">
        <v>0</v>
      </c>
      <c r="C138">
        <v>0</v>
      </c>
      <c r="D138">
        <v>0</v>
      </c>
      <c r="E138">
        <v>0</v>
      </c>
      <c r="F138">
        <v>1117.57</v>
      </c>
      <c r="G138">
        <v>1117.57</v>
      </c>
    </row>
    <row r="139" spans="1:7" x14ac:dyDescent="0.35">
      <c r="A139" s="178" t="s">
        <v>2985</v>
      </c>
      <c r="B139">
        <v>0</v>
      </c>
      <c r="C139">
        <v>0</v>
      </c>
      <c r="D139">
        <v>0</v>
      </c>
      <c r="E139">
        <v>0</v>
      </c>
      <c r="F139">
        <v>4227.18</v>
      </c>
      <c r="G139">
        <v>4227.18</v>
      </c>
    </row>
    <row r="140" spans="1:7" x14ac:dyDescent="0.35">
      <c r="A140" s="178" t="s">
        <v>2986</v>
      </c>
      <c r="B140">
        <v>0</v>
      </c>
      <c r="C140">
        <v>0</v>
      </c>
      <c r="D140">
        <v>0</v>
      </c>
      <c r="E140">
        <v>0</v>
      </c>
      <c r="F140">
        <v>5524.48</v>
      </c>
      <c r="G140">
        <v>5524.48</v>
      </c>
    </row>
    <row r="141" spans="1:7" x14ac:dyDescent="0.35">
      <c r="A141" s="178" t="s">
        <v>2987</v>
      </c>
      <c r="B141">
        <v>0</v>
      </c>
      <c r="C141">
        <v>0</v>
      </c>
      <c r="D141">
        <v>0</v>
      </c>
      <c r="E141">
        <v>0</v>
      </c>
      <c r="F141">
        <v>2658.17</v>
      </c>
      <c r="G141">
        <v>2658.17</v>
      </c>
    </row>
    <row r="142" spans="1:7" x14ac:dyDescent="0.35">
      <c r="A142" s="178" t="s">
        <v>2988</v>
      </c>
      <c r="B142">
        <v>0</v>
      </c>
      <c r="C142">
        <v>0</v>
      </c>
      <c r="D142">
        <v>0</v>
      </c>
      <c r="E142">
        <v>0</v>
      </c>
      <c r="F142">
        <v>44979.21</v>
      </c>
      <c r="G142">
        <v>44979.21</v>
      </c>
    </row>
    <row r="143" spans="1:7" x14ac:dyDescent="0.35">
      <c r="A143" s="178" t="s">
        <v>2989</v>
      </c>
      <c r="B143">
        <v>0</v>
      </c>
      <c r="C143">
        <v>0</v>
      </c>
      <c r="D143">
        <v>0</v>
      </c>
      <c r="E143">
        <v>4263.93</v>
      </c>
      <c r="F143">
        <v>19110.45</v>
      </c>
      <c r="G143">
        <v>23374.38</v>
      </c>
    </row>
    <row r="144" spans="1:7" x14ac:dyDescent="0.35">
      <c r="A144" s="178" t="s">
        <v>2990</v>
      </c>
      <c r="B144">
        <v>0</v>
      </c>
      <c r="C144">
        <v>0</v>
      </c>
      <c r="D144">
        <v>35594.57</v>
      </c>
      <c r="E144">
        <v>53883.95</v>
      </c>
      <c r="F144">
        <v>48969.42</v>
      </c>
      <c r="G144">
        <v>138447.94</v>
      </c>
    </row>
    <row r="145" spans="1:7" x14ac:dyDescent="0.35">
      <c r="A145" s="178" t="s">
        <v>2991</v>
      </c>
      <c r="B145">
        <v>0</v>
      </c>
      <c r="C145">
        <v>0</v>
      </c>
      <c r="D145">
        <v>0</v>
      </c>
      <c r="E145">
        <v>0</v>
      </c>
      <c r="F145">
        <v>33788.21</v>
      </c>
      <c r="G145">
        <v>33788.21</v>
      </c>
    </row>
    <row r="146" spans="1:7" x14ac:dyDescent="0.35">
      <c r="A146" s="178" t="s">
        <v>2992</v>
      </c>
      <c r="B146">
        <v>1072.98</v>
      </c>
      <c r="C146">
        <v>40457.15</v>
      </c>
      <c r="D146">
        <v>49894.06</v>
      </c>
      <c r="E146">
        <v>43719.9</v>
      </c>
      <c r="F146">
        <v>31121.3</v>
      </c>
      <c r="G146">
        <v>166265.39000000001</v>
      </c>
    </row>
    <row r="147" spans="1:7" x14ac:dyDescent="0.35">
      <c r="A147" s="178" t="s">
        <v>2993</v>
      </c>
      <c r="B147">
        <v>0</v>
      </c>
      <c r="C147">
        <v>0</v>
      </c>
      <c r="D147">
        <v>0</v>
      </c>
      <c r="E147">
        <v>0</v>
      </c>
      <c r="F147">
        <v>7319.06</v>
      </c>
      <c r="G147">
        <v>7319.06</v>
      </c>
    </row>
    <row r="148" spans="1:7" x14ac:dyDescent="0.35">
      <c r="A148" s="178" t="s">
        <v>2994</v>
      </c>
      <c r="B148">
        <v>15808.46</v>
      </c>
      <c r="C148">
        <v>0</v>
      </c>
      <c r="D148">
        <v>0</v>
      </c>
      <c r="E148">
        <v>0</v>
      </c>
      <c r="F148">
        <v>0</v>
      </c>
      <c r="G148">
        <v>15808.46</v>
      </c>
    </row>
    <row r="149" spans="1:7" x14ac:dyDescent="0.35">
      <c r="A149" s="178" t="s">
        <v>2995</v>
      </c>
      <c r="B149">
        <v>0</v>
      </c>
      <c r="C149">
        <v>0</v>
      </c>
      <c r="D149">
        <v>0</v>
      </c>
      <c r="E149">
        <v>0</v>
      </c>
      <c r="F149">
        <v>58524.39</v>
      </c>
      <c r="G149">
        <v>58524.39</v>
      </c>
    </row>
    <row r="150" spans="1:7" x14ac:dyDescent="0.35">
      <c r="A150" s="178" t="s">
        <v>2996</v>
      </c>
      <c r="B150">
        <v>0</v>
      </c>
      <c r="C150">
        <v>0</v>
      </c>
      <c r="D150">
        <v>0</v>
      </c>
      <c r="E150">
        <v>0</v>
      </c>
      <c r="F150">
        <v>24301.8</v>
      </c>
      <c r="G150">
        <v>24301.8</v>
      </c>
    </row>
    <row r="151" spans="1:7" x14ac:dyDescent="0.35">
      <c r="A151" s="178" t="s">
        <v>2997</v>
      </c>
      <c r="B151">
        <v>0</v>
      </c>
      <c r="C151">
        <v>0</v>
      </c>
      <c r="D151">
        <v>0</v>
      </c>
      <c r="E151">
        <v>6525.17</v>
      </c>
      <c r="F151">
        <v>20535.95</v>
      </c>
      <c r="G151">
        <v>27061.119999999999</v>
      </c>
    </row>
    <row r="152" spans="1:7" x14ac:dyDescent="0.35">
      <c r="A152" s="178" t="s">
        <v>2998</v>
      </c>
      <c r="B152">
        <v>0</v>
      </c>
      <c r="C152">
        <v>0</v>
      </c>
      <c r="D152">
        <v>0</v>
      </c>
      <c r="E152">
        <v>72942.84</v>
      </c>
      <c r="F152">
        <v>9832.5</v>
      </c>
      <c r="G152">
        <v>82775.34</v>
      </c>
    </row>
    <row r="153" spans="1:7" x14ac:dyDescent="0.35">
      <c r="A153" s="178" t="s">
        <v>2999</v>
      </c>
      <c r="B153">
        <v>0</v>
      </c>
      <c r="C153">
        <v>0</v>
      </c>
      <c r="D153">
        <v>0</v>
      </c>
      <c r="E153">
        <v>12336.86</v>
      </c>
      <c r="F153">
        <v>13174.98</v>
      </c>
      <c r="G153">
        <v>25511.84</v>
      </c>
    </row>
    <row r="154" spans="1:7" x14ac:dyDescent="0.35">
      <c r="A154" s="178" t="s">
        <v>3000</v>
      </c>
      <c r="B154">
        <v>0</v>
      </c>
      <c r="C154">
        <v>0</v>
      </c>
      <c r="D154">
        <v>0</v>
      </c>
      <c r="E154">
        <v>0</v>
      </c>
      <c r="F154">
        <v>39742.959999999999</v>
      </c>
      <c r="G154">
        <v>39742.959999999999</v>
      </c>
    </row>
    <row r="155" spans="1:7" x14ac:dyDescent="0.35">
      <c r="A155" s="178" t="s">
        <v>3001</v>
      </c>
      <c r="B155">
        <v>0</v>
      </c>
      <c r="C155">
        <v>0</v>
      </c>
      <c r="D155">
        <v>0</v>
      </c>
      <c r="E155">
        <v>14018.79</v>
      </c>
      <c r="F155">
        <v>0</v>
      </c>
      <c r="G155">
        <v>14018.79</v>
      </c>
    </row>
    <row r="156" spans="1:7" x14ac:dyDescent="0.35">
      <c r="A156" s="178" t="s">
        <v>3002</v>
      </c>
      <c r="B156">
        <v>47877.52</v>
      </c>
      <c r="C156">
        <v>0</v>
      </c>
      <c r="D156">
        <v>0</v>
      </c>
      <c r="E156">
        <v>0</v>
      </c>
      <c r="F156">
        <v>0</v>
      </c>
      <c r="G156">
        <v>47877.52</v>
      </c>
    </row>
    <row r="157" spans="1:7" x14ac:dyDescent="0.35">
      <c r="A157" s="178" t="s">
        <v>3003</v>
      </c>
      <c r="B157">
        <v>0</v>
      </c>
      <c r="C157">
        <v>0</v>
      </c>
      <c r="D157">
        <v>0</v>
      </c>
      <c r="E157">
        <v>29044.95</v>
      </c>
      <c r="F157">
        <v>32613.91</v>
      </c>
      <c r="G157">
        <v>61658.86</v>
      </c>
    </row>
    <row r="158" spans="1:7" x14ac:dyDescent="0.35">
      <c r="A158" s="178" t="s">
        <v>3004</v>
      </c>
      <c r="B158">
        <v>0</v>
      </c>
      <c r="C158">
        <v>0</v>
      </c>
      <c r="D158">
        <v>0</v>
      </c>
      <c r="E158">
        <v>0</v>
      </c>
      <c r="F158">
        <v>329.13</v>
      </c>
      <c r="G158">
        <v>329.13</v>
      </c>
    </row>
    <row r="159" spans="1:7" x14ac:dyDescent="0.35">
      <c r="A159" s="178" t="s">
        <v>3005</v>
      </c>
      <c r="B159">
        <v>0</v>
      </c>
      <c r="C159">
        <v>0</v>
      </c>
      <c r="D159">
        <v>0</v>
      </c>
      <c r="E159">
        <v>0</v>
      </c>
      <c r="F159">
        <v>3633.77</v>
      </c>
      <c r="G159">
        <v>3633.77</v>
      </c>
    </row>
    <row r="160" spans="1:7" x14ac:dyDescent="0.35">
      <c r="A160" s="178" t="s">
        <v>3006</v>
      </c>
      <c r="B160">
        <v>0</v>
      </c>
      <c r="C160">
        <v>0</v>
      </c>
      <c r="D160">
        <v>0</v>
      </c>
      <c r="E160">
        <v>0</v>
      </c>
      <c r="F160">
        <v>1524.84</v>
      </c>
      <c r="G160">
        <v>1524.84</v>
      </c>
    </row>
    <row r="161" spans="1:7" x14ac:dyDescent="0.35">
      <c r="A161" s="178" t="s">
        <v>3007</v>
      </c>
      <c r="B161">
        <v>0</v>
      </c>
      <c r="C161">
        <v>0</v>
      </c>
      <c r="D161">
        <v>0</v>
      </c>
      <c r="E161">
        <v>0</v>
      </c>
      <c r="F161">
        <v>19137.04</v>
      </c>
      <c r="G161">
        <v>19137.04</v>
      </c>
    </row>
    <row r="162" spans="1:7" x14ac:dyDescent="0.35">
      <c r="A162" s="178" t="s">
        <v>3008</v>
      </c>
      <c r="B162">
        <v>0</v>
      </c>
      <c r="C162">
        <v>0</v>
      </c>
      <c r="D162">
        <v>0</v>
      </c>
      <c r="E162">
        <v>0</v>
      </c>
      <c r="F162">
        <v>4685.1000000000004</v>
      </c>
      <c r="G162">
        <v>4685.1000000000004</v>
      </c>
    </row>
    <row r="163" spans="1:7" x14ac:dyDescent="0.35">
      <c r="A163" s="178" t="s">
        <v>3009</v>
      </c>
      <c r="B163">
        <v>0</v>
      </c>
      <c r="C163">
        <v>0</v>
      </c>
      <c r="D163">
        <v>0</v>
      </c>
      <c r="E163">
        <v>0</v>
      </c>
      <c r="F163">
        <v>8740.7000000000007</v>
      </c>
      <c r="G163">
        <v>8740.7000000000007</v>
      </c>
    </row>
    <row r="164" spans="1:7" x14ac:dyDescent="0.35">
      <c r="A164" s="178" t="s">
        <v>3010</v>
      </c>
      <c r="B164">
        <v>0</v>
      </c>
      <c r="C164">
        <v>0</v>
      </c>
      <c r="D164">
        <v>0</v>
      </c>
      <c r="E164">
        <v>0</v>
      </c>
      <c r="F164">
        <v>4822.7700000000004</v>
      </c>
      <c r="G164">
        <v>4822.7700000000004</v>
      </c>
    </row>
    <row r="165" spans="1:7" x14ac:dyDescent="0.35">
      <c r="A165" s="178" t="s">
        <v>3011</v>
      </c>
      <c r="B165">
        <v>0</v>
      </c>
      <c r="C165">
        <v>0</v>
      </c>
      <c r="D165">
        <v>20000</v>
      </c>
      <c r="E165">
        <v>23981.19</v>
      </c>
      <c r="F165">
        <v>35043.39</v>
      </c>
      <c r="G165">
        <v>79024.58</v>
      </c>
    </row>
    <row r="166" spans="1:7" x14ac:dyDescent="0.35">
      <c r="A166" s="178" t="s">
        <v>3012</v>
      </c>
      <c r="B166">
        <v>0</v>
      </c>
      <c r="C166">
        <v>0</v>
      </c>
      <c r="D166">
        <v>0</v>
      </c>
      <c r="E166">
        <v>0</v>
      </c>
      <c r="F166">
        <v>5000.03</v>
      </c>
      <c r="G166">
        <v>5000.03</v>
      </c>
    </row>
    <row r="167" spans="1:7" x14ac:dyDescent="0.35">
      <c r="A167" s="178" t="s">
        <v>3013</v>
      </c>
      <c r="B167">
        <v>0</v>
      </c>
      <c r="C167">
        <v>0</v>
      </c>
      <c r="D167">
        <v>0</v>
      </c>
      <c r="E167">
        <v>0</v>
      </c>
      <c r="F167">
        <v>6799.55</v>
      </c>
      <c r="G167">
        <v>6799.55</v>
      </c>
    </row>
    <row r="168" spans="1:7" x14ac:dyDescent="0.35">
      <c r="A168" s="178" t="s">
        <v>3014</v>
      </c>
      <c r="B168">
        <v>0</v>
      </c>
      <c r="C168">
        <v>0</v>
      </c>
      <c r="D168">
        <v>0</v>
      </c>
      <c r="E168">
        <v>2861.15</v>
      </c>
      <c r="F168">
        <v>0</v>
      </c>
      <c r="G168">
        <v>2861.15</v>
      </c>
    </row>
    <row r="169" spans="1:7" x14ac:dyDescent="0.35">
      <c r="A169" s="178" t="s">
        <v>3015</v>
      </c>
      <c r="B169">
        <v>0</v>
      </c>
      <c r="C169">
        <v>0</v>
      </c>
      <c r="D169">
        <v>0</v>
      </c>
      <c r="E169">
        <v>0</v>
      </c>
      <c r="F169">
        <v>673.79</v>
      </c>
      <c r="G169">
        <v>673.79</v>
      </c>
    </row>
    <row r="170" spans="1:7" x14ac:dyDescent="0.35">
      <c r="A170" s="178" t="s">
        <v>3016</v>
      </c>
      <c r="B170">
        <v>0</v>
      </c>
      <c r="C170">
        <v>0</v>
      </c>
      <c r="D170">
        <v>0</v>
      </c>
      <c r="E170">
        <v>0</v>
      </c>
      <c r="F170">
        <v>19031.939999999999</v>
      </c>
      <c r="G170">
        <v>19031.939999999999</v>
      </c>
    </row>
    <row r="171" spans="1:7" x14ac:dyDescent="0.35">
      <c r="A171" s="178" t="s">
        <v>3017</v>
      </c>
      <c r="B171">
        <v>0</v>
      </c>
      <c r="C171">
        <v>0</v>
      </c>
      <c r="D171">
        <v>0</v>
      </c>
      <c r="E171">
        <v>0</v>
      </c>
      <c r="F171">
        <v>15300.93</v>
      </c>
      <c r="G171">
        <v>15300.93</v>
      </c>
    </row>
    <row r="172" spans="1:7" x14ac:dyDescent="0.35">
      <c r="A172" s="178" t="s">
        <v>3018</v>
      </c>
      <c r="B172">
        <v>0</v>
      </c>
      <c r="C172">
        <v>61657.79</v>
      </c>
      <c r="D172">
        <v>10368.950000000001</v>
      </c>
      <c r="E172">
        <v>37460.699999999997</v>
      </c>
      <c r="F172">
        <v>21248.29</v>
      </c>
      <c r="G172">
        <v>130735.73</v>
      </c>
    </row>
    <row r="173" spans="1:7" x14ac:dyDescent="0.35">
      <c r="A173" s="178" t="s">
        <v>3019</v>
      </c>
      <c r="B173">
        <v>0</v>
      </c>
      <c r="C173">
        <v>0</v>
      </c>
      <c r="D173">
        <v>0</v>
      </c>
      <c r="E173">
        <v>0</v>
      </c>
      <c r="F173">
        <v>4341.83</v>
      </c>
      <c r="G173">
        <v>4341.83</v>
      </c>
    </row>
    <row r="174" spans="1:7" x14ac:dyDescent="0.35">
      <c r="A174" s="178" t="s">
        <v>3020</v>
      </c>
      <c r="B174">
        <v>0</v>
      </c>
      <c r="C174">
        <v>0</v>
      </c>
      <c r="D174">
        <v>0</v>
      </c>
      <c r="E174">
        <v>6563.63</v>
      </c>
      <c r="F174">
        <v>0</v>
      </c>
      <c r="G174">
        <v>6563.63</v>
      </c>
    </row>
    <row r="175" spans="1:7" x14ac:dyDescent="0.35">
      <c r="A175" s="178" t="s">
        <v>3021</v>
      </c>
      <c r="B175">
        <v>0</v>
      </c>
      <c r="C175">
        <v>0</v>
      </c>
      <c r="D175">
        <v>0</v>
      </c>
      <c r="E175">
        <v>0</v>
      </c>
      <c r="F175">
        <v>1489.71</v>
      </c>
      <c r="G175">
        <v>1489.71</v>
      </c>
    </row>
    <row r="176" spans="1:7" x14ac:dyDescent="0.35">
      <c r="A176" s="178" t="s">
        <v>3022</v>
      </c>
      <c r="B176">
        <v>0</v>
      </c>
      <c r="C176">
        <v>0</v>
      </c>
      <c r="D176">
        <v>0</v>
      </c>
      <c r="E176">
        <v>10485.24</v>
      </c>
      <c r="F176">
        <v>3927.48</v>
      </c>
      <c r="G176">
        <v>14412.72</v>
      </c>
    </row>
    <row r="177" spans="1:7" x14ac:dyDescent="0.35">
      <c r="A177" s="178" t="s">
        <v>3023</v>
      </c>
      <c r="B177">
        <v>0</v>
      </c>
      <c r="C177">
        <v>0</v>
      </c>
      <c r="D177">
        <v>0</v>
      </c>
      <c r="E177">
        <v>1471.92</v>
      </c>
      <c r="F177">
        <v>0</v>
      </c>
      <c r="G177">
        <v>1471.92</v>
      </c>
    </row>
    <row r="178" spans="1:7" x14ac:dyDescent="0.35">
      <c r="A178" s="178" t="s">
        <v>3024</v>
      </c>
      <c r="B178">
        <v>0</v>
      </c>
      <c r="C178">
        <v>22132.92</v>
      </c>
      <c r="D178">
        <v>5329.33</v>
      </c>
      <c r="E178">
        <v>1759.5</v>
      </c>
      <c r="F178">
        <v>26104.1</v>
      </c>
      <c r="G178">
        <v>55325.85</v>
      </c>
    </row>
    <row r="179" spans="1:7" x14ac:dyDescent="0.35">
      <c r="A179" s="178" t="s">
        <v>3025</v>
      </c>
      <c r="B179">
        <v>0</v>
      </c>
      <c r="C179">
        <v>0</v>
      </c>
      <c r="D179">
        <v>0</v>
      </c>
      <c r="E179">
        <v>0</v>
      </c>
      <c r="F179">
        <v>1570.56</v>
      </c>
      <c r="G179">
        <v>1570.56</v>
      </c>
    </row>
    <row r="180" spans="1:7" x14ac:dyDescent="0.35">
      <c r="A180" s="178" t="s">
        <v>3026</v>
      </c>
      <c r="B180">
        <v>0</v>
      </c>
      <c r="C180">
        <v>0</v>
      </c>
      <c r="D180">
        <v>0</v>
      </c>
      <c r="E180">
        <v>0</v>
      </c>
      <c r="F180">
        <v>58665.25</v>
      </c>
      <c r="G180">
        <v>58665.25</v>
      </c>
    </row>
    <row r="181" spans="1:7" x14ac:dyDescent="0.35">
      <c r="A181" s="178" t="s">
        <v>3027</v>
      </c>
      <c r="B181">
        <v>0</v>
      </c>
      <c r="C181">
        <v>0</v>
      </c>
      <c r="D181">
        <v>0</v>
      </c>
      <c r="E181">
        <v>0</v>
      </c>
      <c r="F181">
        <v>20887.509999999998</v>
      </c>
      <c r="G181">
        <v>20887.509999999998</v>
      </c>
    </row>
    <row r="182" spans="1:7" x14ac:dyDescent="0.35">
      <c r="A182" s="178" t="s">
        <v>3028</v>
      </c>
      <c r="B182">
        <v>0</v>
      </c>
      <c r="C182">
        <v>0</v>
      </c>
      <c r="D182">
        <v>0</v>
      </c>
      <c r="E182">
        <v>0</v>
      </c>
      <c r="F182">
        <v>1308.17</v>
      </c>
      <c r="G182">
        <v>1308.17</v>
      </c>
    </row>
    <row r="183" spans="1:7" x14ac:dyDescent="0.35">
      <c r="A183" s="178" t="s">
        <v>3029</v>
      </c>
      <c r="B183">
        <v>0</v>
      </c>
      <c r="C183">
        <v>0</v>
      </c>
      <c r="D183">
        <v>0</v>
      </c>
      <c r="E183">
        <v>103515.85</v>
      </c>
      <c r="F183">
        <v>11929.41</v>
      </c>
      <c r="G183">
        <v>115445.26</v>
      </c>
    </row>
    <row r="184" spans="1:7" x14ac:dyDescent="0.35">
      <c r="A184" s="178" t="s">
        <v>3030</v>
      </c>
      <c r="B184">
        <v>0</v>
      </c>
      <c r="C184">
        <v>0</v>
      </c>
      <c r="D184">
        <v>0</v>
      </c>
      <c r="E184">
        <v>0</v>
      </c>
      <c r="F184">
        <v>1210.95</v>
      </c>
      <c r="G184">
        <v>1210.95</v>
      </c>
    </row>
    <row r="185" spans="1:7" x14ac:dyDescent="0.35">
      <c r="A185" s="178" t="s">
        <v>3031</v>
      </c>
      <c r="B185">
        <v>115071.29</v>
      </c>
      <c r="C185">
        <v>0</v>
      </c>
      <c r="D185">
        <v>0</v>
      </c>
      <c r="E185">
        <v>0</v>
      </c>
      <c r="F185">
        <v>8461.0400000000009</v>
      </c>
      <c r="G185">
        <v>123532.33</v>
      </c>
    </row>
    <row r="186" spans="1:7" x14ac:dyDescent="0.35">
      <c r="A186" s="178" t="s">
        <v>3032</v>
      </c>
      <c r="B186">
        <v>54908.69</v>
      </c>
      <c r="C186">
        <v>0</v>
      </c>
      <c r="D186">
        <v>0</v>
      </c>
      <c r="E186">
        <v>0</v>
      </c>
      <c r="F186">
        <v>0</v>
      </c>
      <c r="G186">
        <v>54908.69</v>
      </c>
    </row>
    <row r="187" spans="1:7" x14ac:dyDescent="0.35">
      <c r="A187" s="178" t="s">
        <v>3033</v>
      </c>
      <c r="B187">
        <v>0</v>
      </c>
      <c r="C187">
        <v>0</v>
      </c>
      <c r="D187">
        <v>0</v>
      </c>
      <c r="E187">
        <v>0</v>
      </c>
      <c r="F187">
        <v>5095.3599999999997</v>
      </c>
      <c r="G187">
        <v>5095.3599999999997</v>
      </c>
    </row>
    <row r="188" spans="1:7" x14ac:dyDescent="0.35">
      <c r="A188" s="178" t="s">
        <v>3034</v>
      </c>
      <c r="B188">
        <v>0</v>
      </c>
      <c r="C188">
        <v>0</v>
      </c>
      <c r="D188">
        <v>0</v>
      </c>
      <c r="E188">
        <v>0</v>
      </c>
      <c r="F188">
        <v>11799.29</v>
      </c>
      <c r="G188">
        <v>11799.29</v>
      </c>
    </row>
    <row r="189" spans="1:7" x14ac:dyDescent="0.35">
      <c r="A189" s="178" t="s">
        <v>3035</v>
      </c>
      <c r="B189">
        <v>0</v>
      </c>
      <c r="C189">
        <v>0</v>
      </c>
      <c r="D189">
        <v>0</v>
      </c>
      <c r="E189">
        <v>13173.25</v>
      </c>
      <c r="F189">
        <v>8016.35</v>
      </c>
      <c r="G189">
        <v>21189.599999999999</v>
      </c>
    </row>
    <row r="190" spans="1:7" x14ac:dyDescent="0.35">
      <c r="A190" s="178" t="s">
        <v>3036</v>
      </c>
      <c r="B190">
        <v>365380.25</v>
      </c>
      <c r="C190">
        <v>221228.3</v>
      </c>
      <c r="D190">
        <v>438208.68</v>
      </c>
      <c r="E190">
        <v>3589590.34</v>
      </c>
      <c r="F190">
        <v>5557631.2800000003</v>
      </c>
      <c r="G190">
        <v>10172038.85</v>
      </c>
    </row>
    <row r="191" spans="1:7" x14ac:dyDescent="0.35">
      <c r="A191" s="178" t="s">
        <v>3037</v>
      </c>
      <c r="B191" s="178" t="s">
        <v>3038</v>
      </c>
      <c r="C191" s="178" t="s">
        <v>3039</v>
      </c>
      <c r="D191" s="178" t="s">
        <v>3040</v>
      </c>
      <c r="E191" s="178" t="s">
        <v>3041</v>
      </c>
      <c r="F191" s="178" t="s">
        <v>3042</v>
      </c>
      <c r="G191" s="178" t="s">
        <v>3043</v>
      </c>
    </row>
    <row r="192" spans="1:7" x14ac:dyDescent="0.35">
      <c r="A192" s="178" t="s">
        <v>3044</v>
      </c>
      <c r="B192" s="178" t="s">
        <v>57</v>
      </c>
      <c r="C192" s="178" t="s">
        <v>57</v>
      </c>
      <c r="D192" s="178" t="s">
        <v>57</v>
      </c>
      <c r="E192" s="178" t="s">
        <v>57</v>
      </c>
      <c r="F192" s="178" t="s">
        <v>57</v>
      </c>
      <c r="G192">
        <v>10172038.85</v>
      </c>
    </row>
    <row r="193" spans="1:5" x14ac:dyDescent="0.35">
      <c r="A193" s="178"/>
    </row>
    <row r="194" spans="1:5" x14ac:dyDescent="0.35">
      <c r="A194" s="178"/>
      <c r="B194" s="180"/>
      <c r="C194" s="180"/>
      <c r="D194" s="180"/>
      <c r="E194" s="180"/>
    </row>
    <row r="195" spans="1:5" x14ac:dyDescent="0.35">
      <c r="A195" s="178"/>
      <c r="B195" s="180"/>
      <c r="C195" s="180"/>
      <c r="D195" s="180"/>
    </row>
    <row r="196" spans="1:5" x14ac:dyDescent="0.35">
      <c r="A196" s="178"/>
      <c r="B196" s="180"/>
      <c r="C196" s="180"/>
      <c r="D196" s="180"/>
      <c r="E196" s="180"/>
    </row>
    <row r="197" spans="1:5" x14ac:dyDescent="0.35">
      <c r="A197" s="178"/>
      <c r="B197" s="180"/>
      <c r="C197" s="180"/>
      <c r="D197" s="180"/>
    </row>
    <row r="198" spans="1:5" x14ac:dyDescent="0.35">
      <c r="A198" s="178"/>
    </row>
    <row r="199" spans="1:5" x14ac:dyDescent="0.35">
      <c r="A199" s="178"/>
    </row>
    <row r="200" spans="1:5" x14ac:dyDescent="0.35">
      <c r="A200" s="178"/>
    </row>
    <row r="201" spans="1:5" x14ac:dyDescent="0.35">
      <c r="A201" s="178"/>
    </row>
    <row r="202" spans="1:5" x14ac:dyDescent="0.35">
      <c r="A202" s="178"/>
    </row>
    <row r="203" spans="1:5" x14ac:dyDescent="0.35">
      <c r="A203" s="178"/>
    </row>
    <row r="204" spans="1:5" x14ac:dyDescent="0.35">
      <c r="A204" s="178"/>
    </row>
    <row r="205" spans="1:5" x14ac:dyDescent="0.35">
      <c r="A205" s="178"/>
    </row>
    <row r="206" spans="1:5" x14ac:dyDescent="0.35">
      <c r="A206" s="178"/>
    </row>
    <row r="207" spans="1:5" x14ac:dyDescent="0.35">
      <c r="A207" s="178"/>
    </row>
    <row r="208" spans="1:5" x14ac:dyDescent="0.35">
      <c r="A208" s="178"/>
    </row>
    <row r="209" spans="1:1" x14ac:dyDescent="0.35">
      <c r="A209" s="178"/>
    </row>
    <row r="210" spans="1:1" x14ac:dyDescent="0.35">
      <c r="A210" s="178"/>
    </row>
    <row r="211" spans="1:1" x14ac:dyDescent="0.35">
      <c r="A211" s="178"/>
    </row>
    <row r="212" spans="1:1" x14ac:dyDescent="0.35">
      <c r="A212" s="178"/>
    </row>
    <row r="213" spans="1:1" x14ac:dyDescent="0.35">
      <c r="A213" s="178"/>
    </row>
    <row r="214" spans="1:1" x14ac:dyDescent="0.35">
      <c r="A214" s="178"/>
    </row>
    <row r="215" spans="1:1" x14ac:dyDescent="0.35">
      <c r="A215" s="178"/>
    </row>
    <row r="216" spans="1:1" x14ac:dyDescent="0.35">
      <c r="A216" s="178"/>
    </row>
    <row r="217" spans="1:1" x14ac:dyDescent="0.35">
      <c r="A217" s="178"/>
    </row>
    <row r="218" spans="1:1" x14ac:dyDescent="0.35">
      <c r="A218" s="178"/>
    </row>
    <row r="219" spans="1:1" x14ac:dyDescent="0.35">
      <c r="A219" s="178"/>
    </row>
    <row r="220" spans="1:1" x14ac:dyDescent="0.35">
      <c r="A220" s="178"/>
    </row>
    <row r="221" spans="1:1" x14ac:dyDescent="0.35">
      <c r="A221" s="178"/>
    </row>
    <row r="222" spans="1:1" x14ac:dyDescent="0.35">
      <c r="A222" s="178"/>
    </row>
    <row r="223" spans="1:1" x14ac:dyDescent="0.35">
      <c r="A223" s="178"/>
    </row>
    <row r="224" spans="1:1" x14ac:dyDescent="0.35">
      <c r="A224" s="178"/>
    </row>
    <row r="225" spans="1:1" x14ac:dyDescent="0.35">
      <c r="A225" s="178"/>
    </row>
    <row r="226" spans="1:1" x14ac:dyDescent="0.35">
      <c r="A226" s="178"/>
    </row>
    <row r="227" spans="1:1" x14ac:dyDescent="0.35">
      <c r="A227" s="178"/>
    </row>
    <row r="228" spans="1:1" x14ac:dyDescent="0.35">
      <c r="A228" s="178"/>
    </row>
    <row r="229" spans="1:1" x14ac:dyDescent="0.35">
      <c r="A229" s="178"/>
    </row>
    <row r="230" spans="1:1" x14ac:dyDescent="0.35">
      <c r="A230" s="178"/>
    </row>
    <row r="231" spans="1:1" x14ac:dyDescent="0.35">
      <c r="A231" s="178"/>
    </row>
    <row r="232" spans="1:1" x14ac:dyDescent="0.35">
      <c r="A232" s="178"/>
    </row>
    <row r="233" spans="1:1" x14ac:dyDescent="0.35">
      <c r="A233" s="178"/>
    </row>
    <row r="234" spans="1:1" x14ac:dyDescent="0.35">
      <c r="A234" s="178"/>
    </row>
    <row r="235" spans="1:1" x14ac:dyDescent="0.35">
      <c r="A235" s="178"/>
    </row>
    <row r="236" spans="1:1" x14ac:dyDescent="0.35">
      <c r="A236" s="178"/>
    </row>
    <row r="237" spans="1:1" x14ac:dyDescent="0.35">
      <c r="A237" s="178"/>
    </row>
    <row r="238" spans="1:1" x14ac:dyDescent="0.35">
      <c r="A238" s="178"/>
    </row>
    <row r="239" spans="1:1" x14ac:dyDescent="0.35">
      <c r="A239" s="178"/>
    </row>
    <row r="240" spans="1:1" x14ac:dyDescent="0.35">
      <c r="A240" s="178"/>
    </row>
    <row r="241" spans="1:1" x14ac:dyDescent="0.35">
      <c r="A241" s="178"/>
    </row>
    <row r="242" spans="1:1" x14ac:dyDescent="0.35">
      <c r="A242" s="178"/>
    </row>
    <row r="243" spans="1:1" x14ac:dyDescent="0.35">
      <c r="A243" s="178"/>
    </row>
    <row r="244" spans="1:1" x14ac:dyDescent="0.35">
      <c r="A244" s="178"/>
    </row>
    <row r="245" spans="1:1" x14ac:dyDescent="0.35">
      <c r="A245" s="178"/>
    </row>
    <row r="246" spans="1:1" x14ac:dyDescent="0.35">
      <c r="A246" s="178"/>
    </row>
    <row r="247" spans="1:1" x14ac:dyDescent="0.35">
      <c r="A247" s="178"/>
    </row>
    <row r="248" spans="1:1" x14ac:dyDescent="0.35">
      <c r="A248" s="178"/>
    </row>
    <row r="249" spans="1:1" x14ac:dyDescent="0.35">
      <c r="A249" s="178"/>
    </row>
    <row r="250" spans="1:1" x14ac:dyDescent="0.35">
      <c r="A250" s="178"/>
    </row>
    <row r="251" spans="1:1" x14ac:dyDescent="0.35">
      <c r="A251" s="178"/>
    </row>
    <row r="252" spans="1:1" x14ac:dyDescent="0.35">
      <c r="A252" s="178"/>
    </row>
    <row r="253" spans="1:1" x14ac:dyDescent="0.35">
      <c r="A253" s="178"/>
    </row>
    <row r="254" spans="1:1" x14ac:dyDescent="0.35">
      <c r="A254" s="178"/>
    </row>
    <row r="255" spans="1:1" x14ac:dyDescent="0.35">
      <c r="A255" s="178"/>
    </row>
    <row r="256" spans="1:1" x14ac:dyDescent="0.35">
      <c r="A256" s="178"/>
    </row>
    <row r="257" spans="1:5" x14ac:dyDescent="0.35">
      <c r="A257" s="178"/>
    </row>
    <row r="258" spans="1:5" x14ac:dyDescent="0.35">
      <c r="A258" s="178"/>
    </row>
    <row r="259" spans="1:5" x14ac:dyDescent="0.35">
      <c r="A259" s="178"/>
    </row>
    <row r="260" spans="1:5" x14ac:dyDescent="0.35">
      <c r="A260" s="178"/>
    </row>
    <row r="261" spans="1:5" x14ac:dyDescent="0.35">
      <c r="A261" s="178"/>
    </row>
    <row r="262" spans="1:5" x14ac:dyDescent="0.35">
      <c r="A262" s="178"/>
    </row>
    <row r="263" spans="1:5" x14ac:dyDescent="0.35">
      <c r="A263" s="178"/>
    </row>
    <row r="264" spans="1:5" x14ac:dyDescent="0.35">
      <c r="A264" s="178"/>
    </row>
    <row r="265" spans="1:5" x14ac:dyDescent="0.35">
      <c r="A265" s="178"/>
    </row>
    <row r="266" spans="1:5" x14ac:dyDescent="0.35">
      <c r="A266" s="178"/>
    </row>
    <row r="267" spans="1:5" x14ac:dyDescent="0.35">
      <c r="A267" s="178"/>
      <c r="B267" s="180"/>
      <c r="C267" s="180"/>
      <c r="D267" s="180"/>
      <c r="E267" s="180"/>
    </row>
    <row r="268" spans="1:5" x14ac:dyDescent="0.35">
      <c r="A268" s="178"/>
      <c r="B268" s="180"/>
      <c r="C268" s="180"/>
      <c r="D268" s="180"/>
    </row>
  </sheetData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22"/>
  <sheetViews>
    <sheetView workbookViewId="0">
      <selection activeCell="H18" sqref="H18"/>
    </sheetView>
  </sheetViews>
  <sheetFormatPr defaultRowHeight="14.5" x14ac:dyDescent="0.35"/>
  <cols>
    <col min="1" max="1" width="41.08984375" customWidth="1"/>
    <col min="2" max="4" width="8.81640625" style="179" bestFit="1" customWidth="1"/>
    <col min="5" max="5" width="8.90625" style="179" bestFit="1" customWidth="1"/>
    <col min="6" max="7" width="12.36328125" style="179" bestFit="1" customWidth="1"/>
    <col min="8" max="8" width="8.7265625" style="179"/>
  </cols>
  <sheetData>
    <row r="1" spans="1:9" x14ac:dyDescent="0.35">
      <c r="A1" s="178" t="s">
        <v>56</v>
      </c>
      <c r="B1"/>
      <c r="C1"/>
      <c r="D1"/>
      <c r="E1"/>
      <c r="F1"/>
      <c r="G1"/>
      <c r="H1"/>
    </row>
    <row r="2" spans="1:9" x14ac:dyDescent="0.35">
      <c r="A2" s="178" t="s">
        <v>3045</v>
      </c>
      <c r="B2"/>
      <c r="C2"/>
      <c r="D2"/>
      <c r="E2"/>
      <c r="F2"/>
      <c r="G2"/>
      <c r="H2"/>
    </row>
    <row r="3" spans="1:9" x14ac:dyDescent="0.35">
      <c r="A3" s="178" t="s">
        <v>2843</v>
      </c>
      <c r="B3" s="178" t="s">
        <v>57</v>
      </c>
      <c r="C3" s="178" t="s">
        <v>57</v>
      </c>
      <c r="D3" s="178" t="s">
        <v>2844</v>
      </c>
      <c r="E3" s="178" t="s">
        <v>2845</v>
      </c>
      <c r="F3" s="178" t="s">
        <v>2846</v>
      </c>
      <c r="G3" s="178" t="s">
        <v>2847</v>
      </c>
      <c r="H3" s="178" t="s">
        <v>2848</v>
      </c>
      <c r="I3" s="178" t="s">
        <v>2849</v>
      </c>
    </row>
    <row r="4" spans="1:9" x14ac:dyDescent="0.35">
      <c r="A4" s="178" t="s">
        <v>3046</v>
      </c>
      <c r="B4" s="178" t="s">
        <v>57</v>
      </c>
      <c r="C4" s="178" t="s">
        <v>57</v>
      </c>
      <c r="D4">
        <v>0</v>
      </c>
      <c r="E4">
        <v>0</v>
      </c>
      <c r="F4">
        <v>0</v>
      </c>
      <c r="G4">
        <v>0</v>
      </c>
      <c r="H4">
        <v>-55406.05</v>
      </c>
      <c r="I4">
        <v>-55406.05</v>
      </c>
    </row>
    <row r="5" spans="1:9" x14ac:dyDescent="0.35">
      <c r="A5" s="178" t="s">
        <v>3047</v>
      </c>
      <c r="B5" s="178" t="s">
        <v>57</v>
      </c>
      <c r="C5" s="178" t="s">
        <v>57</v>
      </c>
      <c r="D5">
        <v>0</v>
      </c>
      <c r="E5">
        <v>0</v>
      </c>
      <c r="F5">
        <v>0</v>
      </c>
      <c r="G5">
        <v>0</v>
      </c>
      <c r="H5">
        <v>8850.9</v>
      </c>
      <c r="I5">
        <v>8850.9</v>
      </c>
    </row>
    <row r="6" spans="1:9" x14ac:dyDescent="0.35">
      <c r="A6" s="178" t="s">
        <v>3048</v>
      </c>
      <c r="B6" s="178" t="s">
        <v>57</v>
      </c>
      <c r="C6" s="178" t="s">
        <v>57</v>
      </c>
      <c r="D6">
        <v>0</v>
      </c>
      <c r="E6">
        <v>0</v>
      </c>
      <c r="F6">
        <v>0</v>
      </c>
      <c r="G6">
        <v>0</v>
      </c>
      <c r="H6">
        <v>1155</v>
      </c>
      <c r="I6">
        <v>1155</v>
      </c>
    </row>
    <row r="7" spans="1:9" x14ac:dyDescent="0.35">
      <c r="A7" s="178" t="s">
        <v>3049</v>
      </c>
      <c r="B7" s="178" t="s">
        <v>57</v>
      </c>
      <c r="C7" s="178" t="s">
        <v>57</v>
      </c>
      <c r="D7">
        <v>0</v>
      </c>
      <c r="E7">
        <v>0</v>
      </c>
      <c r="F7">
        <v>0</v>
      </c>
      <c r="G7">
        <v>0</v>
      </c>
      <c r="H7">
        <v>90357.49</v>
      </c>
      <c r="I7">
        <v>90357.49</v>
      </c>
    </row>
    <row r="8" spans="1:9" x14ac:dyDescent="0.35">
      <c r="A8" s="178" t="s">
        <v>3050</v>
      </c>
      <c r="B8" s="178" t="s">
        <v>57</v>
      </c>
      <c r="C8" s="178" t="s">
        <v>57</v>
      </c>
      <c r="D8">
        <v>0</v>
      </c>
      <c r="E8">
        <v>0</v>
      </c>
      <c r="F8">
        <v>0</v>
      </c>
      <c r="G8">
        <v>0</v>
      </c>
      <c r="H8">
        <v>-733058.35</v>
      </c>
      <c r="I8">
        <v>-733058.35</v>
      </c>
    </row>
    <row r="9" spans="1:9" x14ac:dyDescent="0.35">
      <c r="A9" s="178" t="s">
        <v>3051</v>
      </c>
      <c r="B9" s="178" t="s">
        <v>57</v>
      </c>
      <c r="C9" s="178" t="s">
        <v>57</v>
      </c>
      <c r="D9">
        <v>0</v>
      </c>
      <c r="E9">
        <v>0</v>
      </c>
      <c r="F9">
        <v>0</v>
      </c>
      <c r="G9">
        <v>0</v>
      </c>
      <c r="H9">
        <v>12455.25</v>
      </c>
      <c r="I9">
        <v>12455.25</v>
      </c>
    </row>
    <row r="10" spans="1:9" x14ac:dyDescent="0.35">
      <c r="A10" s="178" t="s">
        <v>3052</v>
      </c>
      <c r="B10" s="178" t="s">
        <v>57</v>
      </c>
      <c r="C10" s="178" t="s">
        <v>57</v>
      </c>
      <c r="D10">
        <v>0</v>
      </c>
      <c r="E10">
        <v>0</v>
      </c>
      <c r="F10">
        <v>0</v>
      </c>
      <c r="G10">
        <v>0</v>
      </c>
      <c r="H10">
        <v>-551064.84</v>
      </c>
      <c r="I10">
        <v>-551064.84</v>
      </c>
    </row>
    <row r="11" spans="1:9" x14ac:dyDescent="0.35">
      <c r="A11" s="178" t="s">
        <v>3053</v>
      </c>
      <c r="B11" s="178" t="s">
        <v>57</v>
      </c>
      <c r="C11" s="178" t="s">
        <v>57</v>
      </c>
      <c r="D11">
        <v>0</v>
      </c>
      <c r="E11">
        <v>0</v>
      </c>
      <c r="F11">
        <v>0</v>
      </c>
      <c r="G11">
        <v>0</v>
      </c>
      <c r="H11">
        <v>1186.01</v>
      </c>
      <c r="I11">
        <v>1186.01</v>
      </c>
    </row>
    <row r="12" spans="1:9" x14ac:dyDescent="0.35">
      <c r="A12" s="178" t="s">
        <v>3054</v>
      </c>
      <c r="B12" s="178" t="s">
        <v>57</v>
      </c>
      <c r="C12" s="178" t="s">
        <v>57</v>
      </c>
      <c r="D12">
        <v>0</v>
      </c>
      <c r="E12">
        <v>0</v>
      </c>
      <c r="F12">
        <v>0</v>
      </c>
      <c r="G12">
        <v>0</v>
      </c>
      <c r="H12">
        <v>2618991</v>
      </c>
      <c r="I12">
        <v>2618991</v>
      </c>
    </row>
    <row r="13" spans="1:9" x14ac:dyDescent="0.35">
      <c r="A13" s="178" t="s">
        <v>3055</v>
      </c>
      <c r="B13" s="178" t="s">
        <v>57</v>
      </c>
      <c r="C13" s="178" t="s">
        <v>57</v>
      </c>
      <c r="D13">
        <v>0</v>
      </c>
      <c r="E13">
        <v>0</v>
      </c>
      <c r="F13">
        <v>0</v>
      </c>
      <c r="G13">
        <v>0</v>
      </c>
      <c r="H13">
        <v>-8066.22</v>
      </c>
      <c r="I13">
        <v>-8066.22</v>
      </c>
    </row>
    <row r="14" spans="1:9" x14ac:dyDescent="0.35">
      <c r="A14" s="178" t="s">
        <v>3056</v>
      </c>
      <c r="B14" s="178" t="s">
        <v>57</v>
      </c>
      <c r="C14" s="178" t="s">
        <v>57</v>
      </c>
      <c r="D14">
        <v>0</v>
      </c>
      <c r="E14">
        <v>0</v>
      </c>
      <c r="F14">
        <v>0</v>
      </c>
      <c r="G14">
        <v>0</v>
      </c>
      <c r="H14">
        <v>813.34</v>
      </c>
      <c r="I14">
        <v>813.34</v>
      </c>
    </row>
    <row r="15" spans="1:9" x14ac:dyDescent="0.35">
      <c r="A15" s="178" t="s">
        <v>3057</v>
      </c>
      <c r="B15" s="178" t="s">
        <v>57</v>
      </c>
      <c r="C15" s="178" t="s">
        <v>57</v>
      </c>
      <c r="D15">
        <v>0</v>
      </c>
      <c r="E15">
        <v>0</v>
      </c>
      <c r="F15">
        <v>0</v>
      </c>
      <c r="G15">
        <v>0</v>
      </c>
      <c r="H15">
        <v>-1999</v>
      </c>
      <c r="I15">
        <v>-1999</v>
      </c>
    </row>
    <row r="16" spans="1:9" x14ac:dyDescent="0.35">
      <c r="A16" s="178" t="s">
        <v>3058</v>
      </c>
      <c r="B16" s="178" t="s">
        <v>57</v>
      </c>
      <c r="C16" s="178" t="s">
        <v>57</v>
      </c>
      <c r="D16">
        <v>0</v>
      </c>
      <c r="E16">
        <v>0</v>
      </c>
      <c r="F16">
        <v>0</v>
      </c>
      <c r="G16">
        <v>0</v>
      </c>
      <c r="H16">
        <v>6654.83</v>
      </c>
      <c r="I16">
        <v>6654.83</v>
      </c>
    </row>
    <row r="17" spans="1:9" x14ac:dyDescent="0.35">
      <c r="A17" s="178" t="s">
        <v>3059</v>
      </c>
      <c r="B17" s="178" t="s">
        <v>57</v>
      </c>
      <c r="C17" s="178" t="s">
        <v>57</v>
      </c>
      <c r="D17">
        <v>0</v>
      </c>
      <c r="E17">
        <v>0</v>
      </c>
      <c r="F17">
        <v>0</v>
      </c>
      <c r="G17">
        <v>0</v>
      </c>
      <c r="H17">
        <v>6544.86</v>
      </c>
      <c r="I17">
        <v>6544.86</v>
      </c>
    </row>
    <row r="18" spans="1:9" x14ac:dyDescent="0.35">
      <c r="A18" s="178" t="s">
        <v>3060</v>
      </c>
      <c r="B18" s="178" t="s">
        <v>57</v>
      </c>
      <c r="C18" s="178" t="s">
        <v>57</v>
      </c>
      <c r="D18">
        <v>0</v>
      </c>
      <c r="E18">
        <v>0</v>
      </c>
      <c r="F18">
        <v>0</v>
      </c>
      <c r="G18">
        <v>0</v>
      </c>
      <c r="H18">
        <v>1397414.22</v>
      </c>
      <c r="I18">
        <v>1397414.22</v>
      </c>
    </row>
    <row r="19" spans="1:9" x14ac:dyDescent="0.35">
      <c r="A19" s="178" t="s">
        <v>3037</v>
      </c>
      <c r="B19" s="178" t="s">
        <v>57</v>
      </c>
      <c r="C19" s="178" t="s">
        <v>57</v>
      </c>
      <c r="D19" s="178" t="s">
        <v>3061</v>
      </c>
      <c r="E19" s="178" t="s">
        <v>3061</v>
      </c>
      <c r="F19" s="178" t="s">
        <v>3061</v>
      </c>
      <c r="G19" s="178" t="s">
        <v>3061</v>
      </c>
      <c r="H19" s="178" t="s">
        <v>3043</v>
      </c>
      <c r="I19" s="178" t="s">
        <v>3043</v>
      </c>
    </row>
    <row r="20" spans="1:9" x14ac:dyDescent="0.35">
      <c r="A20" s="178" t="s">
        <v>3062</v>
      </c>
      <c r="B20" s="178" t="s">
        <v>57</v>
      </c>
      <c r="C20" s="178" t="s">
        <v>57</v>
      </c>
      <c r="D20" s="178" t="s">
        <v>57</v>
      </c>
      <c r="E20" s="178" t="s">
        <v>57</v>
      </c>
      <c r="F20" s="178" t="s">
        <v>57</v>
      </c>
      <c r="G20" s="178" t="s">
        <v>57</v>
      </c>
      <c r="H20" s="178" t="s">
        <v>57</v>
      </c>
      <c r="I20">
        <v>1397414.22</v>
      </c>
    </row>
    <row r="21" spans="1:9" x14ac:dyDescent="0.35">
      <c r="A21" s="178"/>
      <c r="B21" s="180"/>
      <c r="C21" s="180"/>
      <c r="D21" s="180"/>
      <c r="E21" s="180"/>
      <c r="F21" s="180"/>
      <c r="G21" s="180"/>
    </row>
    <row r="22" spans="1:9" x14ac:dyDescent="0.35">
      <c r="A22" s="178"/>
      <c r="B22" s="180"/>
      <c r="C22" s="180"/>
      <c r="D22" s="180"/>
      <c r="E22" s="180"/>
      <c r="F22" s="180"/>
    </row>
  </sheetData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1161"/>
  <sheetViews>
    <sheetView topLeftCell="A20" workbookViewId="0">
      <selection activeCell="B4" sqref="B4:B40"/>
    </sheetView>
  </sheetViews>
  <sheetFormatPr defaultRowHeight="14.5" x14ac:dyDescent="0.35"/>
  <cols>
    <col min="1" max="1" width="46.1796875" customWidth="1"/>
    <col min="2" max="2" width="11.1796875" customWidth="1"/>
    <col min="3" max="3" width="16.54296875" style="179" customWidth="1"/>
    <col min="4" max="4" width="20" customWidth="1"/>
  </cols>
  <sheetData>
    <row r="1" spans="1:7" x14ac:dyDescent="0.35">
      <c r="A1" s="178" t="s">
        <v>56</v>
      </c>
    </row>
    <row r="2" spans="1:7" x14ac:dyDescent="0.35">
      <c r="A2" s="178" t="s">
        <v>221</v>
      </c>
    </row>
    <row r="3" spans="1:7" x14ac:dyDescent="0.35">
      <c r="A3" s="178" t="s">
        <v>57</v>
      </c>
      <c r="B3" s="229" t="s">
        <v>58</v>
      </c>
      <c r="C3" s="228" t="s">
        <v>59</v>
      </c>
      <c r="D3" s="178" t="s">
        <v>57</v>
      </c>
    </row>
    <row r="4" spans="1:7" x14ac:dyDescent="0.35">
      <c r="A4" s="178" t="s">
        <v>60</v>
      </c>
      <c r="B4">
        <v>412.43</v>
      </c>
      <c r="C4" s="179">
        <v>100878.7</v>
      </c>
      <c r="E4" s="178"/>
      <c r="F4" s="178"/>
      <c r="G4" s="178"/>
    </row>
    <row r="5" spans="1:7" x14ac:dyDescent="0.35">
      <c r="A5" s="178" t="s">
        <v>61</v>
      </c>
      <c r="B5">
        <v>1435.86</v>
      </c>
      <c r="C5" s="179">
        <v>515008.5</v>
      </c>
    </row>
    <row r="6" spans="1:7" x14ac:dyDescent="0.35">
      <c r="A6" s="178" t="s">
        <v>62</v>
      </c>
      <c r="B6">
        <v>1596.48</v>
      </c>
      <c r="C6" s="179">
        <v>420981.67</v>
      </c>
    </row>
    <row r="7" spans="1:7" x14ac:dyDescent="0.35">
      <c r="A7" s="178" t="s">
        <v>63</v>
      </c>
      <c r="B7">
        <v>248.38</v>
      </c>
      <c r="C7" s="179">
        <v>86917.55</v>
      </c>
    </row>
    <row r="8" spans="1:7" x14ac:dyDescent="0.35">
      <c r="A8" s="178" t="s">
        <v>64</v>
      </c>
      <c r="B8">
        <v>153.66</v>
      </c>
      <c r="C8" s="179">
        <v>55283</v>
      </c>
    </row>
    <row r="9" spans="1:7" x14ac:dyDescent="0.35">
      <c r="A9" s="178" t="s">
        <v>65</v>
      </c>
      <c r="B9">
        <v>137.88</v>
      </c>
      <c r="C9" s="179">
        <v>46447.55</v>
      </c>
    </row>
    <row r="10" spans="1:7" x14ac:dyDescent="0.35">
      <c r="A10" s="178" t="s">
        <v>66</v>
      </c>
      <c r="B10">
        <v>1977.97</v>
      </c>
      <c r="C10" s="179">
        <v>472946.59</v>
      </c>
    </row>
    <row r="11" spans="1:7" x14ac:dyDescent="0.35">
      <c r="A11" s="178" t="s">
        <v>67</v>
      </c>
      <c r="B11">
        <v>164.33</v>
      </c>
      <c r="C11" s="179">
        <v>56799.5</v>
      </c>
    </row>
    <row r="12" spans="1:7" x14ac:dyDescent="0.35">
      <c r="A12" s="178" t="s">
        <v>68</v>
      </c>
      <c r="B12">
        <v>1368.92</v>
      </c>
      <c r="C12" s="179">
        <v>575442.05000000005</v>
      </c>
    </row>
    <row r="13" spans="1:7" x14ac:dyDescent="0.35">
      <c r="A13" s="178" t="s">
        <v>69</v>
      </c>
      <c r="B13">
        <v>558.5</v>
      </c>
      <c r="C13" s="179">
        <v>196163.56</v>
      </c>
    </row>
    <row r="14" spans="1:7" x14ac:dyDescent="0.35">
      <c r="A14" s="178" t="s">
        <v>70</v>
      </c>
      <c r="B14">
        <v>264.05</v>
      </c>
      <c r="C14" s="179">
        <v>109261.3</v>
      </c>
    </row>
    <row r="15" spans="1:7" x14ac:dyDescent="0.35">
      <c r="A15" s="178" t="s">
        <v>71</v>
      </c>
      <c r="B15">
        <v>195.65</v>
      </c>
      <c r="C15" s="179">
        <v>62861.83</v>
      </c>
    </row>
    <row r="16" spans="1:7" x14ac:dyDescent="0.35">
      <c r="A16" s="178" t="s">
        <v>72</v>
      </c>
      <c r="B16">
        <v>1678.31</v>
      </c>
      <c r="C16" s="179">
        <v>435248.6</v>
      </c>
    </row>
    <row r="17" spans="1:4" x14ac:dyDescent="0.35">
      <c r="A17" s="178" t="s">
        <v>73</v>
      </c>
      <c r="B17">
        <v>1186.5899999999999</v>
      </c>
      <c r="C17" s="179">
        <v>295076.2</v>
      </c>
      <c r="D17" s="178"/>
    </row>
    <row r="18" spans="1:4" x14ac:dyDescent="0.35">
      <c r="A18" s="178" t="s">
        <v>74</v>
      </c>
      <c r="B18">
        <v>535.35</v>
      </c>
      <c r="C18" s="179">
        <v>221106</v>
      </c>
      <c r="D18" s="178"/>
    </row>
    <row r="19" spans="1:4" x14ac:dyDescent="0.35">
      <c r="A19" s="178" t="s">
        <v>75</v>
      </c>
      <c r="B19">
        <v>896.31</v>
      </c>
      <c r="C19" s="179">
        <v>327759.59999999998</v>
      </c>
      <c r="D19" s="178"/>
    </row>
    <row r="20" spans="1:4" x14ac:dyDescent="0.35">
      <c r="A20" s="178" t="s">
        <v>76</v>
      </c>
      <c r="B20">
        <v>192.54</v>
      </c>
      <c r="C20" s="179">
        <v>81112.95</v>
      </c>
      <c r="D20" s="178"/>
    </row>
    <row r="21" spans="1:4" x14ac:dyDescent="0.35">
      <c r="A21" s="178" t="s">
        <v>77</v>
      </c>
      <c r="B21">
        <v>599.48</v>
      </c>
      <c r="C21" s="179">
        <v>160293.4</v>
      </c>
      <c r="D21" s="178"/>
    </row>
    <row r="22" spans="1:4" x14ac:dyDescent="0.35">
      <c r="A22" s="178" t="s">
        <v>78</v>
      </c>
      <c r="B22">
        <v>26.5</v>
      </c>
      <c r="C22" s="179">
        <v>7817.5</v>
      </c>
      <c r="D22" s="178"/>
    </row>
    <row r="23" spans="1:4" x14ac:dyDescent="0.35">
      <c r="A23" s="178" t="s">
        <v>79</v>
      </c>
      <c r="B23">
        <v>227.19</v>
      </c>
      <c r="C23" s="179">
        <v>95900.95</v>
      </c>
      <c r="D23" s="178"/>
    </row>
    <row r="24" spans="1:4" x14ac:dyDescent="0.35">
      <c r="A24" s="178" t="s">
        <v>80</v>
      </c>
      <c r="B24">
        <v>85.63</v>
      </c>
      <c r="C24" s="179">
        <v>35903.65</v>
      </c>
      <c r="D24" s="178"/>
    </row>
    <row r="25" spans="1:4" x14ac:dyDescent="0.35">
      <c r="A25" s="178" t="s">
        <v>222</v>
      </c>
      <c r="B25">
        <v>1.26</v>
      </c>
      <c r="C25" s="179">
        <v>289.8</v>
      </c>
      <c r="D25" s="178"/>
    </row>
    <row r="26" spans="1:4" x14ac:dyDescent="0.35">
      <c r="A26" s="178" t="s">
        <v>81</v>
      </c>
      <c r="B26">
        <v>75.55</v>
      </c>
      <c r="C26" s="179">
        <v>32131.1</v>
      </c>
      <c r="D26" s="178"/>
    </row>
    <row r="27" spans="1:4" x14ac:dyDescent="0.35">
      <c r="A27" s="178" t="s">
        <v>82</v>
      </c>
      <c r="B27">
        <v>194.2</v>
      </c>
      <c r="C27" s="179">
        <v>79473</v>
      </c>
      <c r="D27" s="178"/>
    </row>
    <row r="28" spans="1:4" x14ac:dyDescent="0.35">
      <c r="A28" s="178" t="s">
        <v>83</v>
      </c>
      <c r="B28">
        <v>3934.37</v>
      </c>
      <c r="C28" s="179">
        <v>1446569.77</v>
      </c>
      <c r="D28" s="178"/>
    </row>
    <row r="29" spans="1:4" x14ac:dyDescent="0.35">
      <c r="A29" s="178" t="s">
        <v>84</v>
      </c>
      <c r="B29">
        <v>58.95</v>
      </c>
      <c r="C29" s="179">
        <v>23908.9</v>
      </c>
      <c r="D29" s="178"/>
    </row>
    <row r="30" spans="1:4" x14ac:dyDescent="0.35">
      <c r="A30" s="178" t="s">
        <v>85</v>
      </c>
      <c r="B30">
        <v>1374.59</v>
      </c>
      <c r="C30" s="179">
        <v>580511.01</v>
      </c>
      <c r="D30" s="178"/>
    </row>
    <row r="31" spans="1:4" x14ac:dyDescent="0.35">
      <c r="A31" s="178" t="s">
        <v>86</v>
      </c>
      <c r="B31">
        <v>2815.34</v>
      </c>
      <c r="C31" s="179">
        <v>720227.7</v>
      </c>
      <c r="D31" s="178"/>
    </row>
    <row r="32" spans="1:4" x14ac:dyDescent="0.35">
      <c r="A32" s="178" t="s">
        <v>87</v>
      </c>
      <c r="B32">
        <v>790.84</v>
      </c>
      <c r="C32" s="179">
        <v>287493.3</v>
      </c>
      <c r="D32" s="178"/>
    </row>
    <row r="33" spans="1:4" x14ac:dyDescent="0.35">
      <c r="A33" s="178" t="s">
        <v>88</v>
      </c>
      <c r="B33">
        <v>10.89</v>
      </c>
      <c r="C33" s="179">
        <v>3040.45</v>
      </c>
      <c r="D33" s="178"/>
    </row>
    <row r="34" spans="1:4" x14ac:dyDescent="0.35">
      <c r="A34" s="178" t="s">
        <v>89</v>
      </c>
      <c r="B34">
        <v>27.7</v>
      </c>
      <c r="C34" s="179">
        <v>6925</v>
      </c>
      <c r="D34" s="178"/>
    </row>
    <row r="35" spans="1:4" x14ac:dyDescent="0.35">
      <c r="A35" s="178" t="s">
        <v>90</v>
      </c>
      <c r="B35">
        <v>246.06</v>
      </c>
      <c r="C35" s="179">
        <v>99225.45</v>
      </c>
      <c r="D35" s="178"/>
    </row>
    <row r="36" spans="1:4" x14ac:dyDescent="0.35">
      <c r="A36" s="178" t="s">
        <v>223</v>
      </c>
      <c r="B36">
        <v>666.05</v>
      </c>
      <c r="C36" s="179">
        <v>279260.09999999998</v>
      </c>
      <c r="D36" s="178"/>
    </row>
    <row r="37" spans="1:4" x14ac:dyDescent="0.35">
      <c r="A37" s="178" t="s">
        <v>91</v>
      </c>
      <c r="B37">
        <v>480.51</v>
      </c>
      <c r="C37" s="179">
        <v>200768.05</v>
      </c>
      <c r="D37" s="178"/>
    </row>
    <row r="38" spans="1:4" x14ac:dyDescent="0.35">
      <c r="A38" s="178" t="s">
        <v>92</v>
      </c>
      <c r="B38">
        <v>244.45</v>
      </c>
      <c r="C38" s="179">
        <v>63557</v>
      </c>
      <c r="D38" s="178"/>
    </row>
    <row r="39" spans="1:4" x14ac:dyDescent="0.35">
      <c r="A39" s="178" t="s">
        <v>93</v>
      </c>
      <c r="B39">
        <v>11.35</v>
      </c>
      <c r="C39" s="179">
        <v>1372.75</v>
      </c>
      <c r="D39" s="178"/>
    </row>
    <row r="40" spans="1:4" x14ac:dyDescent="0.35">
      <c r="A40" s="178" t="s">
        <v>224</v>
      </c>
      <c r="B40">
        <v>45.26</v>
      </c>
      <c r="C40" s="179">
        <v>9957.2000000000007</v>
      </c>
      <c r="D40" s="178"/>
    </row>
    <row r="41" spans="1:4" x14ac:dyDescent="0.35">
      <c r="A41" s="178" t="s">
        <v>94</v>
      </c>
      <c r="B41">
        <f>SUM(B4:B40)</f>
        <v>24919.379999999997</v>
      </c>
      <c r="C41" s="179">
        <f>SUM(C4:C40)</f>
        <v>8193921.2300000004</v>
      </c>
      <c r="D41" s="178"/>
    </row>
    <row r="42" spans="1:4" x14ac:dyDescent="0.35">
      <c r="A42" s="178"/>
      <c r="D42" s="178"/>
    </row>
    <row r="43" spans="1:4" x14ac:dyDescent="0.35">
      <c r="A43" s="178"/>
      <c r="B43" s="178"/>
      <c r="C43" s="180"/>
      <c r="D43" s="178"/>
    </row>
    <row r="44" spans="1:4" x14ac:dyDescent="0.35">
      <c r="A44" s="178"/>
      <c r="B44" s="178"/>
      <c r="C44" s="180"/>
      <c r="D44" s="178"/>
    </row>
    <row r="45" spans="1:4" x14ac:dyDescent="0.35">
      <c r="A45" s="178"/>
      <c r="B45" s="178"/>
      <c r="C45" s="180"/>
      <c r="D45" s="178"/>
    </row>
    <row r="46" spans="1:4" x14ac:dyDescent="0.35">
      <c r="A46" s="178"/>
      <c r="B46" s="178"/>
      <c r="C46" s="180"/>
      <c r="D46" s="178"/>
    </row>
    <row r="47" spans="1:4" x14ac:dyDescent="0.35">
      <c r="A47" s="178"/>
      <c r="B47" s="178"/>
      <c r="C47" s="180"/>
      <c r="D47" s="178"/>
    </row>
    <row r="48" spans="1:4" x14ac:dyDescent="0.35">
      <c r="A48" s="178"/>
      <c r="B48" s="178"/>
      <c r="C48" s="180"/>
      <c r="D48" s="178"/>
    </row>
    <row r="49" spans="1:4" x14ac:dyDescent="0.35">
      <c r="A49" s="178"/>
      <c r="B49" s="178"/>
      <c r="C49" s="180"/>
      <c r="D49" s="178"/>
    </row>
    <row r="50" spans="1:4" x14ac:dyDescent="0.35">
      <c r="A50" s="178"/>
      <c r="B50" s="178"/>
      <c r="C50" s="180"/>
      <c r="D50" s="178"/>
    </row>
    <row r="51" spans="1:4" x14ac:dyDescent="0.35">
      <c r="A51" s="178"/>
      <c r="B51" s="178"/>
      <c r="C51" s="180"/>
      <c r="D51" s="178"/>
    </row>
    <row r="52" spans="1:4" x14ac:dyDescent="0.35">
      <c r="A52" s="178"/>
      <c r="B52" s="178"/>
      <c r="C52" s="180"/>
      <c r="D52" s="178"/>
    </row>
    <row r="53" spans="1:4" x14ac:dyDescent="0.35">
      <c r="A53" s="178"/>
      <c r="B53" s="178"/>
      <c r="C53" s="180"/>
      <c r="D53" s="178"/>
    </row>
    <row r="54" spans="1:4" x14ac:dyDescent="0.35">
      <c r="A54" s="178"/>
      <c r="B54" s="178"/>
      <c r="C54" s="180"/>
      <c r="D54" s="178"/>
    </row>
    <row r="55" spans="1:4" x14ac:dyDescent="0.35">
      <c r="A55" s="178"/>
      <c r="B55" s="178"/>
      <c r="C55" s="180"/>
      <c r="D55" s="178"/>
    </row>
    <row r="56" spans="1:4" x14ac:dyDescent="0.35">
      <c r="A56" s="178"/>
      <c r="B56" s="178"/>
      <c r="C56" s="180"/>
      <c r="D56" s="178"/>
    </row>
    <row r="57" spans="1:4" x14ac:dyDescent="0.35">
      <c r="A57" s="178"/>
      <c r="B57" s="178"/>
      <c r="C57" s="180"/>
      <c r="D57" s="178"/>
    </row>
    <row r="58" spans="1:4" x14ac:dyDescent="0.35">
      <c r="A58" s="178"/>
      <c r="B58" s="178"/>
      <c r="C58" s="180"/>
      <c r="D58" s="178"/>
    </row>
    <row r="59" spans="1:4" x14ac:dyDescent="0.35">
      <c r="A59" s="178"/>
      <c r="B59" s="178"/>
      <c r="C59" s="180"/>
      <c r="D59" s="178"/>
    </row>
    <row r="60" spans="1:4" x14ac:dyDescent="0.35">
      <c r="A60" s="178"/>
      <c r="B60" s="178"/>
      <c r="C60" s="180"/>
      <c r="D60" s="178"/>
    </row>
    <row r="61" spans="1:4" x14ac:dyDescent="0.35">
      <c r="A61" s="178"/>
      <c r="B61" s="178"/>
      <c r="C61" s="180"/>
      <c r="D61" s="178"/>
    </row>
    <row r="62" spans="1:4" x14ac:dyDescent="0.35">
      <c r="A62" s="178"/>
      <c r="B62" s="178"/>
      <c r="C62" s="180"/>
      <c r="D62" s="178"/>
    </row>
    <row r="63" spans="1:4" x14ac:dyDescent="0.35">
      <c r="A63" s="178"/>
      <c r="B63" s="178"/>
      <c r="C63" s="180"/>
      <c r="D63" s="178"/>
    </row>
    <row r="64" spans="1:4" x14ac:dyDescent="0.35">
      <c r="A64" s="178"/>
      <c r="B64" s="178"/>
      <c r="C64" s="180"/>
      <c r="D64" s="178"/>
    </row>
    <row r="65" spans="1:4" x14ac:dyDescent="0.35">
      <c r="A65" s="178"/>
      <c r="B65" s="178"/>
      <c r="C65" s="180"/>
      <c r="D65" s="178"/>
    </row>
    <row r="66" spans="1:4" x14ac:dyDescent="0.35">
      <c r="A66" s="178"/>
      <c r="B66" s="178"/>
      <c r="C66" s="180"/>
      <c r="D66" s="178"/>
    </row>
    <row r="67" spans="1:4" x14ac:dyDescent="0.35">
      <c r="A67" s="178"/>
      <c r="B67" s="178"/>
      <c r="C67" s="180"/>
      <c r="D67" s="178"/>
    </row>
    <row r="68" spans="1:4" x14ac:dyDescent="0.35">
      <c r="A68" s="178"/>
      <c r="B68" s="178"/>
      <c r="C68" s="180"/>
      <c r="D68" s="178"/>
    </row>
    <row r="69" spans="1:4" x14ac:dyDescent="0.35">
      <c r="A69" s="178"/>
      <c r="B69" s="178"/>
      <c r="C69" s="180"/>
      <c r="D69" s="178"/>
    </row>
    <row r="70" spans="1:4" x14ac:dyDescent="0.35">
      <c r="A70" s="178"/>
      <c r="B70" s="178"/>
      <c r="C70" s="180"/>
      <c r="D70" s="178"/>
    </row>
    <row r="71" spans="1:4" x14ac:dyDescent="0.35">
      <c r="A71" s="178"/>
      <c r="B71" s="178"/>
      <c r="C71" s="180"/>
      <c r="D71" s="178"/>
    </row>
    <row r="72" spans="1:4" x14ac:dyDescent="0.35">
      <c r="A72" s="178"/>
      <c r="B72" s="178"/>
      <c r="C72" s="180"/>
      <c r="D72" s="178"/>
    </row>
    <row r="73" spans="1:4" x14ac:dyDescent="0.35">
      <c r="A73" s="178"/>
      <c r="B73" s="178"/>
      <c r="C73" s="180"/>
      <c r="D73" s="178"/>
    </row>
    <row r="74" spans="1:4" x14ac:dyDescent="0.35">
      <c r="A74" s="178"/>
      <c r="B74" s="178"/>
      <c r="C74" s="180"/>
      <c r="D74" s="178"/>
    </row>
    <row r="75" spans="1:4" x14ac:dyDescent="0.35">
      <c r="A75" s="178"/>
      <c r="B75" s="178"/>
      <c r="C75" s="180"/>
      <c r="D75" s="178"/>
    </row>
    <row r="76" spans="1:4" x14ac:dyDescent="0.35">
      <c r="A76" s="178"/>
      <c r="B76" s="178"/>
      <c r="C76" s="180"/>
      <c r="D76" s="178"/>
    </row>
    <row r="77" spans="1:4" x14ac:dyDescent="0.35">
      <c r="A77" s="178"/>
      <c r="B77" s="178"/>
      <c r="C77" s="180"/>
      <c r="D77" s="178"/>
    </row>
    <row r="78" spans="1:4" x14ac:dyDescent="0.35">
      <c r="A78" s="178"/>
      <c r="B78" s="178"/>
      <c r="C78" s="180"/>
      <c r="D78" s="178"/>
    </row>
    <row r="79" spans="1:4" x14ac:dyDescent="0.35">
      <c r="A79" s="178"/>
      <c r="B79" s="178"/>
      <c r="C79" s="180"/>
      <c r="D79" s="178"/>
    </row>
    <row r="80" spans="1:4" x14ac:dyDescent="0.35">
      <c r="A80" s="178"/>
      <c r="B80" s="178"/>
      <c r="C80" s="180"/>
      <c r="D80" s="178"/>
    </row>
    <row r="81" spans="1:4" x14ac:dyDescent="0.35">
      <c r="A81" s="178"/>
      <c r="B81" s="178"/>
      <c r="C81" s="180"/>
      <c r="D81" s="178"/>
    </row>
    <row r="82" spans="1:4" x14ac:dyDescent="0.35">
      <c r="A82" s="178"/>
      <c r="B82" s="178"/>
      <c r="C82" s="180"/>
      <c r="D82" s="178"/>
    </row>
    <row r="83" spans="1:4" x14ac:dyDescent="0.35">
      <c r="A83" s="178"/>
      <c r="B83" s="178"/>
      <c r="C83" s="180"/>
      <c r="D83" s="178"/>
    </row>
    <row r="84" spans="1:4" x14ac:dyDescent="0.35">
      <c r="A84" s="178"/>
      <c r="B84" s="178"/>
      <c r="C84" s="180"/>
      <c r="D84" s="178"/>
    </row>
    <row r="85" spans="1:4" x14ac:dyDescent="0.35">
      <c r="A85" s="178"/>
      <c r="B85" s="178"/>
      <c r="C85" s="180"/>
      <c r="D85" s="178"/>
    </row>
    <row r="86" spans="1:4" x14ac:dyDescent="0.35">
      <c r="A86" s="178"/>
      <c r="B86" s="178"/>
      <c r="C86" s="180"/>
      <c r="D86" s="178"/>
    </row>
    <row r="87" spans="1:4" x14ac:dyDescent="0.35">
      <c r="A87" s="178"/>
      <c r="B87" s="178"/>
      <c r="C87" s="180"/>
      <c r="D87" s="178"/>
    </row>
    <row r="88" spans="1:4" x14ac:dyDescent="0.35">
      <c r="A88" s="178"/>
      <c r="B88" s="178"/>
      <c r="C88" s="180"/>
      <c r="D88" s="178"/>
    </row>
    <row r="89" spans="1:4" x14ac:dyDescent="0.35">
      <c r="A89" s="178"/>
      <c r="B89" s="178"/>
      <c r="C89" s="180"/>
      <c r="D89" s="178"/>
    </row>
    <row r="90" spans="1:4" x14ac:dyDescent="0.35">
      <c r="A90" s="178"/>
      <c r="B90" s="178"/>
      <c r="C90" s="180"/>
      <c r="D90" s="178"/>
    </row>
    <row r="91" spans="1:4" x14ac:dyDescent="0.35">
      <c r="A91" s="178"/>
      <c r="B91" s="178"/>
      <c r="C91" s="180"/>
      <c r="D91" s="178"/>
    </row>
    <row r="92" spans="1:4" x14ac:dyDescent="0.35">
      <c r="A92" s="178"/>
      <c r="B92" s="178"/>
      <c r="C92" s="180"/>
      <c r="D92" s="178"/>
    </row>
    <row r="93" spans="1:4" x14ac:dyDescent="0.35">
      <c r="A93" s="178"/>
      <c r="B93" s="178"/>
      <c r="C93" s="180"/>
      <c r="D93" s="178"/>
    </row>
    <row r="94" spans="1:4" x14ac:dyDescent="0.35">
      <c r="A94" s="178"/>
      <c r="B94" s="178"/>
      <c r="C94" s="180"/>
      <c r="D94" s="178"/>
    </row>
    <row r="95" spans="1:4" x14ac:dyDescent="0.35">
      <c r="A95" s="178"/>
      <c r="B95" s="178"/>
      <c r="C95" s="180"/>
      <c r="D95" s="178"/>
    </row>
    <row r="96" spans="1:4" x14ac:dyDescent="0.35">
      <c r="A96" s="178"/>
      <c r="B96" s="178"/>
      <c r="C96" s="180"/>
      <c r="D96" s="178"/>
    </row>
    <row r="97" spans="1:4" x14ac:dyDescent="0.35">
      <c r="A97" s="178"/>
      <c r="B97" s="178"/>
      <c r="C97" s="180"/>
      <c r="D97" s="178"/>
    </row>
    <row r="98" spans="1:4" x14ac:dyDescent="0.35">
      <c r="A98" s="178"/>
      <c r="B98" s="178"/>
      <c r="C98" s="180"/>
      <c r="D98" s="178"/>
    </row>
    <row r="99" spans="1:4" x14ac:dyDescent="0.35">
      <c r="A99" s="178"/>
      <c r="B99" s="178"/>
      <c r="C99" s="180"/>
      <c r="D99" s="178"/>
    </row>
    <row r="100" spans="1:4" x14ac:dyDescent="0.35">
      <c r="A100" s="178"/>
      <c r="B100" s="178"/>
      <c r="C100" s="180"/>
      <c r="D100" s="178"/>
    </row>
    <row r="101" spans="1:4" x14ac:dyDescent="0.35">
      <c r="A101" s="178"/>
      <c r="B101" s="178"/>
      <c r="C101" s="180"/>
      <c r="D101" s="178"/>
    </row>
    <row r="102" spans="1:4" x14ac:dyDescent="0.35">
      <c r="A102" s="178"/>
      <c r="B102" s="178"/>
      <c r="C102" s="180"/>
      <c r="D102" s="178"/>
    </row>
    <row r="103" spans="1:4" x14ac:dyDescent="0.35">
      <c r="A103" s="178"/>
      <c r="B103" s="178"/>
      <c r="C103" s="180"/>
      <c r="D103" s="178"/>
    </row>
    <row r="104" spans="1:4" x14ac:dyDescent="0.35">
      <c r="A104" s="178"/>
      <c r="B104" s="178"/>
      <c r="C104" s="180"/>
      <c r="D104" s="178"/>
    </row>
    <row r="105" spans="1:4" x14ac:dyDescent="0.35">
      <c r="A105" s="178"/>
      <c r="B105" s="178"/>
      <c r="C105" s="180"/>
      <c r="D105" s="178"/>
    </row>
    <row r="106" spans="1:4" x14ac:dyDescent="0.35">
      <c r="A106" s="178"/>
      <c r="B106" s="178"/>
      <c r="C106" s="180"/>
      <c r="D106" s="178"/>
    </row>
    <row r="107" spans="1:4" x14ac:dyDescent="0.35">
      <c r="A107" s="178"/>
      <c r="B107" s="178"/>
      <c r="C107" s="180"/>
      <c r="D107" s="178"/>
    </row>
    <row r="108" spans="1:4" x14ac:dyDescent="0.35">
      <c r="A108" s="178"/>
      <c r="B108" s="178"/>
      <c r="C108" s="180"/>
      <c r="D108" s="178"/>
    </row>
    <row r="109" spans="1:4" x14ac:dyDescent="0.35">
      <c r="A109" s="178"/>
      <c r="B109" s="178"/>
      <c r="C109" s="180"/>
      <c r="D109" s="178"/>
    </row>
    <row r="110" spans="1:4" x14ac:dyDescent="0.35">
      <c r="A110" s="178"/>
      <c r="B110" s="178"/>
      <c r="C110" s="180"/>
      <c r="D110" s="178"/>
    </row>
    <row r="111" spans="1:4" x14ac:dyDescent="0.35">
      <c r="A111" s="178"/>
      <c r="B111" s="178"/>
      <c r="C111" s="180"/>
      <c r="D111" s="178"/>
    </row>
    <row r="112" spans="1:4" x14ac:dyDescent="0.35">
      <c r="A112" s="178"/>
      <c r="B112" s="178"/>
      <c r="C112" s="180"/>
      <c r="D112" s="178"/>
    </row>
    <row r="113" spans="1:4" x14ac:dyDescent="0.35">
      <c r="A113" s="178"/>
      <c r="B113" s="178"/>
      <c r="C113" s="180"/>
      <c r="D113" s="178"/>
    </row>
    <row r="114" spans="1:4" x14ac:dyDescent="0.35">
      <c r="A114" s="178"/>
      <c r="B114" s="178"/>
      <c r="C114" s="180"/>
      <c r="D114" s="178"/>
    </row>
    <row r="115" spans="1:4" x14ac:dyDescent="0.35">
      <c r="A115" s="178"/>
      <c r="B115" s="178"/>
      <c r="C115" s="180"/>
      <c r="D115" s="178"/>
    </row>
    <row r="116" spans="1:4" x14ac:dyDescent="0.35">
      <c r="A116" s="178"/>
      <c r="B116" s="178"/>
      <c r="C116" s="180"/>
      <c r="D116" s="178"/>
    </row>
    <row r="117" spans="1:4" x14ac:dyDescent="0.35">
      <c r="A117" s="178"/>
      <c r="B117" s="178"/>
      <c r="C117" s="180"/>
      <c r="D117" s="178"/>
    </row>
    <row r="118" spans="1:4" x14ac:dyDescent="0.35">
      <c r="A118" s="178"/>
      <c r="B118" s="178"/>
      <c r="C118" s="180"/>
      <c r="D118" s="178"/>
    </row>
    <row r="119" spans="1:4" x14ac:dyDescent="0.35">
      <c r="A119" s="178"/>
      <c r="B119" s="178"/>
      <c r="C119" s="180"/>
      <c r="D119" s="178"/>
    </row>
    <row r="120" spans="1:4" x14ac:dyDescent="0.35">
      <c r="A120" s="178"/>
      <c r="B120" s="178"/>
      <c r="C120" s="180"/>
      <c r="D120" s="178"/>
    </row>
    <row r="121" spans="1:4" x14ac:dyDescent="0.35">
      <c r="A121" s="178"/>
      <c r="B121" s="178"/>
      <c r="C121" s="180"/>
      <c r="D121" s="178"/>
    </row>
    <row r="122" spans="1:4" x14ac:dyDescent="0.35">
      <c r="A122" s="178"/>
      <c r="B122" s="178"/>
      <c r="C122" s="180"/>
      <c r="D122" s="178"/>
    </row>
    <row r="123" spans="1:4" x14ac:dyDescent="0.35">
      <c r="A123" s="178"/>
      <c r="B123" s="178"/>
      <c r="C123" s="180"/>
      <c r="D123" s="178"/>
    </row>
    <row r="124" spans="1:4" x14ac:dyDescent="0.35">
      <c r="A124" s="178"/>
      <c r="B124" s="178"/>
      <c r="C124" s="180"/>
      <c r="D124" s="178"/>
    </row>
    <row r="125" spans="1:4" x14ac:dyDescent="0.35">
      <c r="A125" s="178"/>
      <c r="B125" s="178"/>
      <c r="C125" s="180"/>
      <c r="D125" s="178"/>
    </row>
    <row r="126" spans="1:4" x14ac:dyDescent="0.35">
      <c r="A126" s="178"/>
      <c r="B126" s="178"/>
      <c r="C126" s="180"/>
      <c r="D126" s="178"/>
    </row>
    <row r="127" spans="1:4" x14ac:dyDescent="0.35">
      <c r="A127" s="178"/>
      <c r="B127" s="178"/>
      <c r="C127" s="180"/>
      <c r="D127" s="178"/>
    </row>
    <row r="128" spans="1:4" x14ac:dyDescent="0.35">
      <c r="A128" s="178"/>
      <c r="B128" s="178"/>
      <c r="C128" s="180"/>
      <c r="D128" s="178"/>
    </row>
    <row r="129" spans="1:4" x14ac:dyDescent="0.35">
      <c r="A129" s="178"/>
      <c r="B129" s="178"/>
      <c r="C129" s="180"/>
      <c r="D129" s="178"/>
    </row>
    <row r="130" spans="1:4" x14ac:dyDescent="0.35">
      <c r="A130" s="178"/>
      <c r="B130" s="178"/>
      <c r="C130" s="180"/>
      <c r="D130" s="178"/>
    </row>
    <row r="131" spans="1:4" x14ac:dyDescent="0.35">
      <c r="A131" s="178"/>
      <c r="B131" s="178"/>
      <c r="C131" s="180"/>
      <c r="D131" s="178"/>
    </row>
    <row r="132" spans="1:4" x14ac:dyDescent="0.35">
      <c r="A132" s="178"/>
      <c r="B132" s="178"/>
      <c r="C132" s="180"/>
      <c r="D132" s="178"/>
    </row>
    <row r="133" spans="1:4" x14ac:dyDescent="0.35">
      <c r="A133" s="178"/>
      <c r="B133" s="178"/>
      <c r="C133" s="180"/>
      <c r="D133" s="178"/>
    </row>
    <row r="134" spans="1:4" x14ac:dyDescent="0.35">
      <c r="A134" s="178"/>
      <c r="B134" s="178"/>
      <c r="C134" s="180"/>
      <c r="D134" s="178"/>
    </row>
    <row r="135" spans="1:4" x14ac:dyDescent="0.35">
      <c r="A135" s="178"/>
      <c r="B135" s="178"/>
      <c r="C135" s="180"/>
      <c r="D135" s="178"/>
    </row>
    <row r="136" spans="1:4" x14ac:dyDescent="0.35">
      <c r="A136" s="178"/>
      <c r="B136" s="178"/>
      <c r="C136" s="180"/>
      <c r="D136" s="178"/>
    </row>
    <row r="137" spans="1:4" x14ac:dyDescent="0.35">
      <c r="A137" s="178"/>
      <c r="B137" s="178"/>
      <c r="C137" s="180"/>
      <c r="D137" s="178"/>
    </row>
    <row r="138" spans="1:4" x14ac:dyDescent="0.35">
      <c r="A138" s="178"/>
      <c r="B138" s="178"/>
      <c r="C138" s="180"/>
      <c r="D138" s="178"/>
    </row>
    <row r="139" spans="1:4" x14ac:dyDescent="0.35">
      <c r="A139" s="178"/>
      <c r="B139" s="178"/>
      <c r="C139" s="180"/>
      <c r="D139" s="178"/>
    </row>
    <row r="140" spans="1:4" x14ac:dyDescent="0.35">
      <c r="A140" s="178"/>
      <c r="B140" s="178"/>
      <c r="C140" s="180"/>
      <c r="D140" s="178"/>
    </row>
    <row r="141" spans="1:4" x14ac:dyDescent="0.35">
      <c r="A141" s="178"/>
      <c r="B141" s="178"/>
      <c r="C141" s="180"/>
      <c r="D141" s="178"/>
    </row>
    <row r="142" spans="1:4" x14ac:dyDescent="0.35">
      <c r="A142" s="178"/>
      <c r="B142" s="178"/>
      <c r="C142" s="180"/>
      <c r="D142" s="178"/>
    </row>
    <row r="143" spans="1:4" x14ac:dyDescent="0.35">
      <c r="A143" s="178"/>
      <c r="B143" s="178"/>
      <c r="C143" s="180"/>
      <c r="D143" s="178"/>
    </row>
    <row r="144" spans="1:4" x14ac:dyDescent="0.35">
      <c r="A144" s="178"/>
      <c r="B144" s="178"/>
      <c r="C144" s="180"/>
      <c r="D144" s="178"/>
    </row>
    <row r="145" spans="1:4" x14ac:dyDescent="0.35">
      <c r="A145" s="178"/>
      <c r="B145" s="178"/>
      <c r="C145" s="180"/>
      <c r="D145" s="178"/>
    </row>
    <row r="146" spans="1:4" x14ac:dyDescent="0.35">
      <c r="A146" s="178"/>
      <c r="B146" s="178"/>
      <c r="C146" s="180"/>
      <c r="D146" s="178"/>
    </row>
    <row r="147" spans="1:4" x14ac:dyDescent="0.35">
      <c r="A147" s="178"/>
      <c r="B147" s="178"/>
      <c r="C147" s="180"/>
      <c r="D147" s="178"/>
    </row>
    <row r="148" spans="1:4" x14ac:dyDescent="0.35">
      <c r="A148" s="178"/>
      <c r="B148" s="178"/>
      <c r="C148" s="180"/>
      <c r="D148" s="178"/>
    </row>
    <row r="149" spans="1:4" x14ac:dyDescent="0.35">
      <c r="A149" s="178"/>
      <c r="B149" s="178"/>
      <c r="C149" s="180"/>
      <c r="D149" s="178"/>
    </row>
    <row r="150" spans="1:4" x14ac:dyDescent="0.35">
      <c r="A150" s="178"/>
      <c r="B150" s="178"/>
      <c r="C150" s="180"/>
      <c r="D150" s="178"/>
    </row>
    <row r="151" spans="1:4" x14ac:dyDescent="0.35">
      <c r="A151" s="178"/>
      <c r="B151" s="178"/>
      <c r="C151" s="180"/>
      <c r="D151" s="178"/>
    </row>
    <row r="152" spans="1:4" x14ac:dyDescent="0.35">
      <c r="A152" s="178"/>
      <c r="B152" s="178"/>
      <c r="C152" s="180"/>
      <c r="D152" s="178"/>
    </row>
    <row r="153" spans="1:4" x14ac:dyDescent="0.35">
      <c r="A153" s="178"/>
      <c r="B153" s="178"/>
      <c r="C153" s="180"/>
      <c r="D153" s="178"/>
    </row>
    <row r="154" spans="1:4" x14ac:dyDescent="0.35">
      <c r="A154" s="178"/>
      <c r="B154" s="178"/>
      <c r="C154" s="180"/>
      <c r="D154" s="178"/>
    </row>
    <row r="155" spans="1:4" x14ac:dyDescent="0.35">
      <c r="A155" s="178"/>
      <c r="B155" s="178"/>
      <c r="C155" s="180"/>
      <c r="D155" s="178"/>
    </row>
    <row r="156" spans="1:4" x14ac:dyDescent="0.35">
      <c r="A156" s="178"/>
      <c r="B156" s="178"/>
      <c r="C156" s="180"/>
      <c r="D156" s="178"/>
    </row>
    <row r="157" spans="1:4" x14ac:dyDescent="0.35">
      <c r="A157" s="178"/>
      <c r="B157" s="178"/>
      <c r="C157" s="180"/>
      <c r="D157" s="178"/>
    </row>
    <row r="158" spans="1:4" x14ac:dyDescent="0.35">
      <c r="A158" s="178"/>
      <c r="B158" s="178"/>
      <c r="C158" s="180"/>
      <c r="D158" s="178"/>
    </row>
    <row r="159" spans="1:4" x14ac:dyDescent="0.35">
      <c r="A159" s="178"/>
      <c r="B159" s="178"/>
      <c r="C159" s="180"/>
      <c r="D159" s="178"/>
    </row>
    <row r="160" spans="1:4" x14ac:dyDescent="0.35">
      <c r="A160" s="178"/>
      <c r="B160" s="178"/>
      <c r="C160" s="180"/>
      <c r="D160" s="178"/>
    </row>
    <row r="161" spans="1:4" x14ac:dyDescent="0.35">
      <c r="A161" s="178"/>
      <c r="B161" s="178"/>
      <c r="C161" s="180"/>
      <c r="D161" s="178"/>
    </row>
    <row r="162" spans="1:4" x14ac:dyDescent="0.35">
      <c r="A162" s="178"/>
      <c r="B162" s="178"/>
      <c r="C162" s="180"/>
      <c r="D162" s="178"/>
    </row>
    <row r="163" spans="1:4" x14ac:dyDescent="0.35">
      <c r="A163" s="178"/>
      <c r="B163" s="178"/>
      <c r="C163" s="180"/>
      <c r="D163" s="178"/>
    </row>
    <row r="164" spans="1:4" x14ac:dyDescent="0.35">
      <c r="A164" s="178"/>
      <c r="B164" s="178"/>
      <c r="C164" s="180"/>
      <c r="D164" s="178"/>
    </row>
    <row r="165" spans="1:4" x14ac:dyDescent="0.35">
      <c r="A165" s="178"/>
      <c r="B165" s="178"/>
      <c r="C165" s="180"/>
      <c r="D165" s="178"/>
    </row>
    <row r="166" spans="1:4" x14ac:dyDescent="0.35">
      <c r="A166" s="178"/>
      <c r="B166" s="178"/>
      <c r="C166" s="180"/>
      <c r="D166" s="178"/>
    </row>
    <row r="167" spans="1:4" x14ac:dyDescent="0.35">
      <c r="A167" s="178"/>
      <c r="B167" s="178"/>
      <c r="C167" s="180"/>
      <c r="D167" s="178"/>
    </row>
    <row r="168" spans="1:4" x14ac:dyDescent="0.35">
      <c r="A168" s="178"/>
      <c r="B168" s="178"/>
      <c r="C168" s="180"/>
      <c r="D168" s="178"/>
    </row>
    <row r="169" spans="1:4" x14ac:dyDescent="0.35">
      <c r="A169" s="178"/>
      <c r="B169" s="178"/>
      <c r="C169" s="180"/>
      <c r="D169" s="178"/>
    </row>
    <row r="170" spans="1:4" x14ac:dyDescent="0.35">
      <c r="A170" s="178"/>
      <c r="B170" s="178"/>
      <c r="C170" s="180"/>
      <c r="D170" s="178"/>
    </row>
    <row r="171" spans="1:4" x14ac:dyDescent="0.35">
      <c r="A171" s="178"/>
      <c r="B171" s="178"/>
      <c r="C171" s="180"/>
      <c r="D171" s="178"/>
    </row>
    <row r="172" spans="1:4" x14ac:dyDescent="0.35">
      <c r="A172" s="178"/>
      <c r="B172" s="178"/>
      <c r="C172" s="180"/>
      <c r="D172" s="178"/>
    </row>
    <row r="173" spans="1:4" x14ac:dyDescent="0.35">
      <c r="A173" s="178"/>
      <c r="B173" s="178"/>
      <c r="C173" s="180"/>
      <c r="D173" s="178"/>
    </row>
    <row r="174" spans="1:4" x14ac:dyDescent="0.35">
      <c r="A174" s="178"/>
      <c r="B174" s="178"/>
      <c r="C174" s="180"/>
      <c r="D174" s="178"/>
    </row>
    <row r="175" spans="1:4" x14ac:dyDescent="0.35">
      <c r="A175" s="178"/>
      <c r="B175" s="178"/>
      <c r="C175" s="180"/>
      <c r="D175" s="178"/>
    </row>
    <row r="176" spans="1:4" x14ac:dyDescent="0.35">
      <c r="A176" s="178"/>
      <c r="B176" s="178"/>
      <c r="C176" s="180"/>
      <c r="D176" s="178"/>
    </row>
    <row r="177" spans="1:4" x14ac:dyDescent="0.35">
      <c r="A177" s="178"/>
      <c r="B177" s="178"/>
      <c r="C177" s="180"/>
      <c r="D177" s="178"/>
    </row>
    <row r="178" spans="1:4" x14ac:dyDescent="0.35">
      <c r="A178" s="178"/>
      <c r="B178" s="178"/>
      <c r="C178" s="180"/>
      <c r="D178" s="178"/>
    </row>
    <row r="179" spans="1:4" x14ac:dyDescent="0.35">
      <c r="A179" s="178"/>
      <c r="B179" s="178"/>
      <c r="C179" s="180"/>
      <c r="D179" s="178"/>
    </row>
    <row r="180" spans="1:4" x14ac:dyDescent="0.35">
      <c r="A180" s="178"/>
      <c r="B180" s="178"/>
      <c r="C180" s="180"/>
      <c r="D180" s="178"/>
    </row>
    <row r="181" spans="1:4" x14ac:dyDescent="0.35">
      <c r="A181" s="178"/>
      <c r="B181" s="178"/>
      <c r="C181" s="180"/>
      <c r="D181" s="178"/>
    </row>
    <row r="182" spans="1:4" x14ac:dyDescent="0.35">
      <c r="A182" s="178"/>
      <c r="B182" s="178"/>
      <c r="C182" s="180"/>
      <c r="D182" s="178"/>
    </row>
    <row r="183" spans="1:4" x14ac:dyDescent="0.35">
      <c r="A183" s="178"/>
      <c r="B183" s="178"/>
      <c r="C183" s="180"/>
      <c r="D183" s="178"/>
    </row>
    <row r="184" spans="1:4" x14ac:dyDescent="0.35">
      <c r="A184" s="178"/>
      <c r="B184" s="178"/>
      <c r="C184" s="180"/>
      <c r="D184" s="178"/>
    </row>
    <row r="185" spans="1:4" x14ac:dyDescent="0.35">
      <c r="A185" s="178"/>
      <c r="B185" s="178"/>
      <c r="C185" s="180"/>
      <c r="D185" s="178"/>
    </row>
    <row r="186" spans="1:4" x14ac:dyDescent="0.35">
      <c r="A186" s="178"/>
      <c r="B186" s="178"/>
      <c r="C186" s="180"/>
      <c r="D186" s="178"/>
    </row>
    <row r="187" spans="1:4" x14ac:dyDescent="0.35">
      <c r="A187" s="178"/>
      <c r="B187" s="178"/>
      <c r="C187" s="180"/>
      <c r="D187" s="178"/>
    </row>
    <row r="188" spans="1:4" x14ac:dyDescent="0.35">
      <c r="A188" s="178"/>
      <c r="B188" s="178"/>
      <c r="C188" s="180"/>
      <c r="D188" s="178"/>
    </row>
    <row r="189" spans="1:4" x14ac:dyDescent="0.35">
      <c r="A189" s="178"/>
      <c r="B189" s="178"/>
      <c r="C189" s="180"/>
      <c r="D189" s="178"/>
    </row>
    <row r="190" spans="1:4" x14ac:dyDescent="0.35">
      <c r="A190" s="178"/>
      <c r="B190" s="178"/>
      <c r="C190" s="180"/>
      <c r="D190" s="178"/>
    </row>
    <row r="191" spans="1:4" x14ac:dyDescent="0.35">
      <c r="A191" s="178"/>
      <c r="B191" s="178"/>
      <c r="C191" s="180"/>
      <c r="D191" s="178"/>
    </row>
    <row r="192" spans="1:4" x14ac:dyDescent="0.35">
      <c r="A192" s="178"/>
      <c r="B192" s="178"/>
      <c r="C192" s="180"/>
      <c r="D192" s="178"/>
    </row>
    <row r="193" spans="1:4" x14ac:dyDescent="0.35">
      <c r="A193" s="178"/>
      <c r="B193" s="178"/>
      <c r="C193" s="180"/>
      <c r="D193" s="178"/>
    </row>
    <row r="194" spans="1:4" x14ac:dyDescent="0.35">
      <c r="A194" s="178"/>
      <c r="B194" s="178"/>
      <c r="C194" s="180"/>
      <c r="D194" s="178"/>
    </row>
    <row r="195" spans="1:4" x14ac:dyDescent="0.35">
      <c r="A195" s="178"/>
      <c r="B195" s="178"/>
      <c r="C195" s="180"/>
      <c r="D195" s="178"/>
    </row>
    <row r="196" spans="1:4" x14ac:dyDescent="0.35">
      <c r="A196" s="178"/>
      <c r="B196" s="178"/>
      <c r="C196" s="180"/>
      <c r="D196" s="178"/>
    </row>
    <row r="197" spans="1:4" x14ac:dyDescent="0.35">
      <c r="A197" s="178"/>
      <c r="B197" s="178"/>
      <c r="C197" s="180"/>
      <c r="D197" s="178"/>
    </row>
    <row r="198" spans="1:4" x14ac:dyDescent="0.35">
      <c r="A198" s="178"/>
      <c r="B198" s="178"/>
      <c r="C198" s="180"/>
      <c r="D198" s="178"/>
    </row>
    <row r="199" spans="1:4" x14ac:dyDescent="0.35">
      <c r="A199" s="178"/>
      <c r="B199" s="178"/>
      <c r="C199" s="180"/>
      <c r="D199" s="178"/>
    </row>
    <row r="200" spans="1:4" x14ac:dyDescent="0.35">
      <c r="A200" s="178"/>
      <c r="B200" s="178"/>
      <c r="C200" s="180"/>
      <c r="D200" s="178"/>
    </row>
    <row r="201" spans="1:4" x14ac:dyDescent="0.35">
      <c r="A201" s="178"/>
      <c r="B201" s="178"/>
      <c r="C201" s="180"/>
      <c r="D201" s="178"/>
    </row>
    <row r="202" spans="1:4" x14ac:dyDescent="0.35">
      <c r="A202" s="178"/>
      <c r="B202" s="178"/>
      <c r="C202" s="180"/>
      <c r="D202" s="178"/>
    </row>
    <row r="203" spans="1:4" x14ac:dyDescent="0.35">
      <c r="A203" s="178"/>
      <c r="B203" s="178"/>
      <c r="C203" s="180"/>
      <c r="D203" s="178"/>
    </row>
    <row r="204" spans="1:4" x14ac:dyDescent="0.35">
      <c r="A204" s="178"/>
      <c r="B204" s="178"/>
      <c r="C204" s="180"/>
      <c r="D204" s="178"/>
    </row>
    <row r="205" spans="1:4" x14ac:dyDescent="0.35">
      <c r="A205" s="178"/>
      <c r="B205" s="178"/>
      <c r="C205" s="180"/>
      <c r="D205" s="178"/>
    </row>
    <row r="206" spans="1:4" x14ac:dyDescent="0.35">
      <c r="A206" s="178"/>
      <c r="B206" s="178"/>
      <c r="C206" s="180"/>
      <c r="D206" s="178"/>
    </row>
    <row r="207" spans="1:4" x14ac:dyDescent="0.35">
      <c r="A207" s="178"/>
      <c r="B207" s="178"/>
      <c r="C207" s="180"/>
      <c r="D207" s="178"/>
    </row>
    <row r="208" spans="1:4" x14ac:dyDescent="0.35">
      <c r="A208" s="178"/>
      <c r="B208" s="178"/>
      <c r="C208" s="180"/>
      <c r="D208" s="178"/>
    </row>
    <row r="209" spans="1:4" x14ac:dyDescent="0.35">
      <c r="A209" s="178"/>
      <c r="B209" s="178"/>
      <c r="C209" s="180"/>
      <c r="D209" s="178"/>
    </row>
    <row r="210" spans="1:4" x14ac:dyDescent="0.35">
      <c r="A210" s="178"/>
      <c r="B210" s="178"/>
      <c r="C210" s="180"/>
      <c r="D210" s="178"/>
    </row>
    <row r="211" spans="1:4" x14ac:dyDescent="0.35">
      <c r="A211" s="178"/>
      <c r="B211" s="178"/>
      <c r="C211" s="180"/>
      <c r="D211" s="178"/>
    </row>
    <row r="212" spans="1:4" x14ac:dyDescent="0.35">
      <c r="A212" s="178"/>
      <c r="B212" s="178"/>
      <c r="C212" s="180"/>
      <c r="D212" s="178"/>
    </row>
    <row r="213" spans="1:4" x14ac:dyDescent="0.35">
      <c r="A213" s="178"/>
      <c r="B213" s="178"/>
      <c r="C213" s="180"/>
      <c r="D213" s="178"/>
    </row>
    <row r="214" spans="1:4" x14ac:dyDescent="0.35">
      <c r="A214" s="178"/>
      <c r="B214" s="178"/>
      <c r="C214" s="180"/>
      <c r="D214" s="178"/>
    </row>
    <row r="215" spans="1:4" x14ac:dyDescent="0.35">
      <c r="A215" s="178"/>
      <c r="B215" s="178"/>
      <c r="C215" s="180"/>
      <c r="D215" s="178"/>
    </row>
    <row r="216" spans="1:4" x14ac:dyDescent="0.35">
      <c r="A216" s="178"/>
      <c r="B216" s="178"/>
      <c r="C216" s="180"/>
      <c r="D216" s="178"/>
    </row>
    <row r="217" spans="1:4" x14ac:dyDescent="0.35">
      <c r="A217" s="178"/>
      <c r="B217" s="178"/>
      <c r="C217" s="180"/>
      <c r="D217" s="178"/>
    </row>
    <row r="218" spans="1:4" x14ac:dyDescent="0.35">
      <c r="A218" s="178"/>
      <c r="B218" s="178"/>
      <c r="C218" s="180"/>
      <c r="D218" s="178"/>
    </row>
    <row r="219" spans="1:4" x14ac:dyDescent="0.35">
      <c r="A219" s="178"/>
      <c r="B219" s="178"/>
      <c r="C219" s="180"/>
      <c r="D219" s="178"/>
    </row>
    <row r="220" spans="1:4" x14ac:dyDescent="0.35">
      <c r="A220" s="178"/>
      <c r="B220" s="178"/>
      <c r="C220" s="180"/>
      <c r="D220" s="178"/>
    </row>
    <row r="221" spans="1:4" x14ac:dyDescent="0.35">
      <c r="A221" s="178"/>
      <c r="B221" s="178"/>
      <c r="C221" s="180"/>
      <c r="D221" s="178"/>
    </row>
    <row r="222" spans="1:4" x14ac:dyDescent="0.35">
      <c r="A222" s="178"/>
      <c r="B222" s="178"/>
      <c r="C222" s="180"/>
      <c r="D222" s="178"/>
    </row>
    <row r="223" spans="1:4" x14ac:dyDescent="0.35">
      <c r="A223" s="178"/>
      <c r="B223" s="178"/>
      <c r="C223" s="180"/>
      <c r="D223" s="178"/>
    </row>
    <row r="224" spans="1:4" x14ac:dyDescent="0.35">
      <c r="A224" s="178"/>
      <c r="B224" s="178"/>
      <c r="C224" s="180"/>
      <c r="D224" s="178"/>
    </row>
    <row r="225" spans="1:4" x14ac:dyDescent="0.35">
      <c r="A225" s="178"/>
      <c r="B225" s="178"/>
      <c r="C225" s="180"/>
      <c r="D225" s="178"/>
    </row>
    <row r="226" spans="1:4" x14ac:dyDescent="0.35">
      <c r="A226" s="178"/>
      <c r="B226" s="178"/>
      <c r="C226" s="180"/>
      <c r="D226" s="178"/>
    </row>
    <row r="227" spans="1:4" x14ac:dyDescent="0.35">
      <c r="A227" s="178"/>
      <c r="B227" s="178"/>
      <c r="C227" s="180"/>
      <c r="D227" s="178"/>
    </row>
    <row r="228" spans="1:4" x14ac:dyDescent="0.35">
      <c r="A228" s="178"/>
      <c r="B228" s="178"/>
      <c r="C228" s="180"/>
      <c r="D228" s="178"/>
    </row>
    <row r="229" spans="1:4" x14ac:dyDescent="0.35">
      <c r="A229" s="178"/>
      <c r="B229" s="178"/>
      <c r="C229" s="180"/>
      <c r="D229" s="178"/>
    </row>
    <row r="230" spans="1:4" x14ac:dyDescent="0.35">
      <c r="A230" s="178"/>
      <c r="B230" s="178"/>
      <c r="C230" s="180"/>
      <c r="D230" s="178"/>
    </row>
    <row r="231" spans="1:4" x14ac:dyDescent="0.35">
      <c r="A231" s="178"/>
      <c r="B231" s="178"/>
      <c r="C231" s="180"/>
      <c r="D231" s="178"/>
    </row>
    <row r="232" spans="1:4" x14ac:dyDescent="0.35">
      <c r="A232" s="178"/>
      <c r="B232" s="178"/>
      <c r="C232" s="180"/>
      <c r="D232" s="178"/>
    </row>
    <row r="233" spans="1:4" x14ac:dyDescent="0.35">
      <c r="A233" s="178"/>
      <c r="B233" s="178"/>
      <c r="C233" s="180"/>
      <c r="D233" s="178"/>
    </row>
    <row r="234" spans="1:4" x14ac:dyDescent="0.35">
      <c r="A234" s="178"/>
      <c r="B234" s="178"/>
      <c r="C234" s="180"/>
      <c r="D234" s="178"/>
    </row>
    <row r="235" spans="1:4" x14ac:dyDescent="0.35">
      <c r="A235" s="178"/>
      <c r="B235" s="178"/>
      <c r="C235" s="180"/>
      <c r="D235" s="178"/>
    </row>
    <row r="236" spans="1:4" x14ac:dyDescent="0.35">
      <c r="A236" s="178"/>
      <c r="B236" s="178"/>
      <c r="C236" s="180"/>
      <c r="D236" s="178"/>
    </row>
    <row r="237" spans="1:4" x14ac:dyDescent="0.35">
      <c r="A237" s="178"/>
      <c r="B237" s="178"/>
      <c r="C237" s="180"/>
      <c r="D237" s="178"/>
    </row>
    <row r="238" spans="1:4" x14ac:dyDescent="0.35">
      <c r="A238" s="178"/>
      <c r="B238" s="178"/>
      <c r="C238" s="180"/>
      <c r="D238" s="178"/>
    </row>
    <row r="239" spans="1:4" x14ac:dyDescent="0.35">
      <c r="A239" s="178"/>
      <c r="B239" s="178"/>
      <c r="C239" s="180"/>
      <c r="D239" s="178"/>
    </row>
    <row r="240" spans="1:4" x14ac:dyDescent="0.35">
      <c r="A240" s="178"/>
      <c r="B240" s="178"/>
      <c r="C240" s="180"/>
      <c r="D240" s="178"/>
    </row>
    <row r="241" spans="1:4" x14ac:dyDescent="0.35">
      <c r="A241" s="178"/>
      <c r="B241" s="178"/>
      <c r="C241" s="180"/>
      <c r="D241" s="178"/>
    </row>
    <row r="242" spans="1:4" x14ac:dyDescent="0.35">
      <c r="A242" s="178"/>
      <c r="B242" s="178"/>
      <c r="C242" s="180"/>
      <c r="D242" s="178"/>
    </row>
    <row r="243" spans="1:4" x14ac:dyDescent="0.35">
      <c r="A243" s="178"/>
      <c r="B243" s="178"/>
      <c r="C243" s="180"/>
      <c r="D243" s="178"/>
    </row>
    <row r="244" spans="1:4" x14ac:dyDescent="0.35">
      <c r="A244" s="178"/>
      <c r="B244" s="178"/>
      <c r="C244" s="180"/>
      <c r="D244" s="178"/>
    </row>
    <row r="245" spans="1:4" x14ac:dyDescent="0.35">
      <c r="A245" s="178"/>
      <c r="B245" s="178"/>
      <c r="C245" s="180"/>
      <c r="D245" s="178"/>
    </row>
    <row r="246" spans="1:4" x14ac:dyDescent="0.35">
      <c r="A246" s="178"/>
      <c r="B246" s="178"/>
      <c r="C246" s="180"/>
      <c r="D246" s="178"/>
    </row>
    <row r="247" spans="1:4" x14ac:dyDescent="0.35">
      <c r="A247" s="178"/>
      <c r="B247" s="178"/>
      <c r="C247" s="180"/>
      <c r="D247" s="178"/>
    </row>
    <row r="248" spans="1:4" x14ac:dyDescent="0.35">
      <c r="A248" s="178"/>
      <c r="B248" s="178"/>
      <c r="C248" s="180"/>
      <c r="D248" s="178"/>
    </row>
    <row r="249" spans="1:4" x14ac:dyDescent="0.35">
      <c r="A249" s="178"/>
      <c r="B249" s="178"/>
      <c r="C249" s="180"/>
      <c r="D249" s="178"/>
    </row>
    <row r="250" spans="1:4" x14ac:dyDescent="0.35">
      <c r="A250" s="178"/>
      <c r="B250" s="178"/>
      <c r="C250" s="180"/>
      <c r="D250" s="178"/>
    </row>
    <row r="251" spans="1:4" x14ac:dyDescent="0.35">
      <c r="A251" s="178"/>
      <c r="B251" s="178"/>
      <c r="C251" s="180"/>
      <c r="D251" s="178"/>
    </row>
    <row r="252" spans="1:4" x14ac:dyDescent="0.35">
      <c r="A252" s="178"/>
      <c r="B252" s="178"/>
      <c r="C252" s="180"/>
      <c r="D252" s="178"/>
    </row>
    <row r="253" spans="1:4" x14ac:dyDescent="0.35">
      <c r="A253" s="178"/>
      <c r="B253" s="178"/>
      <c r="C253" s="180"/>
      <c r="D253" s="178"/>
    </row>
    <row r="254" spans="1:4" x14ac:dyDescent="0.35">
      <c r="A254" s="178"/>
      <c r="B254" s="178"/>
      <c r="C254" s="180"/>
      <c r="D254" s="178"/>
    </row>
    <row r="255" spans="1:4" x14ac:dyDescent="0.35">
      <c r="A255" s="178"/>
      <c r="B255" s="178"/>
      <c r="C255" s="180"/>
      <c r="D255" s="178"/>
    </row>
    <row r="256" spans="1:4" x14ac:dyDescent="0.35">
      <c r="A256" s="178"/>
      <c r="B256" s="178"/>
      <c r="C256" s="180"/>
      <c r="D256" s="178"/>
    </row>
    <row r="257" spans="1:4" x14ac:dyDescent="0.35">
      <c r="A257" s="178"/>
      <c r="B257" s="178"/>
      <c r="C257" s="180"/>
      <c r="D257" s="178"/>
    </row>
    <row r="258" spans="1:4" x14ac:dyDescent="0.35">
      <c r="A258" s="178"/>
      <c r="B258" s="178"/>
      <c r="C258" s="180"/>
      <c r="D258" s="178"/>
    </row>
    <row r="259" spans="1:4" x14ac:dyDescent="0.35">
      <c r="A259" s="178"/>
      <c r="B259" s="178"/>
      <c r="C259" s="180"/>
      <c r="D259" s="178"/>
    </row>
    <row r="260" spans="1:4" x14ac:dyDescent="0.35">
      <c r="A260" s="178"/>
      <c r="B260" s="178"/>
      <c r="C260" s="180"/>
      <c r="D260" s="178"/>
    </row>
    <row r="261" spans="1:4" x14ac:dyDescent="0.35">
      <c r="A261" s="178"/>
      <c r="B261" s="178"/>
      <c r="C261" s="180"/>
      <c r="D261" s="178"/>
    </row>
    <row r="262" spans="1:4" x14ac:dyDescent="0.35">
      <c r="A262" s="178"/>
      <c r="B262" s="178"/>
      <c r="C262" s="180"/>
      <c r="D262" s="178"/>
    </row>
    <row r="263" spans="1:4" x14ac:dyDescent="0.35">
      <c r="A263" s="178"/>
      <c r="B263" s="178"/>
      <c r="C263" s="180"/>
      <c r="D263" s="178"/>
    </row>
    <row r="264" spans="1:4" x14ac:dyDescent="0.35">
      <c r="A264" s="178"/>
      <c r="B264" s="178"/>
      <c r="C264" s="180"/>
      <c r="D264" s="178"/>
    </row>
    <row r="265" spans="1:4" x14ac:dyDescent="0.35">
      <c r="A265" s="178"/>
      <c r="B265" s="178"/>
      <c r="C265" s="180"/>
      <c r="D265" s="178"/>
    </row>
    <row r="266" spans="1:4" x14ac:dyDescent="0.35">
      <c r="A266" s="178"/>
      <c r="B266" s="178"/>
      <c r="C266" s="180"/>
      <c r="D266" s="178"/>
    </row>
    <row r="267" spans="1:4" x14ac:dyDescent="0.35">
      <c r="A267" s="178"/>
      <c r="B267" s="178"/>
      <c r="C267" s="180"/>
      <c r="D267" s="178"/>
    </row>
    <row r="268" spans="1:4" x14ac:dyDescent="0.35">
      <c r="A268" s="178"/>
      <c r="B268" s="178"/>
      <c r="C268" s="180"/>
      <c r="D268" s="178"/>
    </row>
    <row r="269" spans="1:4" x14ac:dyDescent="0.35">
      <c r="A269" s="178"/>
      <c r="B269" s="178"/>
      <c r="C269" s="180"/>
      <c r="D269" s="178"/>
    </row>
    <row r="270" spans="1:4" x14ac:dyDescent="0.35">
      <c r="A270" s="178"/>
      <c r="B270" s="178"/>
      <c r="C270" s="180"/>
      <c r="D270" s="178"/>
    </row>
    <row r="271" spans="1:4" x14ac:dyDescent="0.35">
      <c r="A271" s="178"/>
      <c r="B271" s="178"/>
      <c r="C271" s="180"/>
      <c r="D271" s="178"/>
    </row>
    <row r="272" spans="1:4" x14ac:dyDescent="0.35">
      <c r="A272" s="178"/>
      <c r="B272" s="178"/>
      <c r="C272" s="180"/>
      <c r="D272" s="178"/>
    </row>
    <row r="273" spans="1:4" x14ac:dyDescent="0.35">
      <c r="A273" s="178"/>
      <c r="B273" s="178"/>
      <c r="C273" s="180"/>
      <c r="D273" s="178"/>
    </row>
    <row r="274" spans="1:4" x14ac:dyDescent="0.35">
      <c r="A274" s="178"/>
      <c r="B274" s="178"/>
      <c r="C274" s="180"/>
      <c r="D274" s="178"/>
    </row>
    <row r="275" spans="1:4" x14ac:dyDescent="0.35">
      <c r="A275" s="178"/>
      <c r="B275" s="178"/>
      <c r="C275" s="180"/>
      <c r="D275" s="178"/>
    </row>
    <row r="276" spans="1:4" x14ac:dyDescent="0.35">
      <c r="A276" s="178"/>
      <c r="B276" s="178"/>
      <c r="C276" s="180"/>
      <c r="D276" s="178"/>
    </row>
    <row r="277" spans="1:4" x14ac:dyDescent="0.35">
      <c r="A277" s="178"/>
      <c r="B277" s="178"/>
      <c r="C277" s="180"/>
      <c r="D277" s="178"/>
    </row>
    <row r="278" spans="1:4" x14ac:dyDescent="0.35">
      <c r="A278" s="178"/>
      <c r="B278" s="178"/>
      <c r="C278" s="180"/>
      <c r="D278" s="178"/>
    </row>
    <row r="279" spans="1:4" x14ac:dyDescent="0.35">
      <c r="A279" s="178"/>
      <c r="B279" s="178"/>
      <c r="C279" s="180"/>
      <c r="D279" s="178"/>
    </row>
    <row r="280" spans="1:4" x14ac:dyDescent="0.35">
      <c r="A280" s="178"/>
      <c r="B280" s="178"/>
      <c r="C280" s="180"/>
      <c r="D280" s="178"/>
    </row>
    <row r="281" spans="1:4" x14ac:dyDescent="0.35">
      <c r="A281" s="178"/>
      <c r="B281" s="178"/>
      <c r="C281" s="180"/>
      <c r="D281" s="178"/>
    </row>
    <row r="282" spans="1:4" x14ac:dyDescent="0.35">
      <c r="A282" s="178"/>
      <c r="B282" s="178"/>
      <c r="C282" s="180"/>
      <c r="D282" s="178"/>
    </row>
    <row r="283" spans="1:4" x14ac:dyDescent="0.35">
      <c r="A283" s="178"/>
      <c r="B283" s="178"/>
      <c r="C283" s="180"/>
      <c r="D283" s="178"/>
    </row>
    <row r="284" spans="1:4" x14ac:dyDescent="0.35">
      <c r="A284" s="178"/>
      <c r="B284" s="178"/>
      <c r="C284" s="180"/>
      <c r="D284" s="178"/>
    </row>
    <row r="285" spans="1:4" x14ac:dyDescent="0.35">
      <c r="A285" s="178"/>
      <c r="B285" s="178"/>
      <c r="C285" s="180"/>
      <c r="D285" s="178"/>
    </row>
    <row r="286" spans="1:4" x14ac:dyDescent="0.35">
      <c r="A286" s="178"/>
      <c r="B286" s="178"/>
      <c r="C286" s="180"/>
      <c r="D286" s="178"/>
    </row>
    <row r="287" spans="1:4" x14ac:dyDescent="0.35">
      <c r="A287" s="178"/>
      <c r="B287" s="178"/>
      <c r="C287" s="180"/>
      <c r="D287" s="178"/>
    </row>
    <row r="288" spans="1:4" x14ac:dyDescent="0.35">
      <c r="A288" s="178"/>
      <c r="B288" s="178"/>
      <c r="C288" s="180"/>
      <c r="D288" s="178"/>
    </row>
    <row r="289" spans="1:4" x14ac:dyDescent="0.35">
      <c r="A289" s="178"/>
      <c r="B289" s="178"/>
      <c r="C289" s="180"/>
      <c r="D289" s="178"/>
    </row>
    <row r="290" spans="1:4" x14ac:dyDescent="0.35">
      <c r="A290" s="178"/>
      <c r="B290" s="178"/>
      <c r="C290" s="180"/>
      <c r="D290" s="178"/>
    </row>
    <row r="291" spans="1:4" x14ac:dyDescent="0.35">
      <c r="A291" s="178"/>
      <c r="B291" s="178"/>
      <c r="C291" s="180"/>
      <c r="D291" s="178"/>
    </row>
    <row r="292" spans="1:4" x14ac:dyDescent="0.35">
      <c r="A292" s="178"/>
      <c r="B292" s="178"/>
      <c r="C292" s="180"/>
      <c r="D292" s="178"/>
    </row>
    <row r="293" spans="1:4" x14ac:dyDescent="0.35">
      <c r="A293" s="178"/>
      <c r="B293" s="178"/>
      <c r="C293" s="180"/>
      <c r="D293" s="178"/>
    </row>
    <row r="294" spans="1:4" x14ac:dyDescent="0.35">
      <c r="A294" s="178"/>
      <c r="B294" s="178"/>
      <c r="C294" s="180"/>
      <c r="D294" s="178"/>
    </row>
    <row r="295" spans="1:4" x14ac:dyDescent="0.35">
      <c r="A295" s="178"/>
      <c r="B295" s="178"/>
      <c r="C295" s="180"/>
      <c r="D295" s="178"/>
    </row>
    <row r="296" spans="1:4" x14ac:dyDescent="0.35">
      <c r="A296" s="178"/>
      <c r="B296" s="178"/>
      <c r="C296" s="180"/>
      <c r="D296" s="178"/>
    </row>
    <row r="297" spans="1:4" x14ac:dyDescent="0.35">
      <c r="A297" s="178"/>
      <c r="B297" s="178"/>
      <c r="C297" s="180"/>
      <c r="D297" s="178"/>
    </row>
    <row r="298" spans="1:4" x14ac:dyDescent="0.35">
      <c r="A298" s="178"/>
      <c r="B298" s="178"/>
      <c r="C298" s="180"/>
      <c r="D298" s="178"/>
    </row>
    <row r="299" spans="1:4" x14ac:dyDescent="0.35">
      <c r="A299" s="178"/>
      <c r="B299" s="178"/>
      <c r="C299" s="180"/>
      <c r="D299" s="178"/>
    </row>
    <row r="300" spans="1:4" x14ac:dyDescent="0.35">
      <c r="A300" s="178"/>
      <c r="B300" s="178"/>
      <c r="C300" s="180"/>
      <c r="D300" s="178"/>
    </row>
    <row r="301" spans="1:4" x14ac:dyDescent="0.35">
      <c r="A301" s="178"/>
      <c r="B301" s="178"/>
      <c r="C301" s="180"/>
      <c r="D301" s="178"/>
    </row>
    <row r="302" spans="1:4" x14ac:dyDescent="0.35">
      <c r="A302" s="178"/>
      <c r="B302" s="178"/>
      <c r="C302" s="180"/>
      <c r="D302" s="178"/>
    </row>
    <row r="303" spans="1:4" x14ac:dyDescent="0.35">
      <c r="A303" s="178"/>
      <c r="B303" s="178"/>
      <c r="C303" s="180"/>
      <c r="D303" s="178"/>
    </row>
    <row r="304" spans="1:4" x14ac:dyDescent="0.35">
      <c r="A304" s="178"/>
      <c r="B304" s="178"/>
      <c r="C304" s="180"/>
      <c r="D304" s="178"/>
    </row>
    <row r="305" spans="1:4" x14ac:dyDescent="0.35">
      <c r="A305" s="178"/>
      <c r="B305" s="178"/>
      <c r="C305" s="180"/>
      <c r="D305" s="178"/>
    </row>
    <row r="306" spans="1:4" x14ac:dyDescent="0.35">
      <c r="A306" s="178"/>
      <c r="B306" s="178"/>
      <c r="C306" s="180"/>
      <c r="D306" s="178"/>
    </row>
    <row r="307" spans="1:4" x14ac:dyDescent="0.35">
      <c r="A307" s="178"/>
      <c r="B307" s="178"/>
      <c r="C307" s="180"/>
      <c r="D307" s="178"/>
    </row>
    <row r="308" spans="1:4" x14ac:dyDescent="0.35">
      <c r="A308" s="178"/>
      <c r="B308" s="178"/>
      <c r="C308" s="180"/>
      <c r="D308" s="178"/>
    </row>
    <row r="309" spans="1:4" x14ac:dyDescent="0.35">
      <c r="A309" s="178"/>
      <c r="B309" s="178"/>
      <c r="C309" s="180"/>
      <c r="D309" s="178"/>
    </row>
    <row r="310" spans="1:4" x14ac:dyDescent="0.35">
      <c r="A310" s="178"/>
      <c r="B310" s="178"/>
      <c r="C310" s="180"/>
      <c r="D310" s="178"/>
    </row>
    <row r="311" spans="1:4" x14ac:dyDescent="0.35">
      <c r="A311" s="178"/>
      <c r="B311" s="178"/>
      <c r="C311" s="180"/>
      <c r="D311" s="178"/>
    </row>
    <row r="312" spans="1:4" x14ac:dyDescent="0.35">
      <c r="A312" s="178"/>
      <c r="B312" s="178"/>
      <c r="C312" s="180"/>
      <c r="D312" s="178"/>
    </row>
    <row r="313" spans="1:4" x14ac:dyDescent="0.35">
      <c r="A313" s="178"/>
      <c r="B313" s="178"/>
      <c r="C313" s="180"/>
      <c r="D313" s="178"/>
    </row>
    <row r="314" spans="1:4" x14ac:dyDescent="0.35">
      <c r="A314" s="178"/>
      <c r="B314" s="178"/>
      <c r="C314" s="180"/>
      <c r="D314" s="178"/>
    </row>
    <row r="315" spans="1:4" x14ac:dyDescent="0.35">
      <c r="A315" s="178"/>
      <c r="B315" s="178"/>
      <c r="C315" s="180"/>
      <c r="D315" s="178"/>
    </row>
    <row r="316" spans="1:4" x14ac:dyDescent="0.35">
      <c r="A316" s="178"/>
      <c r="B316" s="178"/>
      <c r="C316" s="180"/>
      <c r="D316" s="178"/>
    </row>
    <row r="317" spans="1:4" x14ac:dyDescent="0.35">
      <c r="A317" s="178"/>
      <c r="B317" s="178"/>
      <c r="C317" s="180"/>
      <c r="D317" s="178"/>
    </row>
    <row r="318" spans="1:4" x14ac:dyDescent="0.35">
      <c r="A318" s="178"/>
      <c r="B318" s="178"/>
      <c r="C318" s="180"/>
      <c r="D318" s="178"/>
    </row>
    <row r="319" spans="1:4" x14ac:dyDescent="0.35">
      <c r="A319" s="178"/>
      <c r="B319" s="178"/>
      <c r="C319" s="180"/>
      <c r="D319" s="178"/>
    </row>
    <row r="320" spans="1:4" x14ac:dyDescent="0.35">
      <c r="A320" s="178"/>
      <c r="B320" s="178"/>
      <c r="C320" s="180"/>
      <c r="D320" s="178"/>
    </row>
    <row r="321" spans="1:4" x14ac:dyDescent="0.35">
      <c r="A321" s="178"/>
      <c r="B321" s="178"/>
      <c r="C321" s="180"/>
      <c r="D321" s="178"/>
    </row>
    <row r="322" spans="1:4" x14ac:dyDescent="0.35">
      <c r="A322" s="178"/>
      <c r="B322" s="178"/>
      <c r="C322" s="180"/>
      <c r="D322" s="178"/>
    </row>
    <row r="323" spans="1:4" x14ac:dyDescent="0.35">
      <c r="A323" s="178"/>
      <c r="B323" s="178"/>
      <c r="C323" s="180"/>
      <c r="D323" s="178"/>
    </row>
    <row r="324" spans="1:4" x14ac:dyDescent="0.35">
      <c r="A324" s="178"/>
      <c r="B324" s="178"/>
      <c r="C324" s="180"/>
      <c r="D324" s="178"/>
    </row>
    <row r="325" spans="1:4" x14ac:dyDescent="0.35">
      <c r="A325" s="178"/>
      <c r="B325" s="178"/>
      <c r="C325" s="180"/>
      <c r="D325" s="178"/>
    </row>
    <row r="326" spans="1:4" x14ac:dyDescent="0.35">
      <c r="A326" s="178"/>
      <c r="B326" s="178"/>
      <c r="C326" s="180"/>
      <c r="D326" s="178"/>
    </row>
    <row r="327" spans="1:4" x14ac:dyDescent="0.35">
      <c r="A327" s="178"/>
      <c r="B327" s="178"/>
      <c r="C327" s="180"/>
      <c r="D327" s="178"/>
    </row>
    <row r="328" spans="1:4" x14ac:dyDescent="0.35">
      <c r="A328" s="178"/>
      <c r="B328" s="178"/>
      <c r="C328" s="180"/>
      <c r="D328" s="178"/>
    </row>
    <row r="329" spans="1:4" x14ac:dyDescent="0.35">
      <c r="A329" s="178"/>
      <c r="B329" s="178"/>
      <c r="C329" s="180"/>
      <c r="D329" s="178"/>
    </row>
    <row r="330" spans="1:4" x14ac:dyDescent="0.35">
      <c r="A330" s="178"/>
      <c r="B330" s="178"/>
      <c r="C330" s="180"/>
      <c r="D330" s="178"/>
    </row>
    <row r="331" spans="1:4" x14ac:dyDescent="0.35">
      <c r="A331" s="178"/>
      <c r="B331" s="178"/>
      <c r="C331" s="180"/>
      <c r="D331" s="178"/>
    </row>
    <row r="332" spans="1:4" x14ac:dyDescent="0.35">
      <c r="A332" s="178"/>
      <c r="B332" s="178"/>
      <c r="C332" s="180"/>
      <c r="D332" s="178"/>
    </row>
    <row r="333" spans="1:4" x14ac:dyDescent="0.35">
      <c r="A333" s="178"/>
      <c r="B333" s="178"/>
      <c r="C333" s="180"/>
      <c r="D333" s="178"/>
    </row>
    <row r="334" spans="1:4" x14ac:dyDescent="0.35">
      <c r="A334" s="178"/>
      <c r="B334" s="178"/>
      <c r="C334" s="180"/>
      <c r="D334" s="178"/>
    </row>
    <row r="335" spans="1:4" x14ac:dyDescent="0.35">
      <c r="A335" s="178"/>
      <c r="B335" s="178"/>
      <c r="C335" s="180"/>
      <c r="D335" s="178"/>
    </row>
    <row r="336" spans="1:4" x14ac:dyDescent="0.35">
      <c r="A336" s="178"/>
      <c r="B336" s="178"/>
      <c r="C336" s="180"/>
      <c r="D336" s="178"/>
    </row>
    <row r="337" spans="1:4" x14ac:dyDescent="0.35">
      <c r="A337" s="178"/>
      <c r="B337" s="178"/>
      <c r="C337" s="180"/>
      <c r="D337" s="178"/>
    </row>
    <row r="338" spans="1:4" x14ac:dyDescent="0.35">
      <c r="A338" s="178"/>
      <c r="B338" s="178"/>
      <c r="C338" s="180"/>
      <c r="D338" s="178"/>
    </row>
    <row r="339" spans="1:4" x14ac:dyDescent="0.35">
      <c r="A339" s="178"/>
      <c r="B339" s="178"/>
      <c r="C339" s="180"/>
      <c r="D339" s="178"/>
    </row>
    <row r="340" spans="1:4" x14ac:dyDescent="0.35">
      <c r="A340" s="178"/>
      <c r="B340" s="178"/>
      <c r="C340" s="180"/>
      <c r="D340" s="178"/>
    </row>
    <row r="341" spans="1:4" x14ac:dyDescent="0.35">
      <c r="A341" s="178"/>
      <c r="B341" s="178"/>
      <c r="C341" s="180"/>
      <c r="D341" s="178"/>
    </row>
    <row r="342" spans="1:4" x14ac:dyDescent="0.35">
      <c r="A342" s="178"/>
      <c r="B342" s="178"/>
      <c r="C342" s="180"/>
      <c r="D342" s="178"/>
    </row>
    <row r="343" spans="1:4" x14ac:dyDescent="0.35">
      <c r="A343" s="178"/>
      <c r="B343" s="178"/>
      <c r="C343" s="180"/>
      <c r="D343" s="178"/>
    </row>
    <row r="344" spans="1:4" x14ac:dyDescent="0.35">
      <c r="A344" s="178"/>
      <c r="B344" s="178"/>
      <c r="C344" s="180"/>
      <c r="D344" s="178"/>
    </row>
    <row r="345" spans="1:4" x14ac:dyDescent="0.35">
      <c r="A345" s="178"/>
      <c r="B345" s="178"/>
      <c r="C345" s="180"/>
      <c r="D345" s="178"/>
    </row>
    <row r="346" spans="1:4" x14ac:dyDescent="0.35">
      <c r="A346" s="178"/>
      <c r="B346" s="178"/>
      <c r="C346" s="180"/>
      <c r="D346" s="178"/>
    </row>
    <row r="347" spans="1:4" x14ac:dyDescent="0.35">
      <c r="A347" s="178"/>
      <c r="B347" s="178"/>
      <c r="C347" s="180"/>
      <c r="D347" s="178"/>
    </row>
    <row r="348" spans="1:4" x14ac:dyDescent="0.35">
      <c r="A348" s="178"/>
      <c r="B348" s="178"/>
      <c r="C348" s="180"/>
      <c r="D348" s="178"/>
    </row>
    <row r="349" spans="1:4" x14ac:dyDescent="0.35">
      <c r="A349" s="178"/>
      <c r="B349" s="178"/>
      <c r="C349" s="180"/>
      <c r="D349" s="178"/>
    </row>
    <row r="350" spans="1:4" x14ac:dyDescent="0.35">
      <c r="A350" s="178"/>
      <c r="B350" s="178"/>
      <c r="C350" s="180"/>
      <c r="D350" s="178"/>
    </row>
    <row r="351" spans="1:4" x14ac:dyDescent="0.35">
      <c r="A351" s="178"/>
      <c r="B351" s="178"/>
      <c r="C351" s="180"/>
      <c r="D351" s="178"/>
    </row>
    <row r="352" spans="1:4" x14ac:dyDescent="0.35">
      <c r="A352" s="178"/>
      <c r="B352" s="178"/>
      <c r="C352" s="180"/>
      <c r="D352" s="178"/>
    </row>
    <row r="353" spans="1:4" x14ac:dyDescent="0.35">
      <c r="A353" s="178"/>
      <c r="B353" s="178"/>
      <c r="C353" s="180"/>
      <c r="D353" s="178"/>
    </row>
    <row r="354" spans="1:4" x14ac:dyDescent="0.35">
      <c r="A354" s="178"/>
      <c r="B354" s="178"/>
      <c r="C354" s="180"/>
      <c r="D354" s="178"/>
    </row>
    <row r="355" spans="1:4" x14ac:dyDescent="0.35">
      <c r="A355" s="178"/>
      <c r="B355" s="178"/>
      <c r="C355" s="180"/>
      <c r="D355" s="178"/>
    </row>
    <row r="356" spans="1:4" x14ac:dyDescent="0.35">
      <c r="A356" s="178"/>
      <c r="B356" s="178"/>
      <c r="C356" s="180"/>
      <c r="D356" s="178"/>
    </row>
    <row r="357" spans="1:4" x14ac:dyDescent="0.35">
      <c r="A357" s="178"/>
      <c r="B357" s="178"/>
      <c r="C357" s="180"/>
      <c r="D357" s="178"/>
    </row>
    <row r="358" spans="1:4" x14ac:dyDescent="0.35">
      <c r="A358" s="178"/>
      <c r="B358" s="178"/>
      <c r="C358" s="180"/>
      <c r="D358" s="178"/>
    </row>
    <row r="359" spans="1:4" x14ac:dyDescent="0.35">
      <c r="A359" s="178"/>
      <c r="B359" s="178"/>
      <c r="C359" s="180"/>
      <c r="D359" s="178"/>
    </row>
    <row r="360" spans="1:4" x14ac:dyDescent="0.35">
      <c r="A360" s="178"/>
      <c r="B360" s="178"/>
      <c r="C360" s="180"/>
      <c r="D360" s="178"/>
    </row>
    <row r="361" spans="1:4" x14ac:dyDescent="0.35">
      <c r="A361" s="178"/>
      <c r="B361" s="178"/>
      <c r="C361" s="180"/>
      <c r="D361" s="178"/>
    </row>
    <row r="362" spans="1:4" x14ac:dyDescent="0.35">
      <c r="A362" s="178"/>
      <c r="B362" s="178"/>
      <c r="C362" s="180"/>
      <c r="D362" s="178"/>
    </row>
    <row r="363" spans="1:4" x14ac:dyDescent="0.35">
      <c r="A363" s="178"/>
      <c r="B363" s="178"/>
      <c r="C363" s="180"/>
      <c r="D363" s="178"/>
    </row>
    <row r="364" spans="1:4" x14ac:dyDescent="0.35">
      <c r="A364" s="178"/>
      <c r="B364" s="178"/>
      <c r="C364" s="180"/>
      <c r="D364" s="178"/>
    </row>
    <row r="365" spans="1:4" x14ac:dyDescent="0.35">
      <c r="A365" s="178"/>
      <c r="B365" s="178"/>
      <c r="C365" s="180"/>
      <c r="D365" s="178"/>
    </row>
    <row r="366" spans="1:4" x14ac:dyDescent="0.35">
      <c r="A366" s="178"/>
      <c r="B366" s="178"/>
      <c r="C366" s="180"/>
      <c r="D366" s="178"/>
    </row>
    <row r="367" spans="1:4" x14ac:dyDescent="0.35">
      <c r="A367" s="178"/>
      <c r="B367" s="178"/>
      <c r="C367" s="180"/>
      <c r="D367" s="178"/>
    </row>
    <row r="368" spans="1:4" x14ac:dyDescent="0.35">
      <c r="A368" s="178"/>
      <c r="B368" s="178"/>
      <c r="C368" s="180"/>
      <c r="D368" s="178"/>
    </row>
    <row r="369" spans="1:4" x14ac:dyDescent="0.35">
      <c r="A369" s="178"/>
      <c r="B369" s="178"/>
      <c r="C369" s="180"/>
      <c r="D369" s="178"/>
    </row>
    <row r="370" spans="1:4" x14ac:dyDescent="0.35">
      <c r="A370" s="178"/>
      <c r="B370" s="178"/>
      <c r="C370" s="180"/>
      <c r="D370" s="178"/>
    </row>
    <row r="371" spans="1:4" x14ac:dyDescent="0.35">
      <c r="A371" s="178"/>
      <c r="B371" s="178"/>
      <c r="C371" s="180"/>
      <c r="D371" s="178"/>
    </row>
    <row r="372" spans="1:4" x14ac:dyDescent="0.35">
      <c r="A372" s="178"/>
      <c r="B372" s="178"/>
      <c r="C372" s="180"/>
      <c r="D372" s="178"/>
    </row>
    <row r="373" spans="1:4" x14ac:dyDescent="0.35">
      <c r="A373" s="178"/>
      <c r="B373" s="178"/>
      <c r="C373" s="180"/>
      <c r="D373" s="178"/>
    </row>
    <row r="374" spans="1:4" x14ac:dyDescent="0.35">
      <c r="A374" s="178"/>
      <c r="B374" s="178"/>
      <c r="C374" s="180"/>
      <c r="D374" s="178"/>
    </row>
    <row r="375" spans="1:4" x14ac:dyDescent="0.35">
      <c r="A375" s="178"/>
      <c r="B375" s="178"/>
      <c r="C375" s="180"/>
      <c r="D375" s="178"/>
    </row>
    <row r="376" spans="1:4" x14ac:dyDescent="0.35">
      <c r="A376" s="178"/>
      <c r="B376" s="178"/>
      <c r="C376" s="180"/>
      <c r="D376" s="178"/>
    </row>
    <row r="377" spans="1:4" x14ac:dyDescent="0.35">
      <c r="A377" s="178"/>
      <c r="B377" s="178"/>
      <c r="C377" s="180"/>
      <c r="D377" s="178"/>
    </row>
    <row r="378" spans="1:4" x14ac:dyDescent="0.35">
      <c r="A378" s="178"/>
      <c r="B378" s="178"/>
      <c r="C378" s="180"/>
      <c r="D378" s="178"/>
    </row>
    <row r="379" spans="1:4" x14ac:dyDescent="0.35">
      <c r="A379" s="178"/>
      <c r="B379" s="178"/>
      <c r="C379" s="180"/>
      <c r="D379" s="178"/>
    </row>
    <row r="380" spans="1:4" x14ac:dyDescent="0.35">
      <c r="A380" s="178"/>
      <c r="B380" s="178"/>
      <c r="C380" s="180"/>
      <c r="D380" s="178"/>
    </row>
    <row r="381" spans="1:4" x14ac:dyDescent="0.35">
      <c r="A381" s="178"/>
      <c r="B381" s="178"/>
      <c r="C381" s="180"/>
      <c r="D381" s="178"/>
    </row>
    <row r="382" spans="1:4" x14ac:dyDescent="0.35">
      <c r="A382" s="178"/>
      <c r="B382" s="178"/>
      <c r="C382" s="180"/>
      <c r="D382" s="178"/>
    </row>
    <row r="383" spans="1:4" x14ac:dyDescent="0.35">
      <c r="A383" s="178"/>
      <c r="B383" s="178"/>
      <c r="C383" s="180"/>
      <c r="D383" s="178"/>
    </row>
    <row r="384" spans="1:4" x14ac:dyDescent="0.35">
      <c r="A384" s="178"/>
      <c r="B384" s="178"/>
      <c r="C384" s="180"/>
      <c r="D384" s="178"/>
    </row>
    <row r="385" spans="1:4" x14ac:dyDescent="0.35">
      <c r="A385" s="178"/>
      <c r="B385" s="178"/>
      <c r="C385" s="180"/>
      <c r="D385" s="178"/>
    </row>
    <row r="386" spans="1:4" x14ac:dyDescent="0.35">
      <c r="A386" s="178"/>
      <c r="B386" s="178"/>
      <c r="C386" s="180"/>
      <c r="D386" s="178"/>
    </row>
    <row r="387" spans="1:4" x14ac:dyDescent="0.35">
      <c r="A387" s="178"/>
      <c r="B387" s="178"/>
      <c r="C387" s="180"/>
      <c r="D387" s="178"/>
    </row>
    <row r="388" spans="1:4" x14ac:dyDescent="0.35">
      <c r="A388" s="178"/>
      <c r="B388" s="178"/>
      <c r="C388" s="180"/>
      <c r="D388" s="178"/>
    </row>
    <row r="389" spans="1:4" x14ac:dyDescent="0.35">
      <c r="A389" s="178"/>
      <c r="B389" s="178"/>
      <c r="C389" s="180"/>
      <c r="D389" s="178"/>
    </row>
    <row r="390" spans="1:4" x14ac:dyDescent="0.35">
      <c r="A390" s="178"/>
      <c r="B390" s="178"/>
      <c r="C390" s="180"/>
      <c r="D390" s="178"/>
    </row>
    <row r="391" spans="1:4" x14ac:dyDescent="0.35">
      <c r="A391" s="178"/>
      <c r="B391" s="178"/>
      <c r="C391" s="180"/>
      <c r="D391" s="178"/>
    </row>
    <row r="392" spans="1:4" x14ac:dyDescent="0.35">
      <c r="A392" s="178"/>
      <c r="B392" s="178"/>
      <c r="C392" s="180"/>
      <c r="D392" s="178"/>
    </row>
    <row r="393" spans="1:4" x14ac:dyDescent="0.35">
      <c r="A393" s="178"/>
      <c r="B393" s="178"/>
      <c r="C393" s="180"/>
      <c r="D393" s="178"/>
    </row>
    <row r="394" spans="1:4" x14ac:dyDescent="0.35">
      <c r="A394" s="178"/>
      <c r="B394" s="178"/>
      <c r="C394" s="180"/>
      <c r="D394" s="178"/>
    </row>
    <row r="395" spans="1:4" x14ac:dyDescent="0.35">
      <c r="A395" s="178"/>
      <c r="B395" s="178"/>
      <c r="C395" s="180"/>
      <c r="D395" s="178"/>
    </row>
    <row r="396" spans="1:4" x14ac:dyDescent="0.35">
      <c r="A396" s="178"/>
      <c r="B396" s="178"/>
      <c r="C396" s="180"/>
      <c r="D396" s="178"/>
    </row>
    <row r="397" spans="1:4" x14ac:dyDescent="0.35">
      <c r="A397" s="178"/>
      <c r="B397" s="178"/>
      <c r="C397" s="180"/>
      <c r="D397" s="178"/>
    </row>
    <row r="398" spans="1:4" x14ac:dyDescent="0.35">
      <c r="A398" s="178"/>
      <c r="B398" s="178"/>
      <c r="C398" s="180"/>
      <c r="D398" s="178"/>
    </row>
    <row r="399" spans="1:4" x14ac:dyDescent="0.35">
      <c r="A399" s="178"/>
      <c r="B399" s="178"/>
      <c r="C399" s="180"/>
      <c r="D399" s="178"/>
    </row>
    <row r="400" spans="1:4" x14ac:dyDescent="0.35">
      <c r="A400" s="178"/>
      <c r="B400" s="178"/>
      <c r="C400" s="180"/>
      <c r="D400" s="178"/>
    </row>
    <row r="401" spans="1:4" x14ac:dyDescent="0.35">
      <c r="A401" s="178"/>
      <c r="B401" s="178"/>
      <c r="C401" s="180"/>
      <c r="D401" s="178"/>
    </row>
    <row r="402" spans="1:4" x14ac:dyDescent="0.35">
      <c r="A402" s="178"/>
      <c r="B402" s="178"/>
      <c r="C402" s="180"/>
      <c r="D402" s="178"/>
    </row>
    <row r="403" spans="1:4" x14ac:dyDescent="0.35">
      <c r="A403" s="178"/>
      <c r="B403" s="178"/>
      <c r="C403" s="180"/>
      <c r="D403" s="178"/>
    </row>
    <row r="404" spans="1:4" x14ac:dyDescent="0.35">
      <c r="A404" s="178"/>
      <c r="B404" s="178"/>
      <c r="C404" s="180"/>
      <c r="D404" s="178"/>
    </row>
    <row r="405" spans="1:4" x14ac:dyDescent="0.35">
      <c r="A405" s="178"/>
      <c r="B405" s="178"/>
      <c r="C405" s="180"/>
      <c r="D405" s="178"/>
    </row>
    <row r="406" spans="1:4" x14ac:dyDescent="0.35">
      <c r="A406" s="178"/>
      <c r="B406" s="178"/>
      <c r="C406" s="180"/>
      <c r="D406" s="178"/>
    </row>
    <row r="407" spans="1:4" x14ac:dyDescent="0.35">
      <c r="A407" s="178"/>
      <c r="B407" s="178"/>
      <c r="C407" s="180"/>
      <c r="D407" s="178"/>
    </row>
    <row r="408" spans="1:4" x14ac:dyDescent="0.35">
      <c r="A408" s="178"/>
      <c r="B408" s="178"/>
      <c r="C408" s="180"/>
      <c r="D408" s="178"/>
    </row>
    <row r="409" spans="1:4" x14ac:dyDescent="0.35">
      <c r="A409" s="178"/>
      <c r="B409" s="178"/>
      <c r="C409" s="180"/>
      <c r="D409" s="178"/>
    </row>
    <row r="410" spans="1:4" x14ac:dyDescent="0.35">
      <c r="A410" s="178"/>
      <c r="B410" s="178"/>
      <c r="C410" s="180"/>
      <c r="D410" s="178"/>
    </row>
    <row r="411" spans="1:4" x14ac:dyDescent="0.35">
      <c r="A411" s="178"/>
      <c r="B411" s="178"/>
      <c r="C411" s="180"/>
      <c r="D411" s="178"/>
    </row>
    <row r="412" spans="1:4" x14ac:dyDescent="0.35">
      <c r="A412" s="178"/>
      <c r="B412" s="178"/>
      <c r="C412" s="180"/>
      <c r="D412" s="178"/>
    </row>
    <row r="413" spans="1:4" x14ac:dyDescent="0.35">
      <c r="A413" s="178"/>
      <c r="B413" s="178"/>
      <c r="C413" s="180"/>
      <c r="D413" s="178"/>
    </row>
    <row r="414" spans="1:4" x14ac:dyDescent="0.35">
      <c r="A414" s="178"/>
      <c r="B414" s="178"/>
      <c r="C414" s="180"/>
      <c r="D414" s="178"/>
    </row>
    <row r="415" spans="1:4" x14ac:dyDescent="0.35">
      <c r="A415" s="178"/>
      <c r="B415" s="178"/>
      <c r="C415" s="180"/>
      <c r="D415" s="178"/>
    </row>
    <row r="416" spans="1:4" x14ac:dyDescent="0.35">
      <c r="A416" s="178"/>
      <c r="B416" s="178"/>
      <c r="C416" s="180"/>
      <c r="D416" s="178"/>
    </row>
    <row r="417" spans="1:4" x14ac:dyDescent="0.35">
      <c r="A417" s="178"/>
      <c r="B417" s="178"/>
      <c r="C417" s="180"/>
      <c r="D417" s="178"/>
    </row>
    <row r="418" spans="1:4" x14ac:dyDescent="0.35">
      <c r="A418" s="178"/>
      <c r="B418" s="178"/>
      <c r="C418" s="180"/>
      <c r="D418" s="178"/>
    </row>
    <row r="419" spans="1:4" x14ac:dyDescent="0.35">
      <c r="A419" s="178"/>
      <c r="B419" s="178"/>
      <c r="C419" s="180"/>
      <c r="D419" s="178"/>
    </row>
    <row r="420" spans="1:4" x14ac:dyDescent="0.35">
      <c r="A420" s="178"/>
      <c r="B420" s="178"/>
      <c r="C420" s="180"/>
      <c r="D420" s="178"/>
    </row>
    <row r="421" spans="1:4" x14ac:dyDescent="0.35">
      <c r="A421" s="178"/>
      <c r="B421" s="178"/>
      <c r="C421" s="180"/>
      <c r="D421" s="178"/>
    </row>
    <row r="422" spans="1:4" x14ac:dyDescent="0.35">
      <c r="A422" s="178"/>
      <c r="B422" s="178"/>
      <c r="C422" s="180"/>
      <c r="D422" s="178"/>
    </row>
    <row r="423" spans="1:4" x14ac:dyDescent="0.35">
      <c r="A423" s="178"/>
      <c r="B423" s="178"/>
      <c r="C423" s="180"/>
      <c r="D423" s="178"/>
    </row>
    <row r="424" spans="1:4" x14ac:dyDescent="0.35">
      <c r="A424" s="178"/>
      <c r="B424" s="178"/>
      <c r="C424" s="180"/>
      <c r="D424" s="178"/>
    </row>
    <row r="425" spans="1:4" x14ac:dyDescent="0.35">
      <c r="A425" s="178"/>
      <c r="B425" s="178"/>
      <c r="C425" s="180"/>
      <c r="D425" s="178"/>
    </row>
    <row r="426" spans="1:4" x14ac:dyDescent="0.35">
      <c r="A426" s="178"/>
      <c r="B426" s="178"/>
      <c r="C426" s="180"/>
      <c r="D426" s="178"/>
    </row>
    <row r="427" spans="1:4" x14ac:dyDescent="0.35">
      <c r="A427" s="178"/>
      <c r="B427" s="178"/>
      <c r="C427" s="180"/>
      <c r="D427" s="178"/>
    </row>
    <row r="428" spans="1:4" x14ac:dyDescent="0.35">
      <c r="A428" s="178"/>
      <c r="B428" s="178"/>
      <c r="C428" s="180"/>
      <c r="D428" s="178"/>
    </row>
    <row r="429" spans="1:4" x14ac:dyDescent="0.35">
      <c r="A429" s="178"/>
      <c r="B429" s="178"/>
      <c r="C429" s="180"/>
      <c r="D429" s="178"/>
    </row>
    <row r="430" spans="1:4" x14ac:dyDescent="0.35">
      <c r="A430" s="178"/>
      <c r="B430" s="178"/>
      <c r="C430" s="180"/>
      <c r="D430" s="178"/>
    </row>
    <row r="431" spans="1:4" x14ac:dyDescent="0.35">
      <c r="A431" s="178"/>
      <c r="B431" s="178"/>
      <c r="C431" s="180"/>
      <c r="D431" s="178"/>
    </row>
    <row r="432" spans="1:4" x14ac:dyDescent="0.35">
      <c r="A432" s="178"/>
      <c r="B432" s="178"/>
      <c r="C432" s="180"/>
      <c r="D432" s="178"/>
    </row>
    <row r="433" spans="1:4" x14ac:dyDescent="0.35">
      <c r="A433" s="178"/>
      <c r="B433" s="178"/>
      <c r="C433" s="180"/>
      <c r="D433" s="178"/>
    </row>
    <row r="434" spans="1:4" x14ac:dyDescent="0.35">
      <c r="A434" s="178"/>
      <c r="B434" s="178"/>
      <c r="C434" s="180"/>
      <c r="D434" s="178"/>
    </row>
    <row r="435" spans="1:4" x14ac:dyDescent="0.35">
      <c r="A435" s="178"/>
      <c r="B435" s="178"/>
      <c r="C435" s="180"/>
      <c r="D435" s="178"/>
    </row>
    <row r="436" spans="1:4" x14ac:dyDescent="0.35">
      <c r="A436" s="178"/>
      <c r="B436" s="178"/>
      <c r="C436" s="180"/>
      <c r="D436" s="178"/>
    </row>
    <row r="437" spans="1:4" x14ac:dyDescent="0.35">
      <c r="A437" s="178"/>
      <c r="B437" s="178"/>
      <c r="C437" s="180"/>
      <c r="D437" s="178"/>
    </row>
    <row r="438" spans="1:4" x14ac:dyDescent="0.35">
      <c r="A438" s="178"/>
      <c r="B438" s="178"/>
      <c r="C438" s="180"/>
      <c r="D438" s="178"/>
    </row>
    <row r="439" spans="1:4" x14ac:dyDescent="0.35">
      <c r="A439" s="178"/>
      <c r="B439" s="178"/>
      <c r="C439" s="180"/>
      <c r="D439" s="178"/>
    </row>
    <row r="440" spans="1:4" x14ac:dyDescent="0.35">
      <c r="A440" s="178"/>
      <c r="B440" s="178"/>
      <c r="C440" s="180"/>
      <c r="D440" s="178"/>
    </row>
    <row r="441" spans="1:4" x14ac:dyDescent="0.35">
      <c r="A441" s="178"/>
      <c r="B441" s="178"/>
      <c r="C441" s="180"/>
      <c r="D441" s="178"/>
    </row>
    <row r="442" spans="1:4" x14ac:dyDescent="0.35">
      <c r="A442" s="178"/>
      <c r="B442" s="178"/>
      <c r="C442" s="180"/>
      <c r="D442" s="178"/>
    </row>
    <row r="443" spans="1:4" x14ac:dyDescent="0.35">
      <c r="A443" s="178"/>
      <c r="B443" s="178"/>
      <c r="C443" s="180"/>
      <c r="D443" s="178"/>
    </row>
    <row r="444" spans="1:4" x14ac:dyDescent="0.35">
      <c r="A444" s="178"/>
      <c r="B444" s="178"/>
      <c r="C444" s="180"/>
      <c r="D444" s="178"/>
    </row>
    <row r="445" spans="1:4" x14ac:dyDescent="0.35">
      <c r="A445" s="178"/>
      <c r="B445" s="178"/>
      <c r="C445" s="180"/>
      <c r="D445" s="178"/>
    </row>
    <row r="446" spans="1:4" x14ac:dyDescent="0.35">
      <c r="A446" s="178"/>
      <c r="B446" s="178"/>
      <c r="C446" s="180"/>
      <c r="D446" s="178"/>
    </row>
    <row r="447" spans="1:4" x14ac:dyDescent="0.35">
      <c r="A447" s="178"/>
      <c r="B447" s="178"/>
      <c r="C447" s="180"/>
      <c r="D447" s="178"/>
    </row>
    <row r="448" spans="1:4" x14ac:dyDescent="0.35">
      <c r="A448" s="178"/>
      <c r="B448" s="178"/>
      <c r="C448" s="180"/>
      <c r="D448" s="178"/>
    </row>
    <row r="449" spans="1:4" x14ac:dyDescent="0.35">
      <c r="A449" s="178"/>
      <c r="B449" s="178"/>
      <c r="C449" s="180"/>
      <c r="D449" s="178"/>
    </row>
    <row r="450" spans="1:4" x14ac:dyDescent="0.35">
      <c r="A450" s="178"/>
      <c r="B450" s="178"/>
      <c r="C450" s="180"/>
      <c r="D450" s="178"/>
    </row>
    <row r="451" spans="1:4" x14ac:dyDescent="0.35">
      <c r="A451" s="178"/>
      <c r="B451" s="178"/>
      <c r="C451" s="180"/>
      <c r="D451" s="178"/>
    </row>
    <row r="452" spans="1:4" x14ac:dyDescent="0.35">
      <c r="A452" s="178"/>
      <c r="B452" s="178"/>
      <c r="C452" s="180"/>
      <c r="D452" s="178"/>
    </row>
    <row r="453" spans="1:4" x14ac:dyDescent="0.35">
      <c r="A453" s="178"/>
      <c r="B453" s="178"/>
      <c r="C453" s="180"/>
      <c r="D453" s="178"/>
    </row>
    <row r="454" spans="1:4" x14ac:dyDescent="0.35">
      <c r="A454" s="178"/>
      <c r="B454" s="178"/>
      <c r="C454" s="180"/>
      <c r="D454" s="178"/>
    </row>
    <row r="455" spans="1:4" x14ac:dyDescent="0.35">
      <c r="A455" s="178"/>
      <c r="B455" s="178"/>
      <c r="C455" s="180"/>
      <c r="D455" s="178"/>
    </row>
    <row r="456" spans="1:4" x14ac:dyDescent="0.35">
      <c r="A456" s="178"/>
      <c r="B456" s="178"/>
      <c r="C456" s="180"/>
      <c r="D456" s="178"/>
    </row>
    <row r="457" spans="1:4" x14ac:dyDescent="0.35">
      <c r="A457" s="178"/>
      <c r="B457" s="178"/>
      <c r="C457" s="180"/>
      <c r="D457" s="178"/>
    </row>
    <row r="458" spans="1:4" x14ac:dyDescent="0.35">
      <c r="A458" s="178"/>
      <c r="B458" s="178"/>
      <c r="C458" s="180"/>
      <c r="D458" s="178"/>
    </row>
    <row r="459" spans="1:4" x14ac:dyDescent="0.35">
      <c r="A459" s="178"/>
      <c r="B459" s="178"/>
      <c r="C459" s="180"/>
      <c r="D459" s="178"/>
    </row>
    <row r="460" spans="1:4" x14ac:dyDescent="0.35">
      <c r="A460" s="178"/>
      <c r="B460" s="178"/>
      <c r="C460" s="180"/>
      <c r="D460" s="178"/>
    </row>
    <row r="461" spans="1:4" x14ac:dyDescent="0.35">
      <c r="A461" s="178"/>
      <c r="B461" s="178"/>
      <c r="C461" s="180"/>
      <c r="D461" s="178"/>
    </row>
    <row r="462" spans="1:4" x14ac:dyDescent="0.35">
      <c r="A462" s="178"/>
      <c r="B462" s="178"/>
      <c r="C462" s="180"/>
      <c r="D462" s="178"/>
    </row>
    <row r="463" spans="1:4" x14ac:dyDescent="0.35">
      <c r="A463" s="178"/>
      <c r="B463" s="178"/>
      <c r="C463" s="180"/>
      <c r="D463" s="178"/>
    </row>
    <row r="464" spans="1:4" x14ac:dyDescent="0.35">
      <c r="A464" s="178"/>
      <c r="B464" s="178"/>
      <c r="C464" s="180"/>
      <c r="D464" s="178"/>
    </row>
    <row r="465" spans="1:4" x14ac:dyDescent="0.35">
      <c r="A465" s="178"/>
      <c r="B465" s="178"/>
      <c r="C465" s="180"/>
      <c r="D465" s="178"/>
    </row>
    <row r="466" spans="1:4" x14ac:dyDescent="0.35">
      <c r="A466" s="178"/>
      <c r="B466" s="178"/>
      <c r="C466" s="180"/>
      <c r="D466" s="178"/>
    </row>
    <row r="467" spans="1:4" x14ac:dyDescent="0.35">
      <c r="A467" s="178"/>
      <c r="B467" s="178"/>
      <c r="C467" s="180"/>
      <c r="D467" s="178"/>
    </row>
    <row r="468" spans="1:4" x14ac:dyDescent="0.35">
      <c r="A468" s="178"/>
      <c r="B468" s="178"/>
      <c r="C468" s="180"/>
      <c r="D468" s="178"/>
    </row>
    <row r="469" spans="1:4" x14ac:dyDescent="0.35">
      <c r="A469" s="178"/>
      <c r="B469" s="178"/>
      <c r="C469" s="180"/>
      <c r="D469" s="178"/>
    </row>
    <row r="470" spans="1:4" x14ac:dyDescent="0.35">
      <c r="A470" s="178"/>
      <c r="B470" s="178"/>
      <c r="C470" s="180"/>
      <c r="D470" s="178"/>
    </row>
    <row r="471" spans="1:4" x14ac:dyDescent="0.35">
      <c r="A471" s="178"/>
      <c r="B471" s="178"/>
      <c r="C471" s="180"/>
      <c r="D471" s="178"/>
    </row>
    <row r="472" spans="1:4" x14ac:dyDescent="0.35">
      <c r="A472" s="178"/>
      <c r="B472" s="178"/>
      <c r="C472" s="180"/>
      <c r="D472" s="178"/>
    </row>
    <row r="473" spans="1:4" x14ac:dyDescent="0.35">
      <c r="A473" s="178"/>
      <c r="B473" s="178"/>
      <c r="C473" s="180"/>
      <c r="D473" s="178"/>
    </row>
    <row r="474" spans="1:4" x14ac:dyDescent="0.35">
      <c r="A474" s="178"/>
      <c r="B474" s="178"/>
      <c r="C474" s="180"/>
      <c r="D474" s="178"/>
    </row>
    <row r="475" spans="1:4" x14ac:dyDescent="0.35">
      <c r="A475" s="178"/>
      <c r="B475" s="178"/>
      <c r="C475" s="180"/>
      <c r="D475" s="178"/>
    </row>
    <row r="476" spans="1:4" x14ac:dyDescent="0.35">
      <c r="A476" s="178"/>
      <c r="B476" s="178"/>
      <c r="C476" s="180"/>
      <c r="D476" s="178"/>
    </row>
    <row r="477" spans="1:4" x14ac:dyDescent="0.35">
      <c r="A477" s="178"/>
      <c r="B477" s="178"/>
      <c r="C477" s="180"/>
      <c r="D477" s="178"/>
    </row>
    <row r="478" spans="1:4" x14ac:dyDescent="0.35">
      <c r="A478" s="178"/>
      <c r="B478" s="178"/>
      <c r="C478" s="180"/>
      <c r="D478" s="178"/>
    </row>
    <row r="479" spans="1:4" x14ac:dyDescent="0.35">
      <c r="A479" s="178"/>
      <c r="B479" s="178"/>
      <c r="C479" s="180"/>
      <c r="D479" s="178"/>
    </row>
    <row r="480" spans="1:4" x14ac:dyDescent="0.35">
      <c r="A480" s="178"/>
      <c r="B480" s="178"/>
      <c r="C480" s="180"/>
      <c r="D480" s="178"/>
    </row>
    <row r="481" spans="1:6" x14ac:dyDescent="0.35">
      <c r="A481" s="178"/>
      <c r="B481" s="178"/>
      <c r="C481" s="180"/>
      <c r="D481" s="178"/>
    </row>
    <row r="482" spans="1:6" x14ac:dyDescent="0.35">
      <c r="A482" s="178"/>
      <c r="B482" s="178"/>
      <c r="C482" s="180"/>
      <c r="D482" s="178"/>
    </row>
    <row r="483" spans="1:6" x14ac:dyDescent="0.35">
      <c r="A483" s="178"/>
      <c r="B483" s="178"/>
      <c r="C483" s="180"/>
      <c r="D483" s="178"/>
    </row>
    <row r="484" spans="1:6" x14ac:dyDescent="0.35">
      <c r="A484" s="178"/>
      <c r="B484" s="178"/>
      <c r="C484" s="180"/>
      <c r="D484" s="178"/>
      <c r="F484" s="178"/>
    </row>
    <row r="485" spans="1:6" x14ac:dyDescent="0.35">
      <c r="A485" s="178"/>
      <c r="B485" s="178"/>
      <c r="C485" s="180"/>
      <c r="D485" s="178"/>
      <c r="F485" s="178"/>
    </row>
    <row r="486" spans="1:6" x14ac:dyDescent="0.35">
      <c r="A486" s="178"/>
      <c r="B486" s="178"/>
      <c r="C486" s="180"/>
      <c r="D486" s="178"/>
    </row>
    <row r="487" spans="1:6" x14ac:dyDescent="0.35">
      <c r="A487" s="178"/>
      <c r="B487" s="178"/>
      <c r="C487" s="180"/>
      <c r="D487" s="178"/>
      <c r="F487" s="178"/>
    </row>
    <row r="488" spans="1:6" x14ac:dyDescent="0.35">
      <c r="A488" s="178"/>
      <c r="B488" s="178"/>
      <c r="C488" s="180"/>
      <c r="D488" s="178"/>
    </row>
    <row r="489" spans="1:6" x14ac:dyDescent="0.35">
      <c r="A489" s="178"/>
      <c r="B489" s="178"/>
      <c r="C489" s="180"/>
      <c r="D489" s="178"/>
    </row>
    <row r="490" spans="1:6" x14ac:dyDescent="0.35">
      <c r="A490" s="178"/>
      <c r="B490" s="178"/>
      <c r="C490" s="180"/>
      <c r="D490" s="178"/>
    </row>
    <row r="491" spans="1:6" x14ac:dyDescent="0.35">
      <c r="A491" s="178"/>
      <c r="B491" s="178"/>
      <c r="C491" s="180"/>
      <c r="D491" s="178"/>
    </row>
    <row r="492" spans="1:6" x14ac:dyDescent="0.35">
      <c r="A492" s="178"/>
      <c r="B492" s="178"/>
      <c r="C492" s="180"/>
      <c r="D492" s="178"/>
    </row>
    <row r="493" spans="1:6" x14ac:dyDescent="0.35">
      <c r="A493" s="178"/>
      <c r="B493" s="178"/>
      <c r="C493" s="180"/>
      <c r="D493" s="178"/>
    </row>
    <row r="494" spans="1:6" x14ac:dyDescent="0.35">
      <c r="A494" s="178"/>
      <c r="B494" s="178"/>
      <c r="C494" s="180"/>
      <c r="D494" s="178"/>
    </row>
    <row r="495" spans="1:6" x14ac:dyDescent="0.35">
      <c r="A495" s="178"/>
      <c r="B495" s="178"/>
      <c r="C495" s="180"/>
      <c r="D495" s="178"/>
    </row>
    <row r="496" spans="1:6" x14ac:dyDescent="0.35">
      <c r="A496" s="178"/>
      <c r="B496" s="178"/>
      <c r="C496" s="180"/>
      <c r="D496" s="178"/>
    </row>
    <row r="497" spans="1:4" x14ac:dyDescent="0.35">
      <c r="A497" s="178"/>
      <c r="B497" s="178"/>
      <c r="C497" s="180"/>
      <c r="D497" s="178"/>
    </row>
    <row r="498" spans="1:4" x14ac:dyDescent="0.35">
      <c r="A498" s="178"/>
      <c r="B498" s="178"/>
      <c r="C498" s="180"/>
      <c r="D498" s="178"/>
    </row>
    <row r="499" spans="1:4" x14ac:dyDescent="0.35">
      <c r="A499" s="178"/>
      <c r="B499" s="178"/>
      <c r="C499" s="180"/>
      <c r="D499" s="178"/>
    </row>
    <row r="500" spans="1:4" x14ac:dyDescent="0.35">
      <c r="A500" s="178"/>
      <c r="B500" s="178"/>
      <c r="C500" s="180"/>
      <c r="D500" s="178"/>
    </row>
    <row r="501" spans="1:4" x14ac:dyDescent="0.35">
      <c r="A501" s="178"/>
      <c r="B501" s="178"/>
      <c r="C501" s="180"/>
      <c r="D501" s="178"/>
    </row>
    <row r="502" spans="1:4" x14ac:dyDescent="0.35">
      <c r="A502" s="178"/>
      <c r="B502" s="178"/>
      <c r="C502" s="180"/>
      <c r="D502" s="178"/>
    </row>
    <row r="503" spans="1:4" x14ac:dyDescent="0.35">
      <c r="A503" s="178"/>
      <c r="B503" s="178"/>
      <c r="C503" s="180"/>
      <c r="D503" s="178"/>
    </row>
    <row r="504" spans="1:4" x14ac:dyDescent="0.35">
      <c r="A504" s="178"/>
      <c r="B504" s="178"/>
      <c r="C504" s="180"/>
      <c r="D504" s="178"/>
    </row>
    <row r="505" spans="1:4" x14ac:dyDescent="0.35">
      <c r="A505" s="178"/>
      <c r="B505" s="178"/>
      <c r="C505" s="180"/>
      <c r="D505" s="178"/>
    </row>
    <row r="506" spans="1:4" x14ac:dyDescent="0.35">
      <c r="A506" s="178"/>
      <c r="B506" s="178"/>
      <c r="C506" s="180"/>
      <c r="D506" s="178"/>
    </row>
    <row r="507" spans="1:4" x14ac:dyDescent="0.35">
      <c r="A507" s="178"/>
      <c r="B507" s="178"/>
      <c r="C507" s="180"/>
      <c r="D507" s="178"/>
    </row>
    <row r="508" spans="1:4" x14ac:dyDescent="0.35">
      <c r="A508" s="178"/>
      <c r="B508" s="178"/>
      <c r="C508" s="180"/>
      <c r="D508" s="178"/>
    </row>
    <row r="509" spans="1:4" x14ac:dyDescent="0.35">
      <c r="A509" s="178"/>
      <c r="B509" s="178"/>
      <c r="C509" s="180"/>
      <c r="D509" s="178"/>
    </row>
    <row r="510" spans="1:4" x14ac:dyDescent="0.35">
      <c r="A510" s="178"/>
      <c r="B510" s="178"/>
      <c r="C510" s="180"/>
      <c r="D510" s="178"/>
    </row>
    <row r="511" spans="1:4" x14ac:dyDescent="0.35">
      <c r="A511" s="178"/>
      <c r="B511" s="178"/>
      <c r="C511" s="180"/>
      <c r="D511" s="178"/>
    </row>
    <row r="512" spans="1:4" x14ac:dyDescent="0.35">
      <c r="A512" s="178"/>
      <c r="B512" s="178"/>
      <c r="C512" s="180"/>
      <c r="D512" s="178"/>
    </row>
    <row r="513" spans="1:4" x14ac:dyDescent="0.35">
      <c r="A513" s="178"/>
      <c r="B513" s="178"/>
      <c r="C513" s="180"/>
      <c r="D513" s="178"/>
    </row>
    <row r="514" spans="1:4" x14ac:dyDescent="0.35">
      <c r="A514" s="178"/>
      <c r="B514" s="178"/>
      <c r="C514" s="180"/>
      <c r="D514" s="178"/>
    </row>
    <row r="515" spans="1:4" x14ac:dyDescent="0.35">
      <c r="A515" s="178"/>
      <c r="B515" s="178"/>
      <c r="C515" s="180"/>
      <c r="D515" s="178"/>
    </row>
    <row r="516" spans="1:4" x14ac:dyDescent="0.35">
      <c r="A516" s="178"/>
      <c r="B516" s="178"/>
      <c r="C516" s="180"/>
      <c r="D516" s="178"/>
    </row>
    <row r="517" spans="1:4" x14ac:dyDescent="0.35">
      <c r="A517" s="178"/>
      <c r="B517" s="178"/>
      <c r="C517" s="180"/>
      <c r="D517" s="178"/>
    </row>
    <row r="518" spans="1:4" x14ac:dyDescent="0.35">
      <c r="A518" s="178"/>
      <c r="B518" s="178"/>
      <c r="C518" s="180"/>
      <c r="D518" s="178"/>
    </row>
    <row r="519" spans="1:4" x14ac:dyDescent="0.35">
      <c r="A519" s="178"/>
      <c r="B519" s="178"/>
      <c r="C519" s="180"/>
      <c r="D519" s="178"/>
    </row>
    <row r="520" spans="1:4" x14ac:dyDescent="0.35">
      <c r="A520" s="178"/>
      <c r="B520" s="178"/>
      <c r="C520" s="180"/>
      <c r="D520" s="178"/>
    </row>
    <row r="521" spans="1:4" x14ac:dyDescent="0.35">
      <c r="A521" s="178"/>
      <c r="B521" s="178"/>
      <c r="C521" s="180"/>
      <c r="D521" s="178"/>
    </row>
    <row r="522" spans="1:4" x14ac:dyDescent="0.35">
      <c r="A522" s="178"/>
      <c r="B522" s="178"/>
      <c r="C522" s="180"/>
      <c r="D522" s="178"/>
    </row>
    <row r="523" spans="1:4" x14ac:dyDescent="0.35">
      <c r="A523" s="178"/>
      <c r="B523" s="178"/>
      <c r="C523" s="180"/>
      <c r="D523" s="178"/>
    </row>
    <row r="524" spans="1:4" x14ac:dyDescent="0.35">
      <c r="A524" s="178"/>
      <c r="B524" s="178"/>
      <c r="C524" s="180"/>
      <c r="D524" s="178"/>
    </row>
    <row r="525" spans="1:4" x14ac:dyDescent="0.35">
      <c r="A525" s="178"/>
      <c r="B525" s="178"/>
      <c r="C525" s="180"/>
      <c r="D525" s="178"/>
    </row>
    <row r="526" spans="1:4" x14ac:dyDescent="0.35">
      <c r="A526" s="178"/>
      <c r="B526" s="178"/>
      <c r="C526" s="180"/>
      <c r="D526" s="178"/>
    </row>
    <row r="527" spans="1:4" x14ac:dyDescent="0.35">
      <c r="A527" s="178"/>
      <c r="B527" s="178"/>
      <c r="C527" s="180"/>
      <c r="D527" s="178"/>
    </row>
    <row r="528" spans="1:4" x14ac:dyDescent="0.35">
      <c r="A528" s="178"/>
      <c r="B528" s="178"/>
      <c r="C528" s="180"/>
      <c r="D528" s="178"/>
    </row>
    <row r="529" spans="1:4" x14ac:dyDescent="0.35">
      <c r="A529" s="178"/>
      <c r="B529" s="178"/>
      <c r="C529" s="180"/>
      <c r="D529" s="178"/>
    </row>
    <row r="530" spans="1:4" x14ac:dyDescent="0.35">
      <c r="A530" s="178"/>
      <c r="B530" s="178"/>
      <c r="C530" s="180"/>
      <c r="D530" s="178"/>
    </row>
    <row r="531" spans="1:4" x14ac:dyDescent="0.35">
      <c r="A531" s="178"/>
      <c r="B531" s="178"/>
      <c r="C531" s="180"/>
      <c r="D531" s="178"/>
    </row>
    <row r="532" spans="1:4" x14ac:dyDescent="0.35">
      <c r="A532" s="178"/>
      <c r="B532" s="178"/>
      <c r="C532" s="180"/>
      <c r="D532" s="178"/>
    </row>
    <row r="533" spans="1:4" x14ac:dyDescent="0.35">
      <c r="A533" s="178"/>
      <c r="B533" s="178"/>
      <c r="C533" s="180"/>
      <c r="D533" s="178"/>
    </row>
    <row r="534" spans="1:4" x14ac:dyDescent="0.35">
      <c r="A534" s="178"/>
      <c r="B534" s="178"/>
      <c r="C534" s="180"/>
      <c r="D534" s="178"/>
    </row>
    <row r="535" spans="1:4" x14ac:dyDescent="0.35">
      <c r="A535" s="178"/>
      <c r="B535" s="178"/>
      <c r="C535" s="180"/>
      <c r="D535" s="178"/>
    </row>
    <row r="536" spans="1:4" x14ac:dyDescent="0.35">
      <c r="A536" s="178"/>
      <c r="B536" s="178"/>
      <c r="C536" s="180"/>
      <c r="D536" s="178"/>
    </row>
    <row r="537" spans="1:4" x14ac:dyDescent="0.35">
      <c r="A537" s="178"/>
      <c r="B537" s="178"/>
      <c r="C537" s="180"/>
      <c r="D537" s="178"/>
    </row>
    <row r="538" spans="1:4" x14ac:dyDescent="0.35">
      <c r="A538" s="178"/>
      <c r="B538" s="178"/>
      <c r="C538" s="180"/>
      <c r="D538" s="178"/>
    </row>
    <row r="539" spans="1:4" x14ac:dyDescent="0.35">
      <c r="A539" s="178"/>
      <c r="B539" s="178"/>
      <c r="C539" s="180"/>
      <c r="D539" s="178"/>
    </row>
    <row r="540" spans="1:4" x14ac:dyDescent="0.35">
      <c r="A540" s="178"/>
      <c r="B540" s="178"/>
      <c r="C540" s="180"/>
      <c r="D540" s="178"/>
    </row>
    <row r="541" spans="1:4" x14ac:dyDescent="0.35">
      <c r="A541" s="178"/>
      <c r="B541" s="178"/>
      <c r="C541" s="180"/>
      <c r="D541" s="178"/>
    </row>
    <row r="542" spans="1:4" x14ac:dyDescent="0.35">
      <c r="A542" s="178"/>
      <c r="B542" s="178"/>
      <c r="C542" s="180"/>
      <c r="D542" s="178"/>
    </row>
    <row r="543" spans="1:4" x14ac:dyDescent="0.35">
      <c r="A543" s="178"/>
      <c r="B543" s="178"/>
      <c r="C543" s="180"/>
      <c r="D543" s="178"/>
    </row>
    <row r="544" spans="1:4" x14ac:dyDescent="0.35">
      <c r="A544" s="178"/>
      <c r="B544" s="178"/>
      <c r="C544" s="180"/>
      <c r="D544" s="178"/>
    </row>
    <row r="545" spans="1:4" x14ac:dyDescent="0.35">
      <c r="A545" s="178"/>
      <c r="B545" s="178"/>
      <c r="C545" s="180"/>
      <c r="D545" s="178"/>
    </row>
    <row r="546" spans="1:4" x14ac:dyDescent="0.35">
      <c r="A546" s="178"/>
      <c r="B546" s="178"/>
      <c r="C546" s="180"/>
      <c r="D546" s="178"/>
    </row>
    <row r="547" spans="1:4" x14ac:dyDescent="0.35">
      <c r="A547" s="178"/>
      <c r="B547" s="178"/>
      <c r="C547" s="180"/>
      <c r="D547" s="178"/>
    </row>
    <row r="548" spans="1:4" x14ac:dyDescent="0.35">
      <c r="A548" s="178"/>
      <c r="B548" s="178"/>
      <c r="C548" s="180"/>
      <c r="D548" s="178"/>
    </row>
    <row r="549" spans="1:4" x14ac:dyDescent="0.35">
      <c r="A549" s="178"/>
      <c r="B549" s="178"/>
      <c r="C549" s="180"/>
      <c r="D549" s="178"/>
    </row>
    <row r="550" spans="1:4" x14ac:dyDescent="0.35">
      <c r="A550" s="178"/>
      <c r="B550" s="178"/>
      <c r="C550" s="180"/>
      <c r="D550" s="178"/>
    </row>
    <row r="551" spans="1:4" x14ac:dyDescent="0.35">
      <c r="A551" s="178"/>
      <c r="B551" s="178"/>
      <c r="C551" s="180"/>
      <c r="D551" s="178"/>
    </row>
    <row r="552" spans="1:4" x14ac:dyDescent="0.35">
      <c r="A552" s="178"/>
      <c r="B552" s="178"/>
      <c r="C552" s="180"/>
      <c r="D552" s="178"/>
    </row>
    <row r="553" spans="1:4" x14ac:dyDescent="0.35">
      <c r="A553" s="178"/>
      <c r="B553" s="178"/>
      <c r="C553" s="180"/>
      <c r="D553" s="178"/>
    </row>
    <row r="554" spans="1:4" x14ac:dyDescent="0.35">
      <c r="A554" s="178"/>
      <c r="B554" s="178"/>
      <c r="C554" s="180"/>
      <c r="D554" s="178"/>
    </row>
    <row r="555" spans="1:4" x14ac:dyDescent="0.35">
      <c r="A555" s="178"/>
      <c r="B555" s="178"/>
      <c r="C555" s="180"/>
      <c r="D555" s="178"/>
    </row>
    <row r="556" spans="1:4" x14ac:dyDescent="0.35">
      <c r="A556" s="178"/>
      <c r="B556" s="178"/>
      <c r="C556" s="180"/>
      <c r="D556" s="178"/>
    </row>
    <row r="557" spans="1:4" x14ac:dyDescent="0.35">
      <c r="A557" s="178"/>
      <c r="B557" s="178"/>
      <c r="C557" s="180"/>
      <c r="D557" s="178"/>
    </row>
    <row r="558" spans="1:4" x14ac:dyDescent="0.35">
      <c r="A558" s="178"/>
      <c r="B558" s="178"/>
      <c r="C558" s="180"/>
      <c r="D558" s="178"/>
    </row>
    <row r="559" spans="1:4" x14ac:dyDescent="0.35">
      <c r="A559" s="178"/>
      <c r="B559" s="178"/>
      <c r="C559" s="180"/>
      <c r="D559" s="178"/>
    </row>
    <row r="560" spans="1:4" x14ac:dyDescent="0.35">
      <c r="A560" s="178"/>
      <c r="B560" s="178"/>
      <c r="C560" s="180"/>
      <c r="D560" s="178"/>
    </row>
    <row r="561" spans="1:4" x14ac:dyDescent="0.35">
      <c r="A561" s="178"/>
      <c r="B561" s="178"/>
      <c r="C561" s="180"/>
      <c r="D561" s="178"/>
    </row>
    <row r="562" spans="1:4" x14ac:dyDescent="0.35">
      <c r="A562" s="178"/>
      <c r="B562" s="178"/>
      <c r="C562" s="180"/>
      <c r="D562" s="178"/>
    </row>
    <row r="563" spans="1:4" x14ac:dyDescent="0.35">
      <c r="A563" s="178"/>
      <c r="B563" s="178"/>
      <c r="C563" s="180"/>
      <c r="D563" s="178"/>
    </row>
    <row r="564" spans="1:4" x14ac:dyDescent="0.35">
      <c r="A564" s="178"/>
      <c r="B564" s="178"/>
      <c r="C564" s="180"/>
      <c r="D564" s="178"/>
    </row>
    <row r="565" spans="1:4" x14ac:dyDescent="0.35">
      <c r="A565" s="178"/>
      <c r="B565" s="178"/>
      <c r="C565" s="180"/>
      <c r="D565" s="178"/>
    </row>
    <row r="566" spans="1:4" x14ac:dyDescent="0.35">
      <c r="A566" s="178"/>
      <c r="B566" s="178"/>
      <c r="C566" s="180"/>
      <c r="D566" s="178"/>
    </row>
    <row r="567" spans="1:4" x14ac:dyDescent="0.35">
      <c r="A567" s="178"/>
      <c r="B567" s="178"/>
      <c r="C567" s="180"/>
      <c r="D567" s="178"/>
    </row>
    <row r="568" spans="1:4" x14ac:dyDescent="0.35">
      <c r="A568" s="178"/>
      <c r="B568" s="178"/>
      <c r="C568" s="180"/>
      <c r="D568" s="178"/>
    </row>
    <row r="569" spans="1:4" x14ac:dyDescent="0.35">
      <c r="A569" s="178"/>
      <c r="B569" s="178"/>
      <c r="C569" s="180"/>
      <c r="D569" s="178"/>
    </row>
    <row r="570" spans="1:4" x14ac:dyDescent="0.35">
      <c r="A570" s="178"/>
      <c r="B570" s="178"/>
      <c r="C570" s="180"/>
      <c r="D570" s="178"/>
    </row>
    <row r="571" spans="1:4" x14ac:dyDescent="0.35">
      <c r="A571" s="178"/>
      <c r="B571" s="178"/>
      <c r="C571" s="180"/>
      <c r="D571" s="178"/>
    </row>
    <row r="572" spans="1:4" x14ac:dyDescent="0.35">
      <c r="A572" s="178"/>
      <c r="B572" s="178"/>
      <c r="C572" s="180"/>
      <c r="D572" s="178"/>
    </row>
    <row r="573" spans="1:4" x14ac:dyDescent="0.35">
      <c r="A573" s="178"/>
      <c r="B573" s="178"/>
      <c r="C573" s="180"/>
      <c r="D573" s="178"/>
    </row>
    <row r="574" spans="1:4" x14ac:dyDescent="0.35">
      <c r="A574" s="178"/>
      <c r="B574" s="178"/>
      <c r="C574" s="180"/>
      <c r="D574" s="178"/>
    </row>
    <row r="575" spans="1:4" x14ac:dyDescent="0.35">
      <c r="A575" s="178"/>
      <c r="B575" s="178"/>
      <c r="C575" s="180"/>
      <c r="D575" s="178"/>
    </row>
    <row r="576" spans="1:4" x14ac:dyDescent="0.35">
      <c r="A576" s="178"/>
      <c r="B576" s="178"/>
      <c r="C576" s="180"/>
      <c r="D576" s="178"/>
    </row>
    <row r="577" spans="1:4" x14ac:dyDescent="0.35">
      <c r="A577" s="178"/>
      <c r="B577" s="178"/>
      <c r="C577" s="180"/>
      <c r="D577" s="178"/>
    </row>
    <row r="578" spans="1:4" x14ac:dyDescent="0.35">
      <c r="A578" s="178"/>
      <c r="B578" s="178"/>
      <c r="C578" s="180"/>
      <c r="D578" s="178"/>
    </row>
    <row r="579" spans="1:4" x14ac:dyDescent="0.35">
      <c r="A579" s="178"/>
      <c r="B579" s="178"/>
      <c r="C579" s="180"/>
      <c r="D579" s="178"/>
    </row>
    <row r="580" spans="1:4" x14ac:dyDescent="0.35">
      <c r="A580" s="178"/>
      <c r="B580" s="178"/>
      <c r="C580" s="180"/>
      <c r="D580" s="178"/>
    </row>
    <row r="581" spans="1:4" x14ac:dyDescent="0.35">
      <c r="A581" s="178"/>
      <c r="B581" s="178"/>
      <c r="C581" s="180"/>
      <c r="D581" s="178"/>
    </row>
    <row r="582" spans="1:4" x14ac:dyDescent="0.35">
      <c r="A582" s="178"/>
      <c r="B582" s="178"/>
      <c r="C582" s="180"/>
      <c r="D582" s="178"/>
    </row>
    <row r="583" spans="1:4" x14ac:dyDescent="0.35">
      <c r="A583" s="178"/>
      <c r="B583" s="178"/>
      <c r="C583" s="180"/>
      <c r="D583" s="178"/>
    </row>
    <row r="584" spans="1:4" x14ac:dyDescent="0.35">
      <c r="A584" s="178"/>
      <c r="B584" s="178"/>
      <c r="C584" s="180"/>
      <c r="D584" s="178"/>
    </row>
    <row r="585" spans="1:4" x14ac:dyDescent="0.35">
      <c r="A585" s="178"/>
      <c r="B585" s="178"/>
      <c r="C585" s="180"/>
      <c r="D585" s="178"/>
    </row>
    <row r="586" spans="1:4" x14ac:dyDescent="0.35">
      <c r="A586" s="178"/>
      <c r="B586" s="178"/>
      <c r="C586" s="180"/>
      <c r="D586" s="178"/>
    </row>
    <row r="587" spans="1:4" x14ac:dyDescent="0.35">
      <c r="A587" s="178"/>
      <c r="B587" s="178"/>
      <c r="C587" s="180"/>
      <c r="D587" s="178"/>
    </row>
    <row r="588" spans="1:4" x14ac:dyDescent="0.35">
      <c r="A588" s="178"/>
      <c r="B588" s="178"/>
      <c r="C588" s="180"/>
      <c r="D588" s="178"/>
    </row>
    <row r="589" spans="1:4" x14ac:dyDescent="0.35">
      <c r="A589" s="178"/>
      <c r="B589" s="178"/>
      <c r="C589" s="180"/>
      <c r="D589" s="178"/>
    </row>
    <row r="590" spans="1:4" x14ac:dyDescent="0.35">
      <c r="A590" s="178"/>
      <c r="B590" s="178"/>
      <c r="C590" s="180"/>
      <c r="D590" s="178"/>
    </row>
    <row r="591" spans="1:4" x14ac:dyDescent="0.35">
      <c r="A591" s="178"/>
      <c r="B591" s="178"/>
      <c r="C591" s="180"/>
      <c r="D591" s="178"/>
    </row>
    <row r="592" spans="1:4" x14ac:dyDescent="0.35">
      <c r="A592" s="178"/>
      <c r="B592" s="178"/>
      <c r="C592" s="180"/>
      <c r="D592" s="178"/>
    </row>
    <row r="593" spans="1:4" x14ac:dyDescent="0.35">
      <c r="A593" s="178"/>
      <c r="B593" s="178"/>
      <c r="C593" s="180"/>
      <c r="D593" s="178"/>
    </row>
    <row r="594" spans="1:4" x14ac:dyDescent="0.35">
      <c r="A594" s="178"/>
      <c r="B594" s="178"/>
      <c r="C594" s="180"/>
      <c r="D594" s="178"/>
    </row>
    <row r="595" spans="1:4" x14ac:dyDescent="0.35">
      <c r="A595" s="178"/>
      <c r="B595" s="178"/>
      <c r="C595" s="180"/>
      <c r="D595" s="178"/>
    </row>
    <row r="596" spans="1:4" x14ac:dyDescent="0.35">
      <c r="A596" s="178"/>
      <c r="B596" s="178"/>
      <c r="C596" s="180"/>
      <c r="D596" s="178"/>
    </row>
    <row r="597" spans="1:4" x14ac:dyDescent="0.35">
      <c r="A597" s="178"/>
      <c r="B597" s="178"/>
      <c r="C597" s="180"/>
      <c r="D597" s="178"/>
    </row>
    <row r="598" spans="1:4" x14ac:dyDescent="0.35">
      <c r="A598" s="178"/>
      <c r="B598" s="178"/>
      <c r="C598" s="180"/>
      <c r="D598" s="178"/>
    </row>
    <row r="599" spans="1:4" x14ac:dyDescent="0.35">
      <c r="A599" s="178"/>
      <c r="B599" s="178"/>
      <c r="C599" s="180"/>
      <c r="D599" s="178"/>
    </row>
    <row r="600" spans="1:4" x14ac:dyDescent="0.35">
      <c r="A600" s="178"/>
      <c r="B600" s="178"/>
      <c r="C600" s="180"/>
      <c r="D600" s="178"/>
    </row>
    <row r="601" spans="1:4" x14ac:dyDescent="0.35">
      <c r="A601" s="178"/>
      <c r="B601" s="178"/>
      <c r="C601" s="180"/>
      <c r="D601" s="178"/>
    </row>
    <row r="602" spans="1:4" x14ac:dyDescent="0.35">
      <c r="A602" s="178"/>
      <c r="B602" s="178"/>
      <c r="C602" s="180"/>
      <c r="D602" s="178"/>
    </row>
    <row r="603" spans="1:4" x14ac:dyDescent="0.35">
      <c r="A603" s="178"/>
      <c r="B603" s="178"/>
      <c r="C603" s="180"/>
      <c r="D603" s="178"/>
    </row>
    <row r="604" spans="1:4" x14ac:dyDescent="0.35">
      <c r="A604" s="178"/>
      <c r="B604" s="178"/>
      <c r="C604" s="180"/>
      <c r="D604" s="178"/>
    </row>
    <row r="605" spans="1:4" x14ac:dyDescent="0.35">
      <c r="A605" s="178"/>
      <c r="B605" s="178"/>
      <c r="C605" s="180"/>
      <c r="D605" s="178"/>
    </row>
    <row r="606" spans="1:4" x14ac:dyDescent="0.35">
      <c r="A606" s="178"/>
      <c r="B606" s="178"/>
      <c r="C606" s="180"/>
      <c r="D606" s="178"/>
    </row>
    <row r="607" spans="1:4" x14ac:dyDescent="0.35">
      <c r="A607" s="178"/>
      <c r="B607" s="178"/>
      <c r="C607" s="180"/>
      <c r="D607" s="178"/>
    </row>
    <row r="608" spans="1:4" x14ac:dyDescent="0.35">
      <c r="A608" s="178"/>
      <c r="B608" s="178"/>
      <c r="C608" s="180"/>
      <c r="D608" s="178"/>
    </row>
    <row r="609" spans="1:4" x14ac:dyDescent="0.35">
      <c r="A609" s="178"/>
      <c r="B609" s="178"/>
      <c r="C609" s="180"/>
      <c r="D609" s="178"/>
    </row>
    <row r="610" spans="1:4" x14ac:dyDescent="0.35">
      <c r="A610" s="178"/>
      <c r="B610" s="178"/>
      <c r="C610" s="180"/>
      <c r="D610" s="178"/>
    </row>
    <row r="611" spans="1:4" x14ac:dyDescent="0.35">
      <c r="A611" s="178"/>
      <c r="B611" s="178"/>
      <c r="C611" s="180"/>
      <c r="D611" s="178"/>
    </row>
    <row r="612" spans="1:4" x14ac:dyDescent="0.35">
      <c r="A612" s="178"/>
      <c r="B612" s="178"/>
      <c r="C612" s="180"/>
      <c r="D612" s="178"/>
    </row>
    <row r="613" spans="1:4" x14ac:dyDescent="0.35">
      <c r="A613" s="178"/>
      <c r="B613" s="178"/>
      <c r="C613" s="180"/>
      <c r="D613" s="178"/>
    </row>
    <row r="614" spans="1:4" x14ac:dyDescent="0.35">
      <c r="A614" s="178"/>
      <c r="B614" s="178"/>
      <c r="C614" s="180"/>
      <c r="D614" s="178"/>
    </row>
    <row r="615" spans="1:4" x14ac:dyDescent="0.35">
      <c r="A615" s="178"/>
      <c r="B615" s="178"/>
      <c r="C615" s="180"/>
      <c r="D615" s="178"/>
    </row>
    <row r="616" spans="1:4" x14ac:dyDescent="0.35">
      <c r="A616" s="178"/>
      <c r="B616" s="178"/>
      <c r="C616" s="180"/>
      <c r="D616" s="178"/>
    </row>
    <row r="617" spans="1:4" x14ac:dyDescent="0.35">
      <c r="A617" s="178"/>
      <c r="B617" s="178"/>
      <c r="C617" s="180"/>
      <c r="D617" s="178"/>
    </row>
    <row r="618" spans="1:4" x14ac:dyDescent="0.35">
      <c r="A618" s="178"/>
      <c r="B618" s="178"/>
      <c r="C618" s="180"/>
      <c r="D618" s="178"/>
    </row>
    <row r="619" spans="1:4" x14ac:dyDescent="0.35">
      <c r="A619" s="178"/>
      <c r="B619" s="178"/>
      <c r="C619" s="180"/>
      <c r="D619" s="178"/>
    </row>
    <row r="620" spans="1:4" x14ac:dyDescent="0.35">
      <c r="A620" s="178"/>
      <c r="B620" s="178"/>
      <c r="C620" s="180"/>
      <c r="D620" s="178"/>
    </row>
    <row r="621" spans="1:4" x14ac:dyDescent="0.35">
      <c r="A621" s="178"/>
      <c r="B621" s="178"/>
      <c r="C621" s="180"/>
      <c r="D621" s="178"/>
    </row>
    <row r="622" spans="1:4" x14ac:dyDescent="0.35">
      <c r="A622" s="178"/>
      <c r="B622" s="178"/>
      <c r="C622" s="180"/>
      <c r="D622" s="178"/>
    </row>
    <row r="623" spans="1:4" x14ac:dyDescent="0.35">
      <c r="A623" s="178"/>
      <c r="B623" s="178"/>
      <c r="C623" s="180"/>
      <c r="D623" s="178"/>
    </row>
    <row r="624" spans="1:4" x14ac:dyDescent="0.35">
      <c r="A624" s="178"/>
      <c r="B624" s="178"/>
      <c r="C624" s="180"/>
      <c r="D624" s="178"/>
    </row>
    <row r="625" spans="1:4" x14ac:dyDescent="0.35">
      <c r="A625" s="178"/>
      <c r="B625" s="178"/>
      <c r="C625" s="180"/>
      <c r="D625" s="178"/>
    </row>
    <row r="626" spans="1:4" x14ac:dyDescent="0.35">
      <c r="A626" s="178"/>
      <c r="B626" s="178"/>
      <c r="C626" s="180"/>
      <c r="D626" s="178"/>
    </row>
    <row r="627" spans="1:4" x14ac:dyDescent="0.35">
      <c r="A627" s="178"/>
      <c r="B627" s="178"/>
      <c r="C627" s="180"/>
      <c r="D627" s="178"/>
    </row>
    <row r="628" spans="1:4" x14ac:dyDescent="0.35">
      <c r="A628" s="178"/>
      <c r="B628" s="178"/>
      <c r="C628" s="180"/>
      <c r="D628" s="178"/>
    </row>
    <row r="629" spans="1:4" x14ac:dyDescent="0.35">
      <c r="A629" s="178"/>
      <c r="B629" s="178"/>
      <c r="C629" s="180"/>
      <c r="D629" s="178"/>
    </row>
    <row r="630" spans="1:4" x14ac:dyDescent="0.35">
      <c r="A630" s="178"/>
      <c r="B630" s="178"/>
      <c r="C630" s="180"/>
      <c r="D630" s="178"/>
    </row>
    <row r="631" spans="1:4" x14ac:dyDescent="0.35">
      <c r="A631" s="178"/>
      <c r="B631" s="178"/>
      <c r="C631" s="180"/>
      <c r="D631" s="178"/>
    </row>
    <row r="632" spans="1:4" x14ac:dyDescent="0.35">
      <c r="A632" s="178"/>
      <c r="B632" s="178"/>
      <c r="C632" s="180"/>
      <c r="D632" s="178"/>
    </row>
    <row r="633" spans="1:4" x14ac:dyDescent="0.35">
      <c r="A633" s="178"/>
      <c r="B633" s="178"/>
      <c r="C633" s="180"/>
      <c r="D633" s="178"/>
    </row>
    <row r="634" spans="1:4" x14ac:dyDescent="0.35">
      <c r="A634" s="178"/>
      <c r="B634" s="178"/>
      <c r="C634" s="180"/>
      <c r="D634" s="178"/>
    </row>
    <row r="635" spans="1:4" x14ac:dyDescent="0.35">
      <c r="A635" s="178"/>
      <c r="B635" s="178"/>
      <c r="C635" s="180"/>
      <c r="D635" s="178"/>
    </row>
    <row r="636" spans="1:4" x14ac:dyDescent="0.35">
      <c r="A636" s="178"/>
      <c r="B636" s="178"/>
      <c r="C636" s="180"/>
      <c r="D636" s="178"/>
    </row>
    <row r="637" spans="1:4" x14ac:dyDescent="0.35">
      <c r="A637" s="178"/>
      <c r="B637" s="178"/>
      <c r="C637" s="180"/>
      <c r="D637" s="178"/>
    </row>
    <row r="638" spans="1:4" x14ac:dyDescent="0.35">
      <c r="A638" s="178"/>
      <c r="B638" s="178"/>
      <c r="C638" s="180"/>
      <c r="D638" s="178"/>
    </row>
    <row r="639" spans="1:4" x14ac:dyDescent="0.35">
      <c r="A639" s="178"/>
      <c r="B639" s="178"/>
      <c r="C639" s="180"/>
      <c r="D639" s="178"/>
    </row>
    <row r="640" spans="1:4" x14ac:dyDescent="0.35">
      <c r="A640" s="178"/>
      <c r="B640" s="178"/>
      <c r="C640" s="180"/>
      <c r="D640" s="178"/>
    </row>
    <row r="641" spans="1:4" x14ac:dyDescent="0.35">
      <c r="A641" s="178"/>
      <c r="B641" s="178"/>
      <c r="C641" s="180"/>
      <c r="D641" s="178"/>
    </row>
    <row r="642" spans="1:4" x14ac:dyDescent="0.35">
      <c r="A642" s="178"/>
      <c r="B642" s="178"/>
      <c r="C642" s="180"/>
      <c r="D642" s="178"/>
    </row>
    <row r="643" spans="1:4" x14ac:dyDescent="0.35">
      <c r="A643" s="178"/>
      <c r="B643" s="178"/>
      <c r="C643" s="180"/>
      <c r="D643" s="178"/>
    </row>
    <row r="644" spans="1:4" x14ac:dyDescent="0.35">
      <c r="A644" s="178"/>
      <c r="B644" s="178"/>
      <c r="C644" s="180"/>
      <c r="D644" s="178"/>
    </row>
    <row r="645" spans="1:4" x14ac:dyDescent="0.35">
      <c r="A645" s="178"/>
      <c r="B645" s="178"/>
      <c r="C645" s="180"/>
      <c r="D645" s="178"/>
    </row>
    <row r="646" spans="1:4" x14ac:dyDescent="0.35">
      <c r="A646" s="178"/>
      <c r="B646" s="178"/>
      <c r="C646" s="180"/>
      <c r="D646" s="178"/>
    </row>
    <row r="647" spans="1:4" x14ac:dyDescent="0.35">
      <c r="A647" s="178"/>
      <c r="B647" s="178"/>
      <c r="C647" s="180"/>
      <c r="D647" s="178"/>
    </row>
    <row r="648" spans="1:4" x14ac:dyDescent="0.35">
      <c r="A648" s="178"/>
      <c r="B648" s="178"/>
      <c r="C648" s="180"/>
      <c r="D648" s="178"/>
    </row>
    <row r="649" spans="1:4" x14ac:dyDescent="0.35">
      <c r="A649" s="178"/>
      <c r="B649" s="178"/>
      <c r="C649" s="180"/>
      <c r="D649" s="178"/>
    </row>
    <row r="650" spans="1:4" x14ac:dyDescent="0.35">
      <c r="A650" s="178"/>
      <c r="B650" s="178"/>
      <c r="C650" s="180"/>
      <c r="D650" s="178"/>
    </row>
    <row r="651" spans="1:4" x14ac:dyDescent="0.35">
      <c r="A651" s="178"/>
      <c r="B651" s="178"/>
      <c r="C651" s="180"/>
      <c r="D651" s="178"/>
    </row>
    <row r="652" spans="1:4" x14ac:dyDescent="0.35">
      <c r="A652" s="178"/>
      <c r="B652" s="178"/>
      <c r="C652" s="180"/>
      <c r="D652" s="178"/>
    </row>
    <row r="653" spans="1:4" x14ac:dyDescent="0.35">
      <c r="A653" s="178"/>
      <c r="B653" s="178"/>
      <c r="C653" s="180"/>
      <c r="D653" s="178"/>
    </row>
    <row r="654" spans="1:4" x14ac:dyDescent="0.35">
      <c r="A654" s="178"/>
      <c r="B654" s="178"/>
      <c r="C654" s="180"/>
      <c r="D654" s="178"/>
    </row>
    <row r="655" spans="1:4" x14ac:dyDescent="0.35">
      <c r="A655" s="178"/>
      <c r="B655" s="178"/>
      <c r="C655" s="180"/>
      <c r="D655" s="178"/>
    </row>
    <row r="656" spans="1:4" x14ac:dyDescent="0.35">
      <c r="A656" s="178"/>
      <c r="B656" s="178"/>
      <c r="C656" s="180"/>
      <c r="D656" s="178"/>
    </row>
    <row r="657" spans="1:4" x14ac:dyDescent="0.35">
      <c r="A657" s="178"/>
      <c r="B657" s="178"/>
      <c r="C657" s="180"/>
      <c r="D657" s="178"/>
    </row>
    <row r="658" spans="1:4" x14ac:dyDescent="0.35">
      <c r="A658" s="178"/>
      <c r="B658" s="178"/>
      <c r="C658" s="180"/>
      <c r="D658" s="178"/>
    </row>
    <row r="659" spans="1:4" x14ac:dyDescent="0.35">
      <c r="A659" s="178"/>
      <c r="B659" s="178"/>
      <c r="C659" s="180"/>
      <c r="D659" s="178"/>
    </row>
    <row r="660" spans="1:4" x14ac:dyDescent="0.35">
      <c r="A660" s="178"/>
      <c r="B660" s="178"/>
      <c r="C660" s="180"/>
      <c r="D660" s="178"/>
    </row>
    <row r="661" spans="1:4" x14ac:dyDescent="0.35">
      <c r="A661" s="178"/>
      <c r="B661" s="178"/>
      <c r="C661" s="180"/>
      <c r="D661" s="178"/>
    </row>
    <row r="662" spans="1:4" x14ac:dyDescent="0.35">
      <c r="A662" s="178"/>
      <c r="B662" s="178"/>
      <c r="C662" s="180"/>
      <c r="D662" s="178"/>
    </row>
    <row r="663" spans="1:4" x14ac:dyDescent="0.35">
      <c r="A663" s="178"/>
      <c r="B663" s="178"/>
      <c r="C663" s="180"/>
      <c r="D663" s="178"/>
    </row>
    <row r="664" spans="1:4" x14ac:dyDescent="0.35">
      <c r="A664" s="178"/>
      <c r="B664" s="178"/>
      <c r="C664" s="180"/>
      <c r="D664" s="178"/>
    </row>
    <row r="665" spans="1:4" x14ac:dyDescent="0.35">
      <c r="A665" s="178"/>
      <c r="B665" s="178"/>
      <c r="C665" s="180"/>
      <c r="D665" s="178"/>
    </row>
    <row r="666" spans="1:4" x14ac:dyDescent="0.35">
      <c r="A666" s="178"/>
      <c r="B666" s="178"/>
      <c r="C666" s="180"/>
      <c r="D666" s="178"/>
    </row>
    <row r="667" spans="1:4" x14ac:dyDescent="0.35">
      <c r="A667" s="178"/>
      <c r="B667" s="178"/>
      <c r="C667" s="180"/>
      <c r="D667" s="178"/>
    </row>
    <row r="668" spans="1:4" x14ac:dyDescent="0.35">
      <c r="A668" s="178"/>
      <c r="B668" s="178"/>
      <c r="C668" s="180"/>
      <c r="D668" s="178"/>
    </row>
    <row r="669" spans="1:4" x14ac:dyDescent="0.35">
      <c r="A669" s="178"/>
      <c r="B669" s="178"/>
      <c r="C669" s="180"/>
      <c r="D669" s="178"/>
    </row>
    <row r="670" spans="1:4" x14ac:dyDescent="0.35">
      <c r="A670" s="178"/>
      <c r="B670" s="178"/>
      <c r="C670" s="180"/>
      <c r="D670" s="178"/>
    </row>
    <row r="671" spans="1:4" x14ac:dyDescent="0.35">
      <c r="A671" s="178"/>
      <c r="B671" s="178"/>
      <c r="C671" s="180"/>
      <c r="D671" s="178"/>
    </row>
    <row r="672" spans="1:4" x14ac:dyDescent="0.35">
      <c r="A672" s="178"/>
      <c r="B672" s="178"/>
      <c r="C672" s="180"/>
      <c r="D672" s="178"/>
    </row>
    <row r="673" spans="1:4" x14ac:dyDescent="0.35">
      <c r="A673" s="178"/>
      <c r="B673" s="178"/>
      <c r="C673" s="180"/>
      <c r="D673" s="178"/>
    </row>
    <row r="674" spans="1:4" x14ac:dyDescent="0.35">
      <c r="A674" s="178"/>
      <c r="B674" s="178"/>
      <c r="C674" s="180"/>
      <c r="D674" s="178"/>
    </row>
    <row r="675" spans="1:4" x14ac:dyDescent="0.35">
      <c r="A675" s="178"/>
      <c r="B675" s="178"/>
      <c r="C675" s="180"/>
      <c r="D675" s="178"/>
    </row>
    <row r="676" spans="1:4" x14ac:dyDescent="0.35">
      <c r="A676" s="178"/>
      <c r="B676" s="178"/>
      <c r="C676" s="180"/>
      <c r="D676" s="178"/>
    </row>
    <row r="677" spans="1:4" x14ac:dyDescent="0.35">
      <c r="A677" s="178"/>
      <c r="B677" s="178"/>
      <c r="C677" s="180"/>
      <c r="D677" s="178"/>
    </row>
    <row r="678" spans="1:4" x14ac:dyDescent="0.35">
      <c r="A678" s="178"/>
      <c r="B678" s="178"/>
      <c r="C678" s="180"/>
      <c r="D678" s="178"/>
    </row>
    <row r="679" spans="1:4" x14ac:dyDescent="0.35">
      <c r="A679" s="178"/>
      <c r="B679" s="178"/>
      <c r="C679" s="180"/>
      <c r="D679" s="178"/>
    </row>
    <row r="680" spans="1:4" x14ac:dyDescent="0.35">
      <c r="A680" s="178"/>
      <c r="B680" s="178"/>
      <c r="C680" s="180"/>
      <c r="D680" s="178"/>
    </row>
    <row r="681" spans="1:4" x14ac:dyDescent="0.35">
      <c r="A681" s="178"/>
      <c r="B681" s="178"/>
      <c r="C681" s="180"/>
      <c r="D681" s="178"/>
    </row>
    <row r="682" spans="1:4" x14ac:dyDescent="0.35">
      <c r="A682" s="178"/>
      <c r="B682" s="178"/>
      <c r="C682" s="180"/>
      <c r="D682" s="178"/>
    </row>
    <row r="683" spans="1:4" x14ac:dyDescent="0.35">
      <c r="A683" s="178"/>
      <c r="B683" s="178"/>
      <c r="C683" s="180"/>
      <c r="D683" s="178"/>
    </row>
    <row r="684" spans="1:4" x14ac:dyDescent="0.35">
      <c r="A684" s="178"/>
      <c r="B684" s="178"/>
      <c r="C684" s="180"/>
      <c r="D684" s="178"/>
    </row>
    <row r="685" spans="1:4" x14ac:dyDescent="0.35">
      <c r="A685" s="178"/>
      <c r="B685" s="178"/>
      <c r="C685" s="180"/>
      <c r="D685" s="178"/>
    </row>
    <row r="686" spans="1:4" x14ac:dyDescent="0.35">
      <c r="A686" s="178"/>
      <c r="B686" s="178"/>
      <c r="C686" s="180"/>
      <c r="D686" s="178"/>
    </row>
    <row r="687" spans="1:4" x14ac:dyDescent="0.35">
      <c r="A687" s="178"/>
      <c r="B687" s="178"/>
      <c r="C687" s="180"/>
      <c r="D687" s="178"/>
    </row>
    <row r="688" spans="1:4" x14ac:dyDescent="0.35">
      <c r="A688" s="178"/>
      <c r="B688" s="178"/>
      <c r="C688" s="180"/>
      <c r="D688" s="178"/>
    </row>
    <row r="689" spans="1:4" x14ac:dyDescent="0.35">
      <c r="A689" s="178"/>
      <c r="B689" s="178"/>
      <c r="C689" s="180"/>
      <c r="D689" s="178"/>
    </row>
    <row r="690" spans="1:4" x14ac:dyDescent="0.35">
      <c r="A690" s="178"/>
      <c r="B690" s="178"/>
      <c r="C690" s="180"/>
      <c r="D690" s="178"/>
    </row>
    <row r="691" spans="1:4" x14ac:dyDescent="0.35">
      <c r="A691" s="178"/>
      <c r="B691" s="178"/>
      <c r="C691" s="180"/>
      <c r="D691" s="178"/>
    </row>
    <row r="692" spans="1:4" x14ac:dyDescent="0.35">
      <c r="A692" s="178"/>
      <c r="B692" s="178"/>
      <c r="C692" s="180"/>
      <c r="D692" s="178"/>
    </row>
    <row r="693" spans="1:4" x14ac:dyDescent="0.35">
      <c r="A693" s="178"/>
      <c r="B693" s="178"/>
      <c r="C693" s="180"/>
      <c r="D693" s="178"/>
    </row>
    <row r="694" spans="1:4" x14ac:dyDescent="0.35">
      <c r="A694" s="178"/>
      <c r="B694" s="178"/>
      <c r="C694" s="180"/>
      <c r="D694" s="178"/>
    </row>
    <row r="695" spans="1:4" x14ac:dyDescent="0.35">
      <c r="A695" s="178"/>
      <c r="B695" s="178"/>
      <c r="C695" s="180"/>
      <c r="D695" s="178"/>
    </row>
    <row r="696" spans="1:4" x14ac:dyDescent="0.35">
      <c r="A696" s="178"/>
      <c r="B696" s="178"/>
      <c r="C696" s="180"/>
      <c r="D696" s="178"/>
    </row>
    <row r="697" spans="1:4" x14ac:dyDescent="0.35">
      <c r="A697" s="178"/>
      <c r="B697" s="178"/>
      <c r="C697" s="180"/>
      <c r="D697" s="178"/>
    </row>
    <row r="698" spans="1:4" x14ac:dyDescent="0.35">
      <c r="A698" s="178"/>
      <c r="B698" s="178"/>
      <c r="C698" s="180"/>
      <c r="D698" s="178"/>
    </row>
    <row r="699" spans="1:4" x14ac:dyDescent="0.35">
      <c r="A699" s="178"/>
      <c r="B699" s="178"/>
      <c r="C699" s="180"/>
      <c r="D699" s="178"/>
    </row>
    <row r="700" spans="1:4" x14ac:dyDescent="0.35">
      <c r="A700" s="178"/>
      <c r="B700" s="178"/>
      <c r="C700" s="180"/>
      <c r="D700" s="178"/>
    </row>
    <row r="701" spans="1:4" x14ac:dyDescent="0.35">
      <c r="A701" s="178"/>
      <c r="B701" s="178"/>
      <c r="C701" s="180"/>
      <c r="D701" s="178"/>
    </row>
    <row r="702" spans="1:4" x14ac:dyDescent="0.35">
      <c r="A702" s="178"/>
      <c r="B702" s="178"/>
      <c r="C702" s="180"/>
      <c r="D702" s="178"/>
    </row>
    <row r="703" spans="1:4" x14ac:dyDescent="0.35">
      <c r="A703" s="178"/>
      <c r="B703" s="178"/>
      <c r="C703" s="180"/>
      <c r="D703" s="178"/>
    </row>
    <row r="704" spans="1:4" x14ac:dyDescent="0.35">
      <c r="A704" s="178"/>
      <c r="B704" s="178"/>
      <c r="C704" s="180"/>
      <c r="D704" s="178"/>
    </row>
    <row r="705" spans="1:6" x14ac:dyDescent="0.35">
      <c r="A705" s="178"/>
      <c r="B705" s="178"/>
      <c r="C705" s="180"/>
      <c r="D705" s="178"/>
      <c r="F705" s="178"/>
    </row>
    <row r="706" spans="1:6" x14ac:dyDescent="0.35">
      <c r="A706" s="178"/>
      <c r="B706" s="178"/>
      <c r="C706" s="180"/>
      <c r="D706" s="178"/>
    </row>
    <row r="707" spans="1:6" x14ac:dyDescent="0.35">
      <c r="A707" s="178"/>
      <c r="B707" s="178"/>
      <c r="C707" s="180"/>
      <c r="D707" s="178"/>
    </row>
    <row r="708" spans="1:6" x14ac:dyDescent="0.35">
      <c r="A708" s="178"/>
      <c r="B708" s="178"/>
      <c r="C708" s="180"/>
      <c r="D708" s="178"/>
    </row>
    <row r="709" spans="1:6" x14ac:dyDescent="0.35">
      <c r="A709" s="178"/>
      <c r="B709" s="178"/>
      <c r="C709" s="180"/>
      <c r="D709" s="178"/>
    </row>
    <row r="710" spans="1:6" x14ac:dyDescent="0.35">
      <c r="A710" s="178"/>
      <c r="B710" s="178"/>
      <c r="C710" s="180"/>
      <c r="D710" s="178"/>
    </row>
    <row r="711" spans="1:6" x14ac:dyDescent="0.35">
      <c r="A711" s="178"/>
      <c r="B711" s="178"/>
      <c r="C711" s="180"/>
      <c r="D711" s="178"/>
    </row>
    <row r="712" spans="1:6" x14ac:dyDescent="0.35">
      <c r="A712" s="178"/>
      <c r="B712" s="178"/>
      <c r="C712" s="180"/>
      <c r="D712" s="178"/>
    </row>
    <row r="713" spans="1:6" x14ac:dyDescent="0.35">
      <c r="A713" s="178"/>
      <c r="B713" s="178"/>
      <c r="C713" s="180"/>
      <c r="D713" s="178"/>
    </row>
    <row r="714" spans="1:6" x14ac:dyDescent="0.35">
      <c r="A714" s="178"/>
      <c r="B714" s="178"/>
      <c r="C714" s="180"/>
      <c r="D714" s="178"/>
    </row>
    <row r="715" spans="1:6" x14ac:dyDescent="0.35">
      <c r="A715" s="178"/>
      <c r="B715" s="178"/>
      <c r="C715" s="180"/>
      <c r="D715" s="178"/>
    </row>
    <row r="716" spans="1:6" x14ac:dyDescent="0.35">
      <c r="A716" s="178"/>
      <c r="B716" s="178"/>
      <c r="C716" s="180"/>
      <c r="D716" s="178"/>
    </row>
    <row r="717" spans="1:6" x14ac:dyDescent="0.35">
      <c r="A717" s="178"/>
      <c r="B717" s="178"/>
      <c r="C717" s="180"/>
      <c r="D717" s="178"/>
    </row>
    <row r="718" spans="1:6" x14ac:dyDescent="0.35">
      <c r="A718" s="178"/>
      <c r="B718" s="178"/>
      <c r="C718" s="180"/>
      <c r="D718" s="178"/>
    </row>
    <row r="719" spans="1:6" x14ac:dyDescent="0.35">
      <c r="A719" s="178"/>
      <c r="B719" s="178"/>
      <c r="C719" s="180"/>
      <c r="D719" s="178"/>
    </row>
    <row r="720" spans="1:6" x14ac:dyDescent="0.35">
      <c r="A720" s="178"/>
      <c r="B720" s="178"/>
      <c r="C720" s="180"/>
      <c r="D720" s="178"/>
    </row>
    <row r="721" spans="1:4" x14ac:dyDescent="0.35">
      <c r="A721" s="178"/>
      <c r="B721" s="178"/>
      <c r="C721" s="180"/>
      <c r="D721" s="178"/>
    </row>
    <row r="722" spans="1:4" x14ac:dyDescent="0.35">
      <c r="A722" s="178"/>
      <c r="B722" s="178"/>
      <c r="C722" s="180"/>
      <c r="D722" s="178"/>
    </row>
    <row r="723" spans="1:4" x14ac:dyDescent="0.35">
      <c r="A723" s="178"/>
      <c r="B723" s="178"/>
      <c r="C723" s="180"/>
      <c r="D723" s="178"/>
    </row>
    <row r="724" spans="1:4" x14ac:dyDescent="0.35">
      <c r="A724" s="178"/>
      <c r="B724" s="178"/>
      <c r="C724" s="180"/>
      <c r="D724" s="178"/>
    </row>
    <row r="725" spans="1:4" x14ac:dyDescent="0.35">
      <c r="A725" s="178"/>
      <c r="B725" s="178"/>
      <c r="C725" s="180"/>
      <c r="D725" s="178"/>
    </row>
    <row r="726" spans="1:4" x14ac:dyDescent="0.35">
      <c r="A726" s="178"/>
      <c r="B726" s="178"/>
      <c r="C726" s="180"/>
      <c r="D726" s="178"/>
    </row>
    <row r="727" spans="1:4" x14ac:dyDescent="0.35">
      <c r="A727" s="178"/>
      <c r="B727" s="178"/>
      <c r="C727" s="180"/>
      <c r="D727" s="178"/>
    </row>
    <row r="728" spans="1:4" x14ac:dyDescent="0.35">
      <c r="A728" s="178"/>
      <c r="B728" s="178"/>
      <c r="C728" s="180"/>
      <c r="D728" s="178"/>
    </row>
    <row r="729" spans="1:4" x14ac:dyDescent="0.35">
      <c r="A729" s="178"/>
      <c r="B729" s="178"/>
      <c r="C729" s="180"/>
      <c r="D729" s="178"/>
    </row>
    <row r="730" spans="1:4" x14ac:dyDescent="0.35">
      <c r="A730" s="178"/>
      <c r="B730" s="178"/>
      <c r="C730" s="180"/>
      <c r="D730" s="178"/>
    </row>
    <row r="731" spans="1:4" x14ac:dyDescent="0.35">
      <c r="A731" s="178"/>
      <c r="B731" s="178"/>
      <c r="C731" s="180"/>
      <c r="D731" s="178"/>
    </row>
    <row r="732" spans="1:4" x14ac:dyDescent="0.35">
      <c r="A732" s="178"/>
      <c r="B732" s="178"/>
      <c r="C732" s="180"/>
      <c r="D732" s="178"/>
    </row>
    <row r="733" spans="1:4" x14ac:dyDescent="0.35">
      <c r="A733" s="178"/>
      <c r="B733" s="178"/>
      <c r="C733" s="180"/>
      <c r="D733" s="178"/>
    </row>
    <row r="734" spans="1:4" x14ac:dyDescent="0.35">
      <c r="A734" s="178"/>
      <c r="B734" s="178"/>
      <c r="C734" s="180"/>
      <c r="D734" s="178"/>
    </row>
    <row r="735" spans="1:4" x14ac:dyDescent="0.35">
      <c r="A735" s="178"/>
      <c r="B735" s="178"/>
      <c r="C735" s="180"/>
      <c r="D735" s="178"/>
    </row>
    <row r="736" spans="1:4" x14ac:dyDescent="0.35">
      <c r="A736" s="178"/>
      <c r="B736" s="178"/>
      <c r="C736" s="180"/>
      <c r="D736" s="178"/>
    </row>
    <row r="737" spans="1:4" x14ac:dyDescent="0.35">
      <c r="A737" s="178"/>
      <c r="B737" s="178"/>
      <c r="C737" s="180"/>
      <c r="D737" s="178"/>
    </row>
    <row r="738" spans="1:4" x14ac:dyDescent="0.35">
      <c r="A738" s="178"/>
      <c r="B738" s="178"/>
      <c r="C738" s="180"/>
      <c r="D738" s="178"/>
    </row>
    <row r="739" spans="1:4" x14ac:dyDescent="0.35">
      <c r="A739" s="178"/>
      <c r="B739" s="178"/>
      <c r="C739" s="180"/>
      <c r="D739" s="178"/>
    </row>
    <row r="740" spans="1:4" x14ac:dyDescent="0.35">
      <c r="A740" s="178"/>
      <c r="B740" s="178"/>
      <c r="C740" s="180"/>
      <c r="D740" s="178"/>
    </row>
    <row r="741" spans="1:4" x14ac:dyDescent="0.35">
      <c r="A741" s="178"/>
      <c r="B741" s="178"/>
      <c r="C741" s="180"/>
      <c r="D741" s="178"/>
    </row>
    <row r="742" spans="1:4" x14ac:dyDescent="0.35">
      <c r="A742" s="178"/>
      <c r="B742" s="178"/>
      <c r="C742" s="180"/>
      <c r="D742" s="178"/>
    </row>
    <row r="743" spans="1:4" x14ac:dyDescent="0.35">
      <c r="A743" s="178"/>
      <c r="B743" s="178"/>
      <c r="C743" s="180"/>
      <c r="D743" s="178"/>
    </row>
    <row r="744" spans="1:4" x14ac:dyDescent="0.35">
      <c r="A744" s="178"/>
      <c r="B744" s="178"/>
      <c r="C744" s="180"/>
      <c r="D744" s="178"/>
    </row>
    <row r="745" spans="1:4" x14ac:dyDescent="0.35">
      <c r="A745" s="178"/>
      <c r="B745" s="178"/>
      <c r="C745" s="180"/>
      <c r="D745" s="178"/>
    </row>
    <row r="746" spans="1:4" x14ac:dyDescent="0.35">
      <c r="A746" s="178"/>
      <c r="B746" s="178"/>
      <c r="C746" s="180"/>
      <c r="D746" s="178"/>
    </row>
    <row r="747" spans="1:4" x14ac:dyDescent="0.35">
      <c r="A747" s="178"/>
      <c r="B747" s="178"/>
      <c r="C747" s="180"/>
      <c r="D747" s="178"/>
    </row>
    <row r="748" spans="1:4" x14ac:dyDescent="0.35">
      <c r="A748" s="178"/>
      <c r="B748" s="178"/>
      <c r="C748" s="180"/>
      <c r="D748" s="178"/>
    </row>
    <row r="749" spans="1:4" x14ac:dyDescent="0.35">
      <c r="A749" s="178"/>
      <c r="B749" s="178"/>
      <c r="C749" s="180"/>
      <c r="D749" s="178"/>
    </row>
    <row r="750" spans="1:4" x14ac:dyDescent="0.35">
      <c r="A750" s="178"/>
      <c r="B750" s="178"/>
      <c r="C750" s="180"/>
      <c r="D750" s="178"/>
    </row>
    <row r="751" spans="1:4" x14ac:dyDescent="0.35">
      <c r="A751" s="178"/>
      <c r="B751" s="178"/>
      <c r="C751" s="180"/>
      <c r="D751" s="178"/>
    </row>
    <row r="752" spans="1:4" x14ac:dyDescent="0.35">
      <c r="A752" s="178"/>
      <c r="B752" s="178"/>
      <c r="C752" s="180"/>
      <c r="D752" s="178"/>
    </row>
    <row r="753" spans="1:4" x14ac:dyDescent="0.35">
      <c r="A753" s="178"/>
      <c r="B753" s="178"/>
      <c r="C753" s="180"/>
      <c r="D753" s="178"/>
    </row>
    <row r="754" spans="1:4" x14ac:dyDescent="0.35">
      <c r="A754" s="178"/>
      <c r="B754" s="178"/>
      <c r="C754" s="180"/>
      <c r="D754" s="178"/>
    </row>
    <row r="755" spans="1:4" x14ac:dyDescent="0.35">
      <c r="A755" s="178"/>
      <c r="B755" s="178"/>
      <c r="C755" s="180"/>
      <c r="D755" s="178"/>
    </row>
    <row r="756" spans="1:4" x14ac:dyDescent="0.35">
      <c r="A756" s="178"/>
      <c r="B756" s="178"/>
      <c r="C756" s="180"/>
      <c r="D756" s="178"/>
    </row>
    <row r="757" spans="1:4" x14ac:dyDescent="0.35">
      <c r="A757" s="178"/>
      <c r="B757" s="178"/>
      <c r="C757" s="180"/>
      <c r="D757" s="178"/>
    </row>
    <row r="758" spans="1:4" x14ac:dyDescent="0.35">
      <c r="A758" s="178"/>
      <c r="B758" s="178"/>
      <c r="C758" s="180"/>
      <c r="D758" s="178"/>
    </row>
    <row r="759" spans="1:4" x14ac:dyDescent="0.35">
      <c r="A759" s="178"/>
      <c r="B759" s="178"/>
      <c r="C759" s="180"/>
      <c r="D759" s="178"/>
    </row>
    <row r="760" spans="1:4" x14ac:dyDescent="0.35">
      <c r="A760" s="178"/>
      <c r="B760" s="178"/>
      <c r="C760" s="180"/>
      <c r="D760" s="178"/>
    </row>
    <row r="761" spans="1:4" x14ac:dyDescent="0.35">
      <c r="A761" s="178"/>
      <c r="B761" s="178"/>
      <c r="C761" s="180"/>
      <c r="D761" s="178"/>
    </row>
    <row r="762" spans="1:4" x14ac:dyDescent="0.35">
      <c r="A762" s="178"/>
      <c r="B762" s="178"/>
      <c r="C762" s="180"/>
      <c r="D762" s="178"/>
    </row>
    <row r="763" spans="1:4" x14ac:dyDescent="0.35">
      <c r="A763" s="178"/>
      <c r="B763" s="178"/>
      <c r="C763" s="180"/>
      <c r="D763" s="178"/>
    </row>
    <row r="764" spans="1:4" x14ac:dyDescent="0.35">
      <c r="A764" s="178"/>
      <c r="B764" s="178"/>
      <c r="C764" s="180"/>
      <c r="D764" s="178"/>
    </row>
    <row r="765" spans="1:4" x14ac:dyDescent="0.35">
      <c r="A765" s="178"/>
      <c r="B765" s="178"/>
      <c r="C765" s="180"/>
      <c r="D765" s="178"/>
    </row>
    <row r="766" spans="1:4" x14ac:dyDescent="0.35">
      <c r="A766" s="178"/>
      <c r="B766" s="178"/>
      <c r="C766" s="180"/>
      <c r="D766" s="178"/>
    </row>
    <row r="767" spans="1:4" x14ac:dyDescent="0.35">
      <c r="A767" s="178"/>
      <c r="B767" s="178"/>
      <c r="C767" s="180"/>
      <c r="D767" s="178"/>
    </row>
    <row r="768" spans="1:4" x14ac:dyDescent="0.35">
      <c r="A768" s="178"/>
      <c r="B768" s="178"/>
      <c r="C768" s="180"/>
      <c r="D768" s="178"/>
    </row>
    <row r="769" spans="1:4" x14ac:dyDescent="0.35">
      <c r="A769" s="178"/>
      <c r="B769" s="178"/>
      <c r="C769" s="180"/>
      <c r="D769" s="178"/>
    </row>
    <row r="770" spans="1:4" x14ac:dyDescent="0.35">
      <c r="A770" s="178"/>
      <c r="B770" s="178"/>
      <c r="C770" s="180"/>
      <c r="D770" s="178"/>
    </row>
    <row r="771" spans="1:4" x14ac:dyDescent="0.35">
      <c r="A771" s="178"/>
      <c r="B771" s="178"/>
      <c r="C771" s="180"/>
      <c r="D771" s="178"/>
    </row>
    <row r="772" spans="1:4" x14ac:dyDescent="0.35">
      <c r="A772" s="178"/>
      <c r="B772" s="178"/>
      <c r="C772" s="180"/>
      <c r="D772" s="178"/>
    </row>
    <row r="773" spans="1:4" x14ac:dyDescent="0.35">
      <c r="A773" s="178"/>
      <c r="B773" s="178"/>
      <c r="C773" s="180"/>
      <c r="D773" s="178"/>
    </row>
    <row r="774" spans="1:4" x14ac:dyDescent="0.35">
      <c r="A774" s="178"/>
      <c r="B774" s="178"/>
      <c r="C774" s="180"/>
      <c r="D774" s="178"/>
    </row>
    <row r="775" spans="1:4" x14ac:dyDescent="0.35">
      <c r="A775" s="178"/>
      <c r="B775" s="178"/>
      <c r="C775" s="180"/>
      <c r="D775" s="178"/>
    </row>
    <row r="776" spans="1:4" x14ac:dyDescent="0.35">
      <c r="A776" s="178"/>
      <c r="B776" s="178"/>
      <c r="C776" s="180"/>
      <c r="D776" s="178"/>
    </row>
    <row r="777" spans="1:4" x14ac:dyDescent="0.35">
      <c r="A777" s="178"/>
      <c r="B777" s="178"/>
      <c r="C777" s="180"/>
      <c r="D777" s="178"/>
    </row>
    <row r="778" spans="1:4" x14ac:dyDescent="0.35">
      <c r="A778" s="178"/>
      <c r="B778" s="178"/>
      <c r="C778" s="180"/>
      <c r="D778" s="178"/>
    </row>
    <row r="779" spans="1:4" x14ac:dyDescent="0.35">
      <c r="A779" s="178"/>
      <c r="B779" s="178"/>
      <c r="C779" s="180"/>
      <c r="D779" s="178"/>
    </row>
    <row r="780" spans="1:4" x14ac:dyDescent="0.35">
      <c r="A780" s="178"/>
      <c r="B780" s="178"/>
      <c r="C780" s="180"/>
      <c r="D780" s="178"/>
    </row>
    <row r="781" spans="1:4" x14ac:dyDescent="0.35">
      <c r="A781" s="178"/>
      <c r="B781" s="178"/>
      <c r="C781" s="180"/>
      <c r="D781" s="178"/>
    </row>
    <row r="782" spans="1:4" x14ac:dyDescent="0.35">
      <c r="A782" s="178"/>
      <c r="B782" s="178"/>
      <c r="C782" s="180"/>
      <c r="D782" s="178"/>
    </row>
    <row r="783" spans="1:4" x14ac:dyDescent="0.35">
      <c r="A783" s="178"/>
      <c r="B783" s="178"/>
      <c r="C783" s="180"/>
      <c r="D783" s="178"/>
    </row>
    <row r="784" spans="1:4" x14ac:dyDescent="0.35">
      <c r="A784" s="178"/>
      <c r="B784" s="178"/>
      <c r="C784" s="180"/>
      <c r="D784" s="178"/>
    </row>
    <row r="785" spans="1:4" x14ac:dyDescent="0.35">
      <c r="A785" s="178"/>
      <c r="B785" s="178"/>
      <c r="C785" s="180"/>
      <c r="D785" s="178"/>
    </row>
    <row r="786" spans="1:4" x14ac:dyDescent="0.35">
      <c r="A786" s="178"/>
      <c r="B786" s="178"/>
      <c r="C786" s="180"/>
      <c r="D786" s="178"/>
    </row>
    <row r="787" spans="1:4" x14ac:dyDescent="0.35">
      <c r="A787" s="178"/>
      <c r="B787" s="178"/>
      <c r="C787" s="180"/>
      <c r="D787" s="178"/>
    </row>
    <row r="788" spans="1:4" x14ac:dyDescent="0.35">
      <c r="A788" s="178"/>
      <c r="B788" s="178"/>
      <c r="C788" s="180"/>
      <c r="D788" s="178"/>
    </row>
    <row r="789" spans="1:4" x14ac:dyDescent="0.35">
      <c r="A789" s="178"/>
      <c r="B789" s="178"/>
      <c r="C789" s="180"/>
      <c r="D789" s="178"/>
    </row>
    <row r="790" spans="1:4" x14ac:dyDescent="0.35">
      <c r="A790" s="178"/>
      <c r="B790" s="178"/>
      <c r="C790" s="180"/>
      <c r="D790" s="178"/>
    </row>
    <row r="791" spans="1:4" x14ac:dyDescent="0.35">
      <c r="A791" s="178"/>
      <c r="B791" s="178"/>
      <c r="C791" s="180"/>
      <c r="D791" s="178"/>
    </row>
    <row r="792" spans="1:4" x14ac:dyDescent="0.35">
      <c r="A792" s="178"/>
      <c r="B792" s="178"/>
      <c r="C792" s="180"/>
      <c r="D792" s="178"/>
    </row>
    <row r="793" spans="1:4" x14ac:dyDescent="0.35">
      <c r="A793" s="178"/>
      <c r="B793" s="178"/>
      <c r="C793" s="180"/>
      <c r="D793" s="178"/>
    </row>
    <row r="794" spans="1:4" x14ac:dyDescent="0.35">
      <c r="A794" s="178"/>
      <c r="B794" s="178"/>
      <c r="C794" s="180"/>
      <c r="D794" s="178"/>
    </row>
    <row r="795" spans="1:4" x14ac:dyDescent="0.35">
      <c r="A795" s="178"/>
      <c r="B795" s="178"/>
      <c r="C795" s="180"/>
      <c r="D795" s="178"/>
    </row>
    <row r="796" spans="1:4" x14ac:dyDescent="0.35">
      <c r="A796" s="178"/>
      <c r="B796" s="178"/>
      <c r="C796" s="180"/>
      <c r="D796" s="178"/>
    </row>
    <row r="797" spans="1:4" x14ac:dyDescent="0.35">
      <c r="A797" s="178"/>
      <c r="B797" s="178"/>
      <c r="C797" s="180"/>
      <c r="D797" s="178"/>
    </row>
    <row r="798" spans="1:4" x14ac:dyDescent="0.35">
      <c r="A798" s="178"/>
      <c r="B798" s="178"/>
      <c r="C798" s="180"/>
      <c r="D798" s="178"/>
    </row>
    <row r="799" spans="1:4" x14ac:dyDescent="0.35">
      <c r="A799" s="178"/>
      <c r="B799" s="178"/>
      <c r="C799" s="180"/>
      <c r="D799" s="178"/>
    </row>
    <row r="800" spans="1:4" x14ac:dyDescent="0.35">
      <c r="A800" s="178"/>
      <c r="B800" s="178"/>
      <c r="C800" s="180"/>
      <c r="D800" s="178"/>
    </row>
    <row r="801" spans="1:4" x14ac:dyDescent="0.35">
      <c r="A801" s="178"/>
      <c r="B801" s="178"/>
      <c r="C801" s="180"/>
      <c r="D801" s="178"/>
    </row>
    <row r="802" spans="1:4" x14ac:dyDescent="0.35">
      <c r="A802" s="178"/>
      <c r="B802" s="178"/>
      <c r="C802" s="180"/>
      <c r="D802" s="178"/>
    </row>
    <row r="803" spans="1:4" x14ac:dyDescent="0.35">
      <c r="A803" s="178"/>
      <c r="B803" s="178"/>
      <c r="C803" s="180"/>
      <c r="D803" s="178"/>
    </row>
    <row r="804" spans="1:4" x14ac:dyDescent="0.35">
      <c r="A804" s="178"/>
      <c r="B804" s="178"/>
      <c r="C804" s="180"/>
      <c r="D804" s="178"/>
    </row>
    <row r="805" spans="1:4" x14ac:dyDescent="0.35">
      <c r="A805" s="178"/>
      <c r="B805" s="178"/>
      <c r="C805" s="180"/>
      <c r="D805" s="178"/>
    </row>
    <row r="806" spans="1:4" x14ac:dyDescent="0.35">
      <c r="A806" s="178"/>
      <c r="B806" s="178"/>
      <c r="C806" s="180"/>
      <c r="D806" s="178"/>
    </row>
    <row r="807" spans="1:4" x14ac:dyDescent="0.35">
      <c r="A807" s="178"/>
      <c r="B807" s="178"/>
      <c r="C807" s="180"/>
      <c r="D807" s="178"/>
    </row>
    <row r="808" spans="1:4" x14ac:dyDescent="0.35">
      <c r="A808" s="178"/>
      <c r="B808" s="178"/>
      <c r="C808" s="180"/>
      <c r="D808" s="178"/>
    </row>
    <row r="809" spans="1:4" x14ac:dyDescent="0.35">
      <c r="A809" s="178"/>
      <c r="B809" s="178"/>
      <c r="C809" s="180"/>
      <c r="D809" s="178"/>
    </row>
    <row r="810" spans="1:4" x14ac:dyDescent="0.35">
      <c r="A810" s="178"/>
      <c r="B810" s="178"/>
      <c r="C810" s="180"/>
      <c r="D810" s="178"/>
    </row>
    <row r="811" spans="1:4" x14ac:dyDescent="0.35">
      <c r="A811" s="178"/>
      <c r="B811" s="178"/>
      <c r="C811" s="180"/>
      <c r="D811" s="178"/>
    </row>
    <row r="812" spans="1:4" x14ac:dyDescent="0.35">
      <c r="A812" s="178"/>
      <c r="B812" s="178"/>
      <c r="C812" s="180"/>
      <c r="D812" s="178"/>
    </row>
    <row r="813" spans="1:4" x14ac:dyDescent="0.35">
      <c r="A813" s="178"/>
      <c r="B813" s="178"/>
      <c r="C813" s="180"/>
      <c r="D813" s="178"/>
    </row>
    <row r="814" spans="1:4" x14ac:dyDescent="0.35">
      <c r="A814" s="178"/>
      <c r="B814" s="178"/>
      <c r="C814" s="180"/>
      <c r="D814" s="178"/>
    </row>
    <row r="815" spans="1:4" x14ac:dyDescent="0.35">
      <c r="A815" s="178"/>
      <c r="B815" s="178"/>
      <c r="C815" s="180"/>
      <c r="D815" s="178"/>
    </row>
    <row r="816" spans="1:4" x14ac:dyDescent="0.35">
      <c r="A816" s="178"/>
      <c r="B816" s="178"/>
      <c r="C816" s="180"/>
      <c r="D816" s="178"/>
    </row>
    <row r="817" spans="1:4" x14ac:dyDescent="0.35">
      <c r="A817" s="178"/>
      <c r="B817" s="178"/>
      <c r="C817" s="180"/>
      <c r="D817" s="178"/>
    </row>
    <row r="818" spans="1:4" x14ac:dyDescent="0.35">
      <c r="A818" s="178"/>
      <c r="B818" s="178"/>
      <c r="C818" s="180"/>
      <c r="D818" s="178"/>
    </row>
    <row r="819" spans="1:4" x14ac:dyDescent="0.35">
      <c r="A819" s="178"/>
      <c r="B819" s="178"/>
      <c r="C819" s="180"/>
      <c r="D819" s="178"/>
    </row>
    <row r="820" spans="1:4" x14ac:dyDescent="0.35">
      <c r="A820" s="178"/>
      <c r="B820" s="178"/>
      <c r="C820" s="180"/>
      <c r="D820" s="178"/>
    </row>
    <row r="821" spans="1:4" x14ac:dyDescent="0.35">
      <c r="A821" s="178"/>
      <c r="B821" s="178"/>
      <c r="C821" s="180"/>
      <c r="D821" s="178"/>
    </row>
    <row r="822" spans="1:4" x14ac:dyDescent="0.35">
      <c r="A822" s="178"/>
      <c r="B822" s="178"/>
      <c r="C822" s="180"/>
      <c r="D822" s="178"/>
    </row>
    <row r="823" spans="1:4" x14ac:dyDescent="0.35">
      <c r="A823" s="178"/>
      <c r="B823" s="178"/>
      <c r="C823" s="180"/>
      <c r="D823" s="178"/>
    </row>
    <row r="824" spans="1:4" x14ac:dyDescent="0.35">
      <c r="A824" s="178"/>
      <c r="B824" s="178"/>
      <c r="C824" s="180"/>
      <c r="D824" s="178"/>
    </row>
    <row r="825" spans="1:4" x14ac:dyDescent="0.35">
      <c r="A825" s="178"/>
      <c r="B825" s="178"/>
      <c r="C825" s="180"/>
      <c r="D825" s="178"/>
    </row>
    <row r="826" spans="1:4" x14ac:dyDescent="0.35">
      <c r="A826" s="178"/>
      <c r="B826" s="178"/>
      <c r="C826" s="180"/>
      <c r="D826" s="178"/>
    </row>
    <row r="827" spans="1:4" x14ac:dyDescent="0.35">
      <c r="A827" s="178"/>
      <c r="B827" s="178"/>
      <c r="C827" s="180"/>
      <c r="D827" s="178"/>
    </row>
    <row r="828" spans="1:4" x14ac:dyDescent="0.35">
      <c r="A828" s="178"/>
      <c r="B828" s="178"/>
      <c r="C828" s="180"/>
      <c r="D828" s="178"/>
    </row>
    <row r="829" spans="1:4" x14ac:dyDescent="0.35">
      <c r="A829" s="178"/>
      <c r="B829" s="178"/>
      <c r="C829" s="180"/>
      <c r="D829" s="178"/>
    </row>
    <row r="830" spans="1:4" x14ac:dyDescent="0.35">
      <c r="A830" s="178"/>
      <c r="B830" s="178"/>
      <c r="C830" s="180"/>
      <c r="D830" s="178"/>
    </row>
    <row r="831" spans="1:4" x14ac:dyDescent="0.35">
      <c r="A831" s="178"/>
      <c r="B831" s="178"/>
      <c r="C831" s="180"/>
      <c r="D831" s="178"/>
    </row>
    <row r="832" spans="1:4" x14ac:dyDescent="0.35">
      <c r="A832" s="178"/>
      <c r="B832" s="178"/>
      <c r="C832" s="180"/>
      <c r="D832" s="178"/>
    </row>
    <row r="833" spans="1:4" x14ac:dyDescent="0.35">
      <c r="A833" s="178"/>
      <c r="B833" s="178"/>
      <c r="C833" s="180"/>
      <c r="D833" s="178"/>
    </row>
    <row r="834" spans="1:4" x14ac:dyDescent="0.35">
      <c r="A834" s="178"/>
      <c r="B834" s="178"/>
      <c r="C834" s="180"/>
      <c r="D834" s="178"/>
    </row>
    <row r="835" spans="1:4" x14ac:dyDescent="0.35">
      <c r="A835" s="178"/>
      <c r="B835" s="178"/>
      <c r="C835" s="180"/>
      <c r="D835" s="178"/>
    </row>
    <row r="836" spans="1:4" x14ac:dyDescent="0.35">
      <c r="A836" s="178"/>
      <c r="B836" s="178"/>
      <c r="C836" s="180"/>
      <c r="D836" s="178"/>
    </row>
    <row r="837" spans="1:4" x14ac:dyDescent="0.35">
      <c r="A837" s="178"/>
      <c r="B837" s="178"/>
      <c r="C837" s="180"/>
      <c r="D837" s="178"/>
    </row>
    <row r="838" spans="1:4" x14ac:dyDescent="0.35">
      <c r="A838" s="178"/>
      <c r="B838" s="178"/>
      <c r="C838" s="180"/>
      <c r="D838" s="178"/>
    </row>
    <row r="839" spans="1:4" x14ac:dyDescent="0.35">
      <c r="A839" s="178"/>
      <c r="B839" s="178"/>
      <c r="C839" s="180"/>
      <c r="D839" s="178"/>
    </row>
    <row r="840" spans="1:4" x14ac:dyDescent="0.35">
      <c r="A840" s="178"/>
      <c r="B840" s="178"/>
      <c r="C840" s="180"/>
      <c r="D840" s="178"/>
    </row>
    <row r="841" spans="1:4" x14ac:dyDescent="0.35">
      <c r="A841" s="178"/>
      <c r="B841" s="178"/>
      <c r="C841" s="180"/>
      <c r="D841" s="178"/>
    </row>
    <row r="842" spans="1:4" x14ac:dyDescent="0.35">
      <c r="A842" s="178"/>
      <c r="B842" s="178"/>
      <c r="C842" s="180"/>
      <c r="D842" s="178"/>
    </row>
    <row r="843" spans="1:4" x14ac:dyDescent="0.35">
      <c r="A843" s="178"/>
      <c r="B843" s="178"/>
      <c r="C843" s="180"/>
      <c r="D843" s="178"/>
    </row>
    <row r="844" spans="1:4" x14ac:dyDescent="0.35">
      <c r="A844" s="178"/>
      <c r="B844" s="178"/>
      <c r="C844" s="180"/>
      <c r="D844" s="178"/>
    </row>
    <row r="845" spans="1:4" x14ac:dyDescent="0.35">
      <c r="A845" s="178"/>
      <c r="B845" s="178"/>
      <c r="C845" s="180"/>
      <c r="D845" s="178"/>
    </row>
    <row r="846" spans="1:4" x14ac:dyDescent="0.35">
      <c r="A846" s="178"/>
      <c r="B846" s="178"/>
      <c r="C846" s="180"/>
      <c r="D846" s="178"/>
    </row>
    <row r="847" spans="1:4" x14ac:dyDescent="0.35">
      <c r="A847" s="178"/>
      <c r="B847" s="178"/>
      <c r="C847" s="180"/>
      <c r="D847" s="178"/>
    </row>
    <row r="848" spans="1:4" x14ac:dyDescent="0.35">
      <c r="A848" s="178"/>
      <c r="B848" s="178"/>
      <c r="C848" s="180"/>
      <c r="D848" s="178"/>
    </row>
    <row r="849" spans="1:4" x14ac:dyDescent="0.35">
      <c r="A849" s="178"/>
      <c r="B849" s="178"/>
      <c r="C849" s="180"/>
      <c r="D849" s="178"/>
    </row>
    <row r="850" spans="1:4" x14ac:dyDescent="0.35">
      <c r="A850" s="178"/>
      <c r="B850" s="178"/>
      <c r="C850" s="180"/>
      <c r="D850" s="178"/>
    </row>
    <row r="851" spans="1:4" x14ac:dyDescent="0.35">
      <c r="A851" s="178"/>
      <c r="B851" s="178"/>
      <c r="C851" s="180"/>
      <c r="D851" s="178"/>
    </row>
    <row r="852" spans="1:4" x14ac:dyDescent="0.35">
      <c r="A852" s="178"/>
      <c r="B852" s="178"/>
      <c r="C852" s="180"/>
      <c r="D852" s="178"/>
    </row>
    <row r="853" spans="1:4" x14ac:dyDescent="0.35">
      <c r="A853" s="178"/>
      <c r="B853" s="178"/>
      <c r="C853" s="180"/>
      <c r="D853" s="178"/>
    </row>
    <row r="854" spans="1:4" x14ac:dyDescent="0.35">
      <c r="A854" s="178"/>
      <c r="B854" s="178"/>
      <c r="C854" s="180"/>
      <c r="D854" s="178"/>
    </row>
    <row r="855" spans="1:4" x14ac:dyDescent="0.35">
      <c r="A855" s="178"/>
      <c r="B855" s="178"/>
      <c r="C855" s="180"/>
      <c r="D855" s="178"/>
    </row>
    <row r="856" spans="1:4" x14ac:dyDescent="0.35">
      <c r="A856" s="178"/>
      <c r="B856" s="178"/>
      <c r="C856" s="180"/>
      <c r="D856" s="178"/>
    </row>
    <row r="857" spans="1:4" x14ac:dyDescent="0.35">
      <c r="A857" s="178"/>
      <c r="B857" s="178"/>
      <c r="C857" s="180"/>
      <c r="D857" s="178"/>
    </row>
    <row r="858" spans="1:4" x14ac:dyDescent="0.35">
      <c r="A858" s="178"/>
      <c r="B858" s="178"/>
      <c r="C858" s="180"/>
      <c r="D858" s="178"/>
    </row>
    <row r="859" spans="1:4" x14ac:dyDescent="0.35">
      <c r="A859" s="178"/>
      <c r="B859" s="178"/>
      <c r="C859" s="180"/>
      <c r="D859" s="178"/>
    </row>
    <row r="860" spans="1:4" x14ac:dyDescent="0.35">
      <c r="A860" s="178"/>
      <c r="B860" s="178"/>
      <c r="C860" s="180"/>
      <c r="D860" s="178"/>
    </row>
    <row r="861" spans="1:4" x14ac:dyDescent="0.35">
      <c r="A861" s="178"/>
      <c r="B861" s="178"/>
      <c r="C861" s="180"/>
      <c r="D861" s="178"/>
    </row>
    <row r="862" spans="1:4" x14ac:dyDescent="0.35">
      <c r="A862" s="178"/>
      <c r="B862" s="178"/>
      <c r="C862" s="180"/>
      <c r="D862" s="178"/>
    </row>
    <row r="863" spans="1:4" x14ac:dyDescent="0.35">
      <c r="A863" s="178"/>
      <c r="B863" s="178"/>
      <c r="C863" s="180"/>
      <c r="D863" s="178"/>
    </row>
    <row r="864" spans="1:4" x14ac:dyDescent="0.35">
      <c r="A864" s="178"/>
      <c r="B864" s="178"/>
      <c r="C864" s="180"/>
      <c r="D864" s="178"/>
    </row>
    <row r="865" spans="1:4" x14ac:dyDescent="0.35">
      <c r="A865" s="178"/>
      <c r="B865" s="178"/>
      <c r="C865" s="180"/>
      <c r="D865" s="178"/>
    </row>
    <row r="866" spans="1:4" x14ac:dyDescent="0.35">
      <c r="A866" s="178"/>
      <c r="B866" s="178"/>
      <c r="C866" s="180"/>
      <c r="D866" s="178"/>
    </row>
    <row r="867" spans="1:4" x14ac:dyDescent="0.35">
      <c r="A867" s="178"/>
      <c r="B867" s="178"/>
      <c r="C867" s="180"/>
      <c r="D867" s="178"/>
    </row>
    <row r="868" spans="1:4" x14ac:dyDescent="0.35">
      <c r="A868" s="178"/>
      <c r="B868" s="178"/>
      <c r="C868" s="180"/>
      <c r="D868" s="178"/>
    </row>
    <row r="869" spans="1:4" x14ac:dyDescent="0.35">
      <c r="A869" s="178"/>
      <c r="B869" s="178"/>
      <c r="C869" s="180"/>
      <c r="D869" s="178"/>
    </row>
    <row r="870" spans="1:4" x14ac:dyDescent="0.35">
      <c r="A870" s="178"/>
      <c r="B870" s="178"/>
      <c r="C870" s="180"/>
      <c r="D870" s="178"/>
    </row>
    <row r="871" spans="1:4" x14ac:dyDescent="0.35">
      <c r="A871" s="178"/>
      <c r="B871" s="178"/>
      <c r="C871" s="180"/>
      <c r="D871" s="178"/>
    </row>
    <row r="872" spans="1:4" x14ac:dyDescent="0.35">
      <c r="A872" s="178"/>
      <c r="B872" s="178"/>
      <c r="C872" s="180"/>
      <c r="D872" s="178"/>
    </row>
    <row r="873" spans="1:4" x14ac:dyDescent="0.35">
      <c r="A873" s="178"/>
      <c r="B873" s="178"/>
      <c r="C873" s="180"/>
      <c r="D873" s="178"/>
    </row>
    <row r="874" spans="1:4" x14ac:dyDescent="0.35">
      <c r="A874" s="178"/>
      <c r="B874" s="178"/>
      <c r="C874" s="180"/>
      <c r="D874" s="178"/>
    </row>
    <row r="875" spans="1:4" x14ac:dyDescent="0.35">
      <c r="A875" s="178"/>
      <c r="B875" s="178"/>
      <c r="C875" s="180"/>
      <c r="D875" s="178"/>
    </row>
    <row r="876" spans="1:4" x14ac:dyDescent="0.35">
      <c r="A876" s="178"/>
      <c r="B876" s="178"/>
      <c r="C876" s="180"/>
      <c r="D876" s="178"/>
    </row>
    <row r="877" spans="1:4" x14ac:dyDescent="0.35">
      <c r="A877" s="178"/>
      <c r="B877" s="178"/>
      <c r="C877" s="180"/>
      <c r="D877" s="178"/>
    </row>
    <row r="878" spans="1:4" x14ac:dyDescent="0.35">
      <c r="A878" s="178"/>
      <c r="B878" s="178"/>
      <c r="C878" s="180"/>
      <c r="D878" s="178"/>
    </row>
    <row r="879" spans="1:4" x14ac:dyDescent="0.35">
      <c r="A879" s="178"/>
      <c r="B879" s="178"/>
      <c r="C879" s="180"/>
      <c r="D879" s="178"/>
    </row>
    <row r="880" spans="1:4" x14ac:dyDescent="0.35">
      <c r="A880" s="178"/>
      <c r="B880" s="178"/>
      <c r="C880" s="180"/>
      <c r="D880" s="178"/>
    </row>
    <row r="881" spans="1:4" x14ac:dyDescent="0.35">
      <c r="A881" s="178"/>
      <c r="B881" s="178"/>
      <c r="C881" s="180"/>
      <c r="D881" s="178"/>
    </row>
    <row r="882" spans="1:4" x14ac:dyDescent="0.35">
      <c r="A882" s="178"/>
      <c r="B882" s="178"/>
      <c r="C882" s="180"/>
      <c r="D882" s="178"/>
    </row>
    <row r="883" spans="1:4" x14ac:dyDescent="0.35">
      <c r="A883" s="178"/>
      <c r="B883" s="178"/>
      <c r="C883" s="180"/>
      <c r="D883" s="178"/>
    </row>
    <row r="884" spans="1:4" x14ac:dyDescent="0.35">
      <c r="A884" s="178"/>
      <c r="B884" s="178"/>
      <c r="C884" s="180"/>
      <c r="D884" s="178"/>
    </row>
    <row r="885" spans="1:4" x14ac:dyDescent="0.35">
      <c r="A885" s="178"/>
      <c r="B885" s="178"/>
      <c r="C885" s="180"/>
      <c r="D885" s="178"/>
    </row>
    <row r="886" spans="1:4" x14ac:dyDescent="0.35">
      <c r="A886" s="178"/>
      <c r="B886" s="178"/>
      <c r="C886" s="180"/>
      <c r="D886" s="178"/>
    </row>
    <row r="887" spans="1:4" x14ac:dyDescent="0.35">
      <c r="A887" s="178"/>
      <c r="B887" s="178"/>
      <c r="C887" s="180"/>
      <c r="D887" s="178"/>
    </row>
    <row r="888" spans="1:4" x14ac:dyDescent="0.35">
      <c r="A888" s="178"/>
      <c r="B888" s="178"/>
      <c r="C888" s="180"/>
      <c r="D888" s="178"/>
    </row>
    <row r="889" spans="1:4" x14ac:dyDescent="0.35">
      <c r="A889" s="178"/>
      <c r="B889" s="178"/>
      <c r="C889" s="180"/>
      <c r="D889" s="178"/>
    </row>
    <row r="890" spans="1:4" x14ac:dyDescent="0.35">
      <c r="A890" s="178"/>
      <c r="B890" s="178"/>
      <c r="C890" s="180"/>
      <c r="D890" s="178"/>
    </row>
    <row r="891" spans="1:4" x14ac:dyDescent="0.35">
      <c r="A891" s="178"/>
      <c r="B891" s="178"/>
      <c r="C891" s="180"/>
      <c r="D891" s="178"/>
    </row>
    <row r="892" spans="1:4" x14ac:dyDescent="0.35">
      <c r="A892" s="178"/>
      <c r="B892" s="178"/>
      <c r="C892" s="180"/>
      <c r="D892" s="178"/>
    </row>
    <row r="893" spans="1:4" x14ac:dyDescent="0.35">
      <c r="A893" s="178"/>
      <c r="B893" s="178"/>
      <c r="C893" s="180"/>
      <c r="D893" s="178"/>
    </row>
    <row r="894" spans="1:4" x14ac:dyDescent="0.35">
      <c r="A894" s="178"/>
      <c r="B894" s="178"/>
      <c r="C894" s="180"/>
      <c r="D894" s="178"/>
    </row>
    <row r="895" spans="1:4" x14ac:dyDescent="0.35">
      <c r="A895" s="178"/>
      <c r="B895" s="178"/>
      <c r="C895" s="180"/>
      <c r="D895" s="178"/>
    </row>
    <row r="896" spans="1:4" x14ac:dyDescent="0.35">
      <c r="A896" s="178"/>
      <c r="B896" s="178"/>
      <c r="C896" s="180"/>
      <c r="D896" s="178"/>
    </row>
    <row r="897" spans="1:4" x14ac:dyDescent="0.35">
      <c r="A897" s="178"/>
      <c r="B897" s="178"/>
      <c r="C897" s="180"/>
      <c r="D897" s="178"/>
    </row>
    <row r="898" spans="1:4" x14ac:dyDescent="0.35">
      <c r="A898" s="178"/>
      <c r="B898" s="178"/>
      <c r="C898" s="180"/>
      <c r="D898" s="178"/>
    </row>
    <row r="899" spans="1:4" x14ac:dyDescent="0.35">
      <c r="A899" s="178"/>
      <c r="B899" s="178"/>
      <c r="C899" s="180"/>
      <c r="D899" s="178"/>
    </row>
    <row r="900" spans="1:4" x14ac:dyDescent="0.35">
      <c r="A900" s="178"/>
      <c r="B900" s="178"/>
      <c r="C900" s="180"/>
      <c r="D900" s="178"/>
    </row>
    <row r="901" spans="1:4" x14ac:dyDescent="0.35">
      <c r="A901" s="178"/>
      <c r="B901" s="178"/>
      <c r="C901" s="180"/>
      <c r="D901" s="178"/>
    </row>
    <row r="902" spans="1:4" x14ac:dyDescent="0.35">
      <c r="A902" s="178"/>
      <c r="B902" s="178"/>
      <c r="C902" s="180"/>
      <c r="D902" s="178"/>
    </row>
    <row r="903" spans="1:4" x14ac:dyDescent="0.35">
      <c r="A903" s="178"/>
      <c r="B903" s="178"/>
      <c r="C903" s="180"/>
      <c r="D903" s="178"/>
    </row>
    <row r="904" spans="1:4" x14ac:dyDescent="0.35">
      <c r="A904" s="178"/>
      <c r="B904" s="178"/>
      <c r="C904" s="180"/>
      <c r="D904" s="178"/>
    </row>
    <row r="905" spans="1:4" x14ac:dyDescent="0.35">
      <c r="A905" s="178"/>
      <c r="B905" s="178"/>
      <c r="C905" s="180"/>
      <c r="D905" s="178"/>
    </row>
    <row r="906" spans="1:4" x14ac:dyDescent="0.35">
      <c r="A906" s="178"/>
      <c r="B906" s="178"/>
      <c r="C906" s="180"/>
      <c r="D906" s="178"/>
    </row>
    <row r="907" spans="1:4" x14ac:dyDescent="0.35">
      <c r="A907" s="178"/>
      <c r="B907" s="178"/>
      <c r="C907" s="180"/>
      <c r="D907" s="178"/>
    </row>
    <row r="908" spans="1:4" x14ac:dyDescent="0.35">
      <c r="A908" s="178"/>
      <c r="B908" s="178"/>
      <c r="C908" s="180"/>
      <c r="D908" s="178"/>
    </row>
    <row r="909" spans="1:4" x14ac:dyDescent="0.35">
      <c r="A909" s="178"/>
      <c r="B909" s="178"/>
      <c r="C909" s="180"/>
      <c r="D909" s="178"/>
    </row>
    <row r="910" spans="1:4" x14ac:dyDescent="0.35">
      <c r="A910" s="178"/>
      <c r="B910" s="178"/>
      <c r="C910" s="180"/>
      <c r="D910" s="178"/>
    </row>
    <row r="911" spans="1:4" x14ac:dyDescent="0.35">
      <c r="A911" s="178"/>
      <c r="B911" s="178"/>
      <c r="C911" s="180"/>
      <c r="D911" s="178"/>
    </row>
    <row r="912" spans="1:4" x14ac:dyDescent="0.35">
      <c r="A912" s="178"/>
      <c r="B912" s="178"/>
      <c r="C912" s="180"/>
      <c r="D912" s="178"/>
    </row>
    <row r="913" spans="1:4" x14ac:dyDescent="0.35">
      <c r="A913" s="178"/>
      <c r="B913" s="178"/>
      <c r="C913" s="180"/>
      <c r="D913" s="178"/>
    </row>
    <row r="914" spans="1:4" x14ac:dyDescent="0.35">
      <c r="A914" s="178"/>
      <c r="B914" s="178"/>
      <c r="C914" s="180"/>
      <c r="D914" s="178"/>
    </row>
    <row r="915" spans="1:4" x14ac:dyDescent="0.35">
      <c r="A915" s="178"/>
      <c r="B915" s="178"/>
      <c r="C915" s="180"/>
      <c r="D915" s="178"/>
    </row>
    <row r="916" spans="1:4" x14ac:dyDescent="0.35">
      <c r="A916" s="178"/>
      <c r="B916" s="178"/>
      <c r="C916" s="180"/>
      <c r="D916" s="178"/>
    </row>
    <row r="917" spans="1:4" x14ac:dyDescent="0.35">
      <c r="A917" s="178"/>
      <c r="B917" s="178"/>
      <c r="C917" s="180"/>
      <c r="D917" s="178"/>
    </row>
    <row r="918" spans="1:4" x14ac:dyDescent="0.35">
      <c r="A918" s="178"/>
      <c r="B918" s="178"/>
      <c r="C918" s="180"/>
      <c r="D918" s="178"/>
    </row>
    <row r="919" spans="1:4" x14ac:dyDescent="0.35">
      <c r="A919" s="178"/>
      <c r="B919" s="178"/>
      <c r="C919" s="180"/>
      <c r="D919" s="178"/>
    </row>
    <row r="920" spans="1:4" x14ac:dyDescent="0.35">
      <c r="A920" s="178"/>
      <c r="B920" s="178"/>
      <c r="C920" s="180"/>
      <c r="D920" s="178"/>
    </row>
    <row r="921" spans="1:4" x14ac:dyDescent="0.35">
      <c r="A921" s="178"/>
      <c r="B921" s="178"/>
      <c r="C921" s="180"/>
      <c r="D921" s="178"/>
    </row>
    <row r="922" spans="1:4" x14ac:dyDescent="0.35">
      <c r="A922" s="178"/>
      <c r="B922" s="178"/>
      <c r="C922" s="180"/>
      <c r="D922" s="178"/>
    </row>
    <row r="923" spans="1:4" x14ac:dyDescent="0.35">
      <c r="A923" s="178"/>
      <c r="B923" s="178"/>
      <c r="C923" s="180"/>
      <c r="D923" s="178"/>
    </row>
    <row r="924" spans="1:4" x14ac:dyDescent="0.35">
      <c r="A924" s="178"/>
      <c r="B924" s="178"/>
      <c r="C924" s="180"/>
      <c r="D924" s="178"/>
    </row>
    <row r="925" spans="1:4" x14ac:dyDescent="0.35">
      <c r="A925" s="178"/>
      <c r="B925" s="178"/>
      <c r="C925" s="180"/>
      <c r="D925" s="178"/>
    </row>
    <row r="926" spans="1:4" x14ac:dyDescent="0.35">
      <c r="A926" s="178"/>
      <c r="B926" s="178"/>
      <c r="C926" s="180"/>
      <c r="D926" s="178"/>
    </row>
    <row r="927" spans="1:4" x14ac:dyDescent="0.35">
      <c r="A927" s="178"/>
      <c r="B927" s="178"/>
      <c r="C927" s="180"/>
      <c r="D927" s="178"/>
    </row>
    <row r="928" spans="1:4" x14ac:dyDescent="0.35">
      <c r="A928" s="178"/>
      <c r="B928" s="178"/>
      <c r="C928" s="180"/>
      <c r="D928" s="178"/>
    </row>
    <row r="929" spans="1:4" x14ac:dyDescent="0.35">
      <c r="A929" s="178"/>
      <c r="B929" s="178"/>
      <c r="C929" s="180"/>
      <c r="D929" s="178"/>
    </row>
    <row r="930" spans="1:4" x14ac:dyDescent="0.35">
      <c r="A930" s="178"/>
      <c r="B930" s="178"/>
      <c r="C930" s="180"/>
      <c r="D930" s="178"/>
    </row>
    <row r="931" spans="1:4" x14ac:dyDescent="0.35">
      <c r="A931" s="178"/>
      <c r="B931" s="178"/>
      <c r="C931" s="180"/>
      <c r="D931" s="178"/>
    </row>
    <row r="932" spans="1:4" x14ac:dyDescent="0.35">
      <c r="A932" s="178"/>
      <c r="B932" s="178"/>
      <c r="C932" s="180"/>
      <c r="D932" s="178"/>
    </row>
    <row r="933" spans="1:4" x14ac:dyDescent="0.35">
      <c r="A933" s="178"/>
      <c r="B933" s="178"/>
      <c r="C933" s="180"/>
      <c r="D933" s="178"/>
    </row>
    <row r="934" spans="1:4" x14ac:dyDescent="0.35">
      <c r="A934" s="178"/>
      <c r="B934" s="178"/>
      <c r="C934" s="180"/>
      <c r="D934" s="178"/>
    </row>
    <row r="935" spans="1:4" x14ac:dyDescent="0.35">
      <c r="A935" s="178"/>
      <c r="B935" s="178"/>
      <c r="C935" s="180"/>
      <c r="D935" s="178"/>
    </row>
    <row r="936" spans="1:4" x14ac:dyDescent="0.35">
      <c r="A936" s="178"/>
      <c r="B936" s="178"/>
      <c r="C936" s="180"/>
      <c r="D936" s="178"/>
    </row>
    <row r="937" spans="1:4" x14ac:dyDescent="0.35">
      <c r="A937" s="178"/>
      <c r="B937" s="178"/>
      <c r="C937" s="180"/>
      <c r="D937" s="178"/>
    </row>
    <row r="938" spans="1:4" x14ac:dyDescent="0.35">
      <c r="A938" s="178"/>
      <c r="B938" s="178"/>
      <c r="C938" s="180"/>
      <c r="D938" s="178"/>
    </row>
    <row r="939" spans="1:4" x14ac:dyDescent="0.35">
      <c r="A939" s="178"/>
      <c r="B939" s="178"/>
      <c r="C939" s="180"/>
      <c r="D939" s="178"/>
    </row>
    <row r="940" spans="1:4" x14ac:dyDescent="0.35">
      <c r="A940" s="178"/>
      <c r="B940" s="178"/>
      <c r="C940" s="180"/>
      <c r="D940" s="178"/>
    </row>
    <row r="941" spans="1:4" x14ac:dyDescent="0.35">
      <c r="A941" s="178"/>
      <c r="B941" s="178"/>
      <c r="C941" s="180"/>
      <c r="D941" s="178"/>
    </row>
    <row r="942" spans="1:4" x14ac:dyDescent="0.35">
      <c r="A942" s="178"/>
      <c r="B942" s="178"/>
      <c r="C942" s="180"/>
      <c r="D942" s="178"/>
    </row>
    <row r="943" spans="1:4" x14ac:dyDescent="0.35">
      <c r="A943" s="178"/>
      <c r="B943" s="178"/>
      <c r="C943" s="180"/>
      <c r="D943" s="178"/>
    </row>
    <row r="944" spans="1:4" x14ac:dyDescent="0.35">
      <c r="A944" s="178"/>
      <c r="B944" s="178"/>
      <c r="C944" s="180"/>
      <c r="D944" s="178"/>
    </row>
    <row r="945" spans="1:6" x14ac:dyDescent="0.35">
      <c r="A945" s="178"/>
      <c r="B945" s="178"/>
      <c r="C945" s="180"/>
      <c r="D945" s="178"/>
    </row>
    <row r="946" spans="1:6" x14ac:dyDescent="0.35">
      <c r="A946" s="178"/>
      <c r="B946" s="178"/>
      <c r="C946" s="180"/>
      <c r="D946" s="178"/>
    </row>
    <row r="947" spans="1:6" x14ac:dyDescent="0.35">
      <c r="A947" s="178"/>
      <c r="B947" s="178"/>
      <c r="C947" s="180"/>
      <c r="D947" s="178"/>
    </row>
    <row r="948" spans="1:6" x14ac:dyDescent="0.35">
      <c r="A948" s="178"/>
      <c r="B948" s="178"/>
      <c r="C948" s="180"/>
      <c r="D948" s="178"/>
    </row>
    <row r="949" spans="1:6" x14ac:dyDescent="0.35">
      <c r="A949" s="178"/>
      <c r="B949" s="178"/>
      <c r="C949" s="180"/>
      <c r="D949" s="178"/>
    </row>
    <row r="950" spans="1:6" x14ac:dyDescent="0.35">
      <c r="A950" s="178"/>
      <c r="B950" s="178"/>
      <c r="C950" s="180"/>
      <c r="D950" s="178"/>
    </row>
    <row r="951" spans="1:6" x14ac:dyDescent="0.35">
      <c r="A951" s="178"/>
      <c r="B951" s="178"/>
      <c r="C951" s="180"/>
      <c r="D951" s="178"/>
    </row>
    <row r="952" spans="1:6" x14ac:dyDescent="0.35">
      <c r="A952" s="178"/>
      <c r="B952" s="178"/>
      <c r="C952" s="180"/>
      <c r="D952" s="178"/>
    </row>
    <row r="953" spans="1:6" x14ac:dyDescent="0.35">
      <c r="A953" s="178"/>
      <c r="B953" s="178"/>
      <c r="C953" s="180"/>
      <c r="D953" s="178"/>
    </row>
    <row r="954" spans="1:6" x14ac:dyDescent="0.35">
      <c r="A954" s="178"/>
      <c r="B954" s="178"/>
      <c r="C954" s="180"/>
      <c r="D954" s="178"/>
    </row>
    <row r="955" spans="1:6" x14ac:dyDescent="0.35">
      <c r="A955" s="178"/>
      <c r="B955" s="178"/>
      <c r="C955" s="180"/>
      <c r="D955" s="178"/>
    </row>
    <row r="956" spans="1:6" x14ac:dyDescent="0.35">
      <c r="A956" s="178"/>
      <c r="B956" s="178"/>
      <c r="C956" s="180"/>
      <c r="D956" s="178"/>
    </row>
    <row r="957" spans="1:6" x14ac:dyDescent="0.35">
      <c r="A957" s="178"/>
      <c r="B957" s="178"/>
      <c r="C957" s="180"/>
      <c r="D957" s="178"/>
    </row>
    <row r="958" spans="1:6" x14ac:dyDescent="0.35">
      <c r="A958" s="178"/>
      <c r="B958" s="178"/>
      <c r="C958" s="180"/>
      <c r="D958" s="178"/>
      <c r="E958" s="178"/>
      <c r="F958" s="178"/>
    </row>
    <row r="959" spans="1:6" x14ac:dyDescent="0.35">
      <c r="A959" s="178"/>
      <c r="B959" s="178"/>
      <c r="C959" s="180"/>
      <c r="D959" s="178"/>
    </row>
    <row r="960" spans="1:6" x14ac:dyDescent="0.35">
      <c r="A960" s="178"/>
      <c r="B960" s="178"/>
      <c r="C960" s="180"/>
      <c r="D960" s="178"/>
    </row>
    <row r="961" spans="1:4" x14ac:dyDescent="0.35">
      <c r="A961" s="178"/>
      <c r="B961" s="178"/>
      <c r="C961" s="180"/>
      <c r="D961" s="178"/>
    </row>
    <row r="962" spans="1:4" x14ac:dyDescent="0.35">
      <c r="A962" s="178"/>
      <c r="B962" s="178"/>
      <c r="C962" s="180"/>
      <c r="D962" s="178"/>
    </row>
    <row r="963" spans="1:4" x14ac:dyDescent="0.35">
      <c r="A963" s="178"/>
      <c r="B963" s="178"/>
      <c r="C963" s="180"/>
      <c r="D963" s="178"/>
    </row>
    <row r="964" spans="1:4" x14ac:dyDescent="0.35">
      <c r="A964" s="178"/>
      <c r="B964" s="178"/>
      <c r="C964" s="180"/>
      <c r="D964" s="178"/>
    </row>
    <row r="965" spans="1:4" x14ac:dyDescent="0.35">
      <c r="A965" s="178"/>
      <c r="B965" s="178"/>
      <c r="C965" s="180"/>
      <c r="D965" s="178"/>
    </row>
    <row r="966" spans="1:4" x14ac:dyDescent="0.35">
      <c r="A966" s="178"/>
      <c r="B966" s="178"/>
      <c r="C966" s="180"/>
      <c r="D966" s="178"/>
    </row>
    <row r="967" spans="1:4" x14ac:dyDescent="0.35">
      <c r="A967" s="178"/>
      <c r="B967" s="178"/>
      <c r="C967" s="180"/>
      <c r="D967" s="178"/>
    </row>
    <row r="968" spans="1:4" x14ac:dyDescent="0.35">
      <c r="A968" s="178"/>
      <c r="B968" s="178"/>
      <c r="C968" s="180"/>
      <c r="D968" s="178"/>
    </row>
    <row r="969" spans="1:4" x14ac:dyDescent="0.35">
      <c r="A969" s="178"/>
      <c r="B969" s="178"/>
      <c r="C969" s="180"/>
      <c r="D969" s="178"/>
    </row>
    <row r="970" spans="1:4" x14ac:dyDescent="0.35">
      <c r="A970" s="178"/>
      <c r="B970" s="178"/>
      <c r="C970" s="180"/>
      <c r="D970" s="178"/>
    </row>
    <row r="971" spans="1:4" x14ac:dyDescent="0.35">
      <c r="A971" s="178"/>
      <c r="B971" s="178"/>
      <c r="C971" s="180"/>
      <c r="D971" s="178"/>
    </row>
    <row r="972" spans="1:4" x14ac:dyDescent="0.35">
      <c r="A972" s="178"/>
      <c r="B972" s="178"/>
      <c r="C972" s="180"/>
      <c r="D972" s="178"/>
    </row>
    <row r="973" spans="1:4" x14ac:dyDescent="0.35">
      <c r="A973" s="178"/>
      <c r="B973" s="178"/>
      <c r="C973" s="180"/>
      <c r="D973" s="178"/>
    </row>
    <row r="974" spans="1:4" x14ac:dyDescent="0.35">
      <c r="A974" s="178"/>
      <c r="B974" s="178"/>
      <c r="C974" s="180"/>
      <c r="D974" s="178"/>
    </row>
    <row r="975" spans="1:4" x14ac:dyDescent="0.35">
      <c r="A975" s="178"/>
      <c r="B975" s="178"/>
      <c r="C975" s="180"/>
      <c r="D975" s="178"/>
    </row>
    <row r="976" spans="1:4" x14ac:dyDescent="0.35">
      <c r="A976" s="178"/>
      <c r="B976" s="178"/>
      <c r="C976" s="180"/>
      <c r="D976" s="178"/>
    </row>
    <row r="977" spans="1:4" x14ac:dyDescent="0.35">
      <c r="A977" s="178"/>
      <c r="B977" s="178"/>
      <c r="C977" s="180"/>
      <c r="D977" s="178"/>
    </row>
    <row r="978" spans="1:4" x14ac:dyDescent="0.35">
      <c r="A978" s="178"/>
      <c r="B978" s="178"/>
      <c r="C978" s="180"/>
      <c r="D978" s="178"/>
    </row>
    <row r="979" spans="1:4" x14ac:dyDescent="0.35">
      <c r="A979" s="178"/>
      <c r="B979" s="178"/>
      <c r="C979" s="180"/>
      <c r="D979" s="178"/>
    </row>
    <row r="980" spans="1:4" x14ac:dyDescent="0.35">
      <c r="A980" s="178"/>
      <c r="B980" s="178"/>
      <c r="C980" s="180"/>
      <c r="D980" s="178"/>
    </row>
    <row r="981" spans="1:4" x14ac:dyDescent="0.35">
      <c r="A981" s="178"/>
      <c r="B981" s="178"/>
      <c r="C981" s="180"/>
      <c r="D981" s="178"/>
    </row>
    <row r="982" spans="1:4" x14ac:dyDescent="0.35">
      <c r="A982" s="178"/>
      <c r="B982" s="178"/>
      <c r="C982" s="180"/>
      <c r="D982" s="178"/>
    </row>
    <row r="983" spans="1:4" x14ac:dyDescent="0.35">
      <c r="A983" s="178"/>
      <c r="B983" s="178"/>
      <c r="C983" s="180"/>
      <c r="D983" s="178"/>
    </row>
    <row r="984" spans="1:4" x14ac:dyDescent="0.35">
      <c r="A984" s="178"/>
      <c r="B984" s="178"/>
      <c r="C984" s="180"/>
      <c r="D984" s="178"/>
    </row>
    <row r="985" spans="1:4" x14ac:dyDescent="0.35">
      <c r="A985" s="178"/>
      <c r="B985" s="178"/>
      <c r="C985" s="180"/>
      <c r="D985" s="178"/>
    </row>
    <row r="986" spans="1:4" x14ac:dyDescent="0.35">
      <c r="A986" s="178"/>
      <c r="B986" s="178"/>
      <c r="C986" s="180"/>
      <c r="D986" s="178"/>
    </row>
    <row r="987" spans="1:4" x14ac:dyDescent="0.35">
      <c r="A987" s="178"/>
      <c r="B987" s="178"/>
      <c r="C987" s="180"/>
      <c r="D987" s="178"/>
    </row>
    <row r="988" spans="1:4" x14ac:dyDescent="0.35">
      <c r="A988" s="178"/>
      <c r="B988" s="178"/>
      <c r="C988" s="180"/>
      <c r="D988" s="178"/>
    </row>
    <row r="989" spans="1:4" x14ac:dyDescent="0.35">
      <c r="A989" s="178"/>
      <c r="B989" s="178"/>
      <c r="C989" s="180"/>
      <c r="D989" s="178"/>
    </row>
    <row r="990" spans="1:4" x14ac:dyDescent="0.35">
      <c r="A990" s="178"/>
      <c r="B990" s="178"/>
      <c r="C990" s="180"/>
      <c r="D990" s="178"/>
    </row>
    <row r="991" spans="1:4" x14ac:dyDescent="0.35">
      <c r="A991" s="178"/>
      <c r="B991" s="178"/>
      <c r="C991" s="180"/>
      <c r="D991" s="178"/>
    </row>
    <row r="992" spans="1:4" x14ac:dyDescent="0.35">
      <c r="A992" s="178"/>
      <c r="B992" s="178"/>
      <c r="C992" s="180"/>
      <c r="D992" s="178"/>
    </row>
    <row r="993" spans="1:4" x14ac:dyDescent="0.35">
      <c r="A993" s="178"/>
      <c r="B993" s="178"/>
      <c r="C993" s="180"/>
      <c r="D993" s="178"/>
    </row>
    <row r="994" spans="1:4" x14ac:dyDescent="0.35">
      <c r="A994" s="178"/>
      <c r="B994" s="178"/>
      <c r="C994" s="180"/>
      <c r="D994" s="178"/>
    </row>
    <row r="995" spans="1:4" x14ac:dyDescent="0.35">
      <c r="A995" s="178"/>
      <c r="B995" s="178"/>
      <c r="C995" s="180"/>
      <c r="D995" s="178"/>
    </row>
    <row r="996" spans="1:4" x14ac:dyDescent="0.35">
      <c r="A996" s="178"/>
      <c r="B996" s="178"/>
      <c r="C996" s="180"/>
      <c r="D996" s="178"/>
    </row>
    <row r="997" spans="1:4" x14ac:dyDescent="0.35">
      <c r="A997" s="178"/>
      <c r="B997" s="178"/>
      <c r="C997" s="180"/>
      <c r="D997" s="178"/>
    </row>
    <row r="998" spans="1:4" x14ac:dyDescent="0.35">
      <c r="A998" s="178"/>
      <c r="B998" s="178"/>
      <c r="C998" s="180"/>
      <c r="D998" s="178"/>
    </row>
    <row r="999" spans="1:4" x14ac:dyDescent="0.35">
      <c r="A999" s="178"/>
      <c r="B999" s="178"/>
      <c r="C999" s="180"/>
      <c r="D999" s="178"/>
    </row>
    <row r="1000" spans="1:4" x14ac:dyDescent="0.35">
      <c r="A1000" s="178"/>
      <c r="B1000" s="178"/>
      <c r="C1000" s="180"/>
      <c r="D1000" s="178"/>
    </row>
    <row r="1001" spans="1:4" x14ac:dyDescent="0.35">
      <c r="A1001" s="178"/>
      <c r="B1001" s="178"/>
      <c r="C1001" s="180"/>
      <c r="D1001" s="178"/>
    </row>
    <row r="1002" spans="1:4" x14ac:dyDescent="0.35">
      <c r="A1002" s="178"/>
      <c r="B1002" s="178"/>
      <c r="C1002" s="180"/>
      <c r="D1002" s="178"/>
    </row>
    <row r="1003" spans="1:4" x14ac:dyDescent="0.35">
      <c r="A1003" s="178"/>
      <c r="B1003" s="178"/>
      <c r="C1003" s="180"/>
      <c r="D1003" s="178"/>
    </row>
    <row r="1004" spans="1:4" x14ac:dyDescent="0.35">
      <c r="A1004" s="178"/>
      <c r="B1004" s="178"/>
      <c r="C1004" s="180"/>
      <c r="D1004" s="178"/>
    </row>
    <row r="1005" spans="1:4" x14ac:dyDescent="0.35">
      <c r="A1005" s="178"/>
      <c r="B1005" s="178"/>
      <c r="C1005" s="180"/>
      <c r="D1005" s="178"/>
    </row>
    <row r="1006" spans="1:4" x14ac:dyDescent="0.35">
      <c r="A1006" s="178"/>
      <c r="B1006" s="178"/>
      <c r="C1006" s="180"/>
      <c r="D1006" s="178"/>
    </row>
    <row r="1007" spans="1:4" x14ac:dyDescent="0.35">
      <c r="A1007" s="178"/>
      <c r="B1007" s="178"/>
      <c r="C1007" s="180"/>
      <c r="D1007" s="178"/>
    </row>
    <row r="1008" spans="1:4" x14ac:dyDescent="0.35">
      <c r="A1008" s="178"/>
      <c r="B1008" s="178"/>
      <c r="C1008" s="180"/>
      <c r="D1008" s="178"/>
    </row>
    <row r="1009" spans="1:4" x14ac:dyDescent="0.35">
      <c r="A1009" s="178"/>
      <c r="B1009" s="178"/>
      <c r="C1009" s="180"/>
      <c r="D1009" s="178"/>
    </row>
    <row r="1010" spans="1:4" x14ac:dyDescent="0.35">
      <c r="A1010" s="178"/>
      <c r="B1010" s="178"/>
      <c r="C1010" s="180"/>
      <c r="D1010" s="178"/>
    </row>
    <row r="1011" spans="1:4" x14ac:dyDescent="0.35">
      <c r="A1011" s="178"/>
      <c r="B1011" s="178"/>
      <c r="C1011" s="180"/>
      <c r="D1011" s="178"/>
    </row>
    <row r="1012" spans="1:4" x14ac:dyDescent="0.35">
      <c r="A1012" s="178"/>
      <c r="B1012" s="178"/>
      <c r="C1012" s="180"/>
      <c r="D1012" s="178"/>
    </row>
    <row r="1013" spans="1:4" x14ac:dyDescent="0.35">
      <c r="A1013" s="178"/>
      <c r="B1013" s="178"/>
      <c r="C1013" s="180"/>
      <c r="D1013" s="178"/>
    </row>
    <row r="1014" spans="1:4" x14ac:dyDescent="0.35">
      <c r="A1014" s="178"/>
      <c r="B1014" s="178"/>
      <c r="C1014" s="180"/>
      <c r="D1014" s="178"/>
    </row>
    <row r="1015" spans="1:4" x14ac:dyDescent="0.35">
      <c r="A1015" s="178"/>
      <c r="B1015" s="178"/>
      <c r="C1015" s="180"/>
      <c r="D1015" s="178"/>
    </row>
    <row r="1016" spans="1:4" x14ac:dyDescent="0.35">
      <c r="A1016" s="178"/>
      <c r="B1016" s="178"/>
      <c r="C1016" s="180"/>
      <c r="D1016" s="178"/>
    </row>
    <row r="1017" spans="1:4" x14ac:dyDescent="0.35">
      <c r="A1017" s="178"/>
      <c r="B1017" s="178"/>
      <c r="C1017" s="180"/>
      <c r="D1017" s="178"/>
    </row>
    <row r="1018" spans="1:4" x14ac:dyDescent="0.35">
      <c r="A1018" s="178"/>
      <c r="B1018" s="178"/>
      <c r="C1018" s="180"/>
      <c r="D1018" s="178"/>
    </row>
    <row r="1019" spans="1:4" x14ac:dyDescent="0.35">
      <c r="A1019" s="178"/>
      <c r="B1019" s="178"/>
      <c r="C1019" s="180"/>
      <c r="D1019" s="178"/>
    </row>
    <row r="1020" spans="1:4" x14ac:dyDescent="0.35">
      <c r="A1020" s="178"/>
      <c r="B1020" s="178"/>
      <c r="C1020" s="180"/>
      <c r="D1020" s="178"/>
    </row>
    <row r="1021" spans="1:4" x14ac:dyDescent="0.35">
      <c r="A1021" s="178"/>
      <c r="B1021" s="178"/>
      <c r="C1021" s="180"/>
      <c r="D1021" s="178"/>
    </row>
    <row r="1022" spans="1:4" x14ac:dyDescent="0.35">
      <c r="A1022" s="178"/>
      <c r="B1022" s="178"/>
      <c r="C1022" s="180"/>
      <c r="D1022" s="178"/>
    </row>
    <row r="1023" spans="1:4" x14ac:dyDescent="0.35">
      <c r="A1023" s="178"/>
      <c r="B1023" s="178"/>
      <c r="C1023" s="180"/>
      <c r="D1023" s="178"/>
    </row>
    <row r="1024" spans="1:4" x14ac:dyDescent="0.35">
      <c r="A1024" s="178"/>
      <c r="B1024" s="178"/>
      <c r="C1024" s="180"/>
      <c r="D1024" s="178"/>
    </row>
    <row r="1025" spans="1:4" x14ac:dyDescent="0.35">
      <c r="A1025" s="178"/>
      <c r="B1025" s="178"/>
      <c r="C1025" s="180"/>
      <c r="D1025" s="178"/>
    </row>
    <row r="1026" spans="1:4" x14ac:dyDescent="0.35">
      <c r="A1026" s="178"/>
      <c r="B1026" s="178"/>
      <c r="C1026" s="180"/>
      <c r="D1026" s="178"/>
    </row>
    <row r="1027" spans="1:4" x14ac:dyDescent="0.35">
      <c r="A1027" s="178"/>
      <c r="B1027" s="178"/>
      <c r="C1027" s="180"/>
      <c r="D1027" s="178"/>
    </row>
    <row r="1028" spans="1:4" x14ac:dyDescent="0.35">
      <c r="A1028" s="178"/>
      <c r="B1028" s="178"/>
      <c r="C1028" s="180"/>
      <c r="D1028" s="178"/>
    </row>
    <row r="1029" spans="1:4" x14ac:dyDescent="0.35">
      <c r="A1029" s="178"/>
      <c r="B1029" s="178"/>
      <c r="C1029" s="180"/>
      <c r="D1029" s="178"/>
    </row>
    <row r="1030" spans="1:4" x14ac:dyDescent="0.35">
      <c r="A1030" s="178"/>
      <c r="B1030" s="178"/>
      <c r="C1030" s="180"/>
      <c r="D1030" s="178"/>
    </row>
    <row r="1031" spans="1:4" x14ac:dyDescent="0.35">
      <c r="A1031" s="178"/>
      <c r="B1031" s="178"/>
      <c r="C1031" s="180"/>
      <c r="D1031" s="178"/>
    </row>
    <row r="1032" spans="1:4" x14ac:dyDescent="0.35">
      <c r="A1032" s="178"/>
      <c r="B1032" s="178"/>
      <c r="C1032" s="180"/>
      <c r="D1032" s="178"/>
    </row>
    <row r="1033" spans="1:4" x14ac:dyDescent="0.35">
      <c r="A1033" s="178"/>
      <c r="B1033" s="178"/>
      <c r="C1033" s="180"/>
      <c r="D1033" s="178"/>
    </row>
    <row r="1034" spans="1:4" x14ac:dyDescent="0.35">
      <c r="A1034" s="178"/>
      <c r="B1034" s="178"/>
      <c r="C1034" s="180"/>
      <c r="D1034" s="178"/>
    </row>
    <row r="1035" spans="1:4" x14ac:dyDescent="0.35">
      <c r="A1035" s="178"/>
      <c r="B1035" s="178"/>
      <c r="C1035" s="180"/>
      <c r="D1035" s="178"/>
    </row>
    <row r="1036" spans="1:4" x14ac:dyDescent="0.35">
      <c r="A1036" s="178"/>
      <c r="B1036" s="178"/>
      <c r="C1036" s="180"/>
      <c r="D1036" s="178"/>
    </row>
    <row r="1037" spans="1:4" x14ac:dyDescent="0.35">
      <c r="A1037" s="178"/>
      <c r="B1037" s="178"/>
      <c r="C1037" s="180"/>
      <c r="D1037" s="178"/>
    </row>
    <row r="1038" spans="1:4" x14ac:dyDescent="0.35">
      <c r="A1038" s="178"/>
      <c r="B1038" s="178"/>
      <c r="C1038" s="180"/>
      <c r="D1038" s="178"/>
    </row>
    <row r="1039" spans="1:4" x14ac:dyDescent="0.35">
      <c r="A1039" s="178"/>
      <c r="B1039" s="178"/>
      <c r="C1039" s="180"/>
      <c r="D1039" s="178"/>
    </row>
    <row r="1040" spans="1:4" x14ac:dyDescent="0.35">
      <c r="A1040" s="178"/>
      <c r="B1040" s="178"/>
      <c r="C1040" s="180"/>
      <c r="D1040" s="178"/>
    </row>
    <row r="1041" spans="1:6" x14ac:dyDescent="0.35">
      <c r="A1041" s="178"/>
      <c r="B1041" s="178"/>
      <c r="C1041" s="180"/>
      <c r="D1041" s="178"/>
    </row>
    <row r="1042" spans="1:6" x14ac:dyDescent="0.35">
      <c r="A1042" s="178"/>
      <c r="B1042" s="178"/>
      <c r="C1042" s="180"/>
      <c r="D1042" s="178"/>
    </row>
    <row r="1043" spans="1:6" x14ac:dyDescent="0.35">
      <c r="A1043" s="178"/>
      <c r="B1043" s="178"/>
      <c r="C1043" s="180"/>
      <c r="D1043" s="178"/>
    </row>
    <row r="1044" spans="1:6" x14ac:dyDescent="0.35">
      <c r="A1044" s="178"/>
      <c r="B1044" s="178"/>
      <c r="C1044" s="180"/>
      <c r="D1044" s="178"/>
    </row>
    <row r="1045" spans="1:6" x14ac:dyDescent="0.35">
      <c r="A1045" s="178"/>
      <c r="B1045" s="178"/>
      <c r="C1045" s="180"/>
      <c r="D1045" s="178"/>
      <c r="F1045" s="178"/>
    </row>
    <row r="1046" spans="1:6" x14ac:dyDescent="0.35">
      <c r="A1046" s="178"/>
      <c r="B1046" s="178"/>
      <c r="C1046" s="180"/>
      <c r="D1046" s="178"/>
    </row>
    <row r="1047" spans="1:6" x14ac:dyDescent="0.35">
      <c r="A1047" s="178"/>
      <c r="B1047" s="178"/>
      <c r="C1047" s="180"/>
      <c r="D1047" s="178"/>
    </row>
    <row r="1048" spans="1:6" x14ac:dyDescent="0.35">
      <c r="A1048" s="178"/>
      <c r="B1048" s="178"/>
      <c r="C1048" s="180"/>
      <c r="D1048" s="178"/>
    </row>
    <row r="1049" spans="1:6" x14ac:dyDescent="0.35">
      <c r="A1049" s="178"/>
      <c r="B1049" s="178"/>
      <c r="C1049" s="180"/>
      <c r="D1049" s="178"/>
    </row>
    <row r="1050" spans="1:6" x14ac:dyDescent="0.35">
      <c r="A1050" s="178"/>
      <c r="B1050" s="178"/>
      <c r="C1050" s="180"/>
      <c r="D1050" s="178"/>
    </row>
    <row r="1051" spans="1:6" x14ac:dyDescent="0.35">
      <c r="A1051" s="178"/>
      <c r="B1051" s="178"/>
      <c r="C1051" s="180"/>
      <c r="D1051" s="178"/>
    </row>
    <row r="1052" spans="1:6" x14ac:dyDescent="0.35">
      <c r="A1052" s="178"/>
      <c r="B1052" s="178"/>
      <c r="C1052" s="180"/>
      <c r="D1052" s="178"/>
    </row>
    <row r="1053" spans="1:6" x14ac:dyDescent="0.35">
      <c r="A1053" s="178"/>
      <c r="B1053" s="178"/>
      <c r="C1053" s="180"/>
      <c r="D1053" s="178"/>
    </row>
    <row r="1054" spans="1:6" x14ac:dyDescent="0.35">
      <c r="A1054" s="178"/>
      <c r="B1054" s="178"/>
      <c r="C1054" s="180"/>
      <c r="D1054" s="178"/>
    </row>
    <row r="1055" spans="1:6" x14ac:dyDescent="0.35">
      <c r="A1055" s="178"/>
      <c r="B1055" s="178"/>
      <c r="C1055" s="180"/>
      <c r="D1055" s="178"/>
    </row>
    <row r="1056" spans="1:6" x14ac:dyDescent="0.35">
      <c r="A1056" s="178"/>
      <c r="B1056" s="178"/>
      <c r="C1056" s="180"/>
      <c r="D1056" s="178"/>
    </row>
    <row r="1057" spans="1:4" x14ac:dyDescent="0.35">
      <c r="A1057" s="178"/>
      <c r="B1057" s="178"/>
      <c r="C1057" s="180"/>
      <c r="D1057" s="178"/>
    </row>
    <row r="1058" spans="1:4" x14ac:dyDescent="0.35">
      <c r="A1058" s="178"/>
      <c r="B1058" s="178"/>
      <c r="C1058" s="180"/>
      <c r="D1058" s="178"/>
    </row>
    <row r="1059" spans="1:4" x14ac:dyDescent="0.35">
      <c r="A1059" s="178"/>
      <c r="B1059" s="178"/>
      <c r="C1059" s="180"/>
      <c r="D1059" s="178"/>
    </row>
    <row r="1060" spans="1:4" x14ac:dyDescent="0.35">
      <c r="A1060" s="178"/>
      <c r="B1060" s="178"/>
      <c r="C1060" s="180"/>
      <c r="D1060" s="178"/>
    </row>
    <row r="1061" spans="1:4" x14ac:dyDescent="0.35">
      <c r="A1061" s="178"/>
      <c r="B1061" s="178"/>
      <c r="C1061" s="180"/>
      <c r="D1061" s="178"/>
    </row>
    <row r="1062" spans="1:4" x14ac:dyDescent="0.35">
      <c r="A1062" s="178"/>
      <c r="B1062" s="178"/>
      <c r="C1062" s="180"/>
      <c r="D1062" s="178"/>
    </row>
    <row r="1063" spans="1:4" x14ac:dyDescent="0.35">
      <c r="A1063" s="178"/>
      <c r="B1063" s="178"/>
      <c r="C1063" s="180"/>
      <c r="D1063" s="178"/>
    </row>
    <row r="1064" spans="1:4" x14ac:dyDescent="0.35">
      <c r="A1064" s="178"/>
      <c r="B1064" s="178"/>
      <c r="C1064" s="180"/>
      <c r="D1064" s="178"/>
    </row>
    <row r="1065" spans="1:4" x14ac:dyDescent="0.35">
      <c r="A1065" s="178"/>
      <c r="B1065" s="178"/>
      <c r="C1065" s="180"/>
      <c r="D1065" s="178"/>
    </row>
    <row r="1066" spans="1:4" x14ac:dyDescent="0.35">
      <c r="A1066" s="178"/>
      <c r="B1066" s="178"/>
      <c r="C1066" s="180"/>
      <c r="D1066" s="178"/>
    </row>
    <row r="1067" spans="1:4" x14ac:dyDescent="0.35">
      <c r="A1067" s="178"/>
      <c r="B1067" s="178"/>
      <c r="C1067" s="180"/>
      <c r="D1067" s="178"/>
    </row>
    <row r="1068" spans="1:4" x14ac:dyDescent="0.35">
      <c r="A1068" s="178"/>
      <c r="B1068" s="178"/>
      <c r="C1068" s="180"/>
      <c r="D1068" s="178"/>
    </row>
    <row r="1069" spans="1:4" x14ac:dyDescent="0.35">
      <c r="A1069" s="178"/>
      <c r="B1069" s="178"/>
      <c r="C1069" s="180"/>
      <c r="D1069" s="178"/>
    </row>
    <row r="1070" spans="1:4" x14ac:dyDescent="0.35">
      <c r="A1070" s="178"/>
      <c r="B1070" s="178"/>
      <c r="C1070" s="180"/>
      <c r="D1070" s="178"/>
    </row>
    <row r="1071" spans="1:4" x14ac:dyDescent="0.35">
      <c r="A1071" s="178"/>
      <c r="B1071" s="178"/>
      <c r="C1071" s="180"/>
      <c r="D1071" s="178"/>
    </row>
    <row r="1072" spans="1:4" x14ac:dyDescent="0.35">
      <c r="A1072" s="178"/>
      <c r="B1072" s="178"/>
      <c r="C1072" s="180"/>
      <c r="D1072" s="178"/>
    </row>
    <row r="1073" spans="1:4" x14ac:dyDescent="0.35">
      <c r="A1073" s="178"/>
      <c r="B1073" s="178"/>
      <c r="C1073" s="180"/>
      <c r="D1073" s="178"/>
    </row>
    <row r="1074" spans="1:4" x14ac:dyDescent="0.35">
      <c r="A1074" s="178"/>
      <c r="B1074" s="178"/>
      <c r="C1074" s="180"/>
      <c r="D1074" s="178"/>
    </row>
    <row r="1075" spans="1:4" x14ac:dyDescent="0.35">
      <c r="A1075" s="178"/>
      <c r="B1075" s="178"/>
      <c r="C1075" s="180"/>
      <c r="D1075" s="178"/>
    </row>
    <row r="1076" spans="1:4" x14ac:dyDescent="0.35">
      <c r="A1076" s="178"/>
      <c r="B1076" s="178"/>
      <c r="C1076" s="180"/>
      <c r="D1076" s="178"/>
    </row>
    <row r="1077" spans="1:4" x14ac:dyDescent="0.35">
      <c r="A1077" s="178"/>
      <c r="B1077" s="178"/>
      <c r="C1077" s="180"/>
      <c r="D1077" s="178"/>
    </row>
    <row r="1078" spans="1:4" x14ac:dyDescent="0.35">
      <c r="A1078" s="178"/>
      <c r="B1078" s="178"/>
      <c r="C1078" s="180"/>
      <c r="D1078" s="178"/>
    </row>
    <row r="1079" spans="1:4" x14ac:dyDescent="0.35">
      <c r="A1079" s="178"/>
      <c r="B1079" s="178"/>
      <c r="C1079" s="180"/>
      <c r="D1079" s="178"/>
    </row>
    <row r="1080" spans="1:4" x14ac:dyDescent="0.35">
      <c r="A1080" s="178"/>
      <c r="B1080" s="178"/>
      <c r="C1080" s="180"/>
      <c r="D1080" s="178"/>
    </row>
    <row r="1081" spans="1:4" x14ac:dyDescent="0.35">
      <c r="A1081" s="178"/>
      <c r="B1081" s="178"/>
      <c r="C1081" s="180"/>
      <c r="D1081" s="178"/>
    </row>
    <row r="1082" spans="1:4" x14ac:dyDescent="0.35">
      <c r="A1082" s="178"/>
      <c r="B1082" s="178"/>
      <c r="C1082" s="180"/>
      <c r="D1082" s="178"/>
    </row>
    <row r="1083" spans="1:4" x14ac:dyDescent="0.35">
      <c r="A1083" s="178"/>
      <c r="B1083" s="178"/>
      <c r="C1083" s="180"/>
      <c r="D1083" s="178"/>
    </row>
    <row r="1084" spans="1:4" x14ac:dyDescent="0.35">
      <c r="A1084" s="178"/>
      <c r="B1084" s="178"/>
      <c r="C1084" s="180"/>
      <c r="D1084" s="178"/>
    </row>
    <row r="1085" spans="1:4" x14ac:dyDescent="0.35">
      <c r="A1085" s="178"/>
      <c r="B1085" s="178"/>
      <c r="C1085" s="180"/>
      <c r="D1085" s="178"/>
    </row>
    <row r="1086" spans="1:4" x14ac:dyDescent="0.35">
      <c r="A1086" s="178"/>
      <c r="B1086" s="178"/>
      <c r="C1086" s="180"/>
      <c r="D1086" s="178"/>
    </row>
    <row r="1087" spans="1:4" x14ac:dyDescent="0.35">
      <c r="A1087" s="178"/>
      <c r="B1087" s="178"/>
      <c r="C1087" s="180"/>
      <c r="D1087" s="178"/>
    </row>
    <row r="1088" spans="1:4" x14ac:dyDescent="0.35">
      <c r="A1088" s="178"/>
      <c r="B1088" s="178"/>
      <c r="C1088" s="180"/>
      <c r="D1088" s="178"/>
    </row>
    <row r="1089" spans="1:4" x14ac:dyDescent="0.35">
      <c r="A1089" s="178"/>
      <c r="B1089" s="178"/>
      <c r="C1089" s="180"/>
      <c r="D1089" s="178"/>
    </row>
    <row r="1090" spans="1:4" x14ac:dyDescent="0.35">
      <c r="A1090" s="178"/>
      <c r="B1090" s="178"/>
      <c r="C1090" s="180"/>
      <c r="D1090" s="178"/>
    </row>
    <row r="1091" spans="1:4" x14ac:dyDescent="0.35">
      <c r="A1091" s="178"/>
      <c r="B1091" s="178"/>
      <c r="C1091" s="180"/>
      <c r="D1091" s="178"/>
    </row>
    <row r="1092" spans="1:4" x14ac:dyDescent="0.35">
      <c r="A1092" s="178"/>
      <c r="B1092" s="178"/>
      <c r="C1092" s="180"/>
      <c r="D1092" s="178"/>
    </row>
    <row r="1093" spans="1:4" x14ac:dyDescent="0.35">
      <c r="A1093" s="178"/>
      <c r="B1093" s="178"/>
      <c r="C1093" s="180"/>
      <c r="D1093" s="178"/>
    </row>
    <row r="1094" spans="1:4" x14ac:dyDescent="0.35">
      <c r="A1094" s="178"/>
      <c r="B1094" s="178"/>
      <c r="C1094" s="180"/>
      <c r="D1094" s="178"/>
    </row>
    <row r="1095" spans="1:4" x14ac:dyDescent="0.35">
      <c r="A1095" s="178"/>
      <c r="B1095" s="178"/>
      <c r="C1095" s="180"/>
      <c r="D1095" s="178"/>
    </row>
    <row r="1096" spans="1:4" x14ac:dyDescent="0.35">
      <c r="A1096" s="178"/>
      <c r="B1096" s="178"/>
      <c r="C1096" s="180"/>
      <c r="D1096" s="178"/>
    </row>
    <row r="1097" spans="1:4" x14ac:dyDescent="0.35">
      <c r="A1097" s="178"/>
      <c r="B1097" s="178"/>
      <c r="C1097" s="180"/>
      <c r="D1097" s="178"/>
    </row>
    <row r="1098" spans="1:4" x14ac:dyDescent="0.35">
      <c r="A1098" s="178"/>
      <c r="B1098" s="178"/>
      <c r="C1098" s="180"/>
      <c r="D1098" s="178"/>
    </row>
    <row r="1099" spans="1:4" x14ac:dyDescent="0.35">
      <c r="A1099" s="178"/>
      <c r="B1099" s="178"/>
      <c r="C1099" s="180"/>
      <c r="D1099" s="178"/>
    </row>
    <row r="1100" spans="1:4" x14ac:dyDescent="0.35">
      <c r="A1100" s="178"/>
      <c r="B1100" s="178"/>
      <c r="C1100" s="180"/>
      <c r="D1100" s="178"/>
    </row>
    <row r="1101" spans="1:4" x14ac:dyDescent="0.35">
      <c r="A1101" s="178"/>
      <c r="B1101" s="178"/>
      <c r="C1101" s="180"/>
      <c r="D1101" s="178"/>
    </row>
    <row r="1102" spans="1:4" x14ac:dyDescent="0.35">
      <c r="A1102" s="178"/>
      <c r="B1102" s="178"/>
      <c r="C1102" s="180"/>
      <c r="D1102" s="178"/>
    </row>
    <row r="1103" spans="1:4" x14ac:dyDescent="0.35">
      <c r="A1103" s="178"/>
      <c r="B1103" s="178"/>
      <c r="C1103" s="180"/>
      <c r="D1103" s="178"/>
    </row>
    <row r="1104" spans="1:4" x14ac:dyDescent="0.35">
      <c r="A1104" s="178"/>
      <c r="B1104" s="178"/>
      <c r="C1104" s="180"/>
      <c r="D1104" s="178"/>
    </row>
    <row r="1105" spans="1:4" x14ac:dyDescent="0.35">
      <c r="A1105" s="178"/>
      <c r="B1105" s="178"/>
      <c r="C1105" s="180"/>
      <c r="D1105" s="178"/>
    </row>
    <row r="1106" spans="1:4" x14ac:dyDescent="0.35">
      <c r="A1106" s="178"/>
      <c r="B1106" s="178"/>
      <c r="C1106" s="180"/>
      <c r="D1106" s="178"/>
    </row>
    <row r="1107" spans="1:4" x14ac:dyDescent="0.35">
      <c r="A1107" s="178"/>
      <c r="B1107" s="178"/>
      <c r="C1107" s="180"/>
      <c r="D1107" s="178"/>
    </row>
    <row r="1108" spans="1:4" x14ac:dyDescent="0.35">
      <c r="A1108" s="178"/>
      <c r="B1108" s="178"/>
      <c r="C1108" s="180"/>
      <c r="D1108" s="178"/>
    </row>
    <row r="1109" spans="1:4" x14ac:dyDescent="0.35">
      <c r="A1109" s="178"/>
      <c r="B1109" s="178"/>
      <c r="C1109" s="180"/>
      <c r="D1109" s="178"/>
    </row>
    <row r="1110" spans="1:4" x14ac:dyDescent="0.35">
      <c r="A1110" s="178"/>
      <c r="B1110" s="178"/>
      <c r="C1110" s="180"/>
      <c r="D1110" s="178"/>
    </row>
    <row r="1111" spans="1:4" x14ac:dyDescent="0.35">
      <c r="A1111" s="178"/>
      <c r="B1111" s="178"/>
      <c r="C1111" s="180"/>
      <c r="D1111" s="178"/>
    </row>
    <row r="1112" spans="1:4" x14ac:dyDescent="0.35">
      <c r="A1112" s="178"/>
      <c r="B1112" s="178"/>
      <c r="C1112" s="180"/>
      <c r="D1112" s="178"/>
    </row>
    <row r="1113" spans="1:4" x14ac:dyDescent="0.35">
      <c r="A1113" s="178"/>
      <c r="B1113" s="178"/>
      <c r="C1113" s="180"/>
      <c r="D1113" s="178"/>
    </row>
    <row r="1114" spans="1:4" x14ac:dyDescent="0.35">
      <c r="A1114" s="178"/>
      <c r="B1114" s="178"/>
      <c r="C1114" s="180"/>
      <c r="D1114" s="178"/>
    </row>
    <row r="1115" spans="1:4" x14ac:dyDescent="0.35">
      <c r="A1115" s="178"/>
      <c r="B1115" s="178"/>
      <c r="C1115" s="180"/>
      <c r="D1115" s="178"/>
    </row>
    <row r="1116" spans="1:4" x14ac:dyDescent="0.35">
      <c r="A1116" s="178"/>
      <c r="B1116" s="178"/>
      <c r="C1116" s="180"/>
      <c r="D1116" s="178"/>
    </row>
    <row r="1117" spans="1:4" x14ac:dyDescent="0.35">
      <c r="A1117" s="178"/>
      <c r="B1117" s="178"/>
      <c r="C1117" s="180"/>
      <c r="D1117" s="178"/>
    </row>
    <row r="1118" spans="1:4" x14ac:dyDescent="0.35">
      <c r="A1118" s="178"/>
      <c r="B1118" s="178"/>
      <c r="C1118" s="180"/>
      <c r="D1118" s="178"/>
    </row>
    <row r="1119" spans="1:4" x14ac:dyDescent="0.35">
      <c r="A1119" s="178"/>
      <c r="B1119" s="178"/>
      <c r="C1119" s="180"/>
      <c r="D1119" s="178"/>
    </row>
    <row r="1120" spans="1:4" x14ac:dyDescent="0.35">
      <c r="A1120" s="178"/>
      <c r="B1120" s="178"/>
      <c r="C1120" s="180"/>
      <c r="D1120" s="178"/>
    </row>
    <row r="1121" spans="1:4" x14ac:dyDescent="0.35">
      <c r="A1121" s="178"/>
      <c r="B1121" s="178"/>
      <c r="C1121" s="180"/>
      <c r="D1121" s="178"/>
    </row>
    <row r="1122" spans="1:4" x14ac:dyDescent="0.35">
      <c r="A1122" s="178"/>
      <c r="B1122" s="178"/>
      <c r="C1122" s="180"/>
      <c r="D1122" s="178"/>
    </row>
    <row r="1123" spans="1:4" x14ac:dyDescent="0.35">
      <c r="A1123" s="178"/>
      <c r="B1123" s="178"/>
      <c r="C1123" s="180"/>
      <c r="D1123" s="178"/>
    </row>
    <row r="1124" spans="1:4" x14ac:dyDescent="0.35">
      <c r="A1124" s="178"/>
      <c r="B1124" s="178"/>
      <c r="C1124" s="180"/>
      <c r="D1124" s="178"/>
    </row>
    <row r="1125" spans="1:4" x14ac:dyDescent="0.35">
      <c r="A1125" s="178"/>
      <c r="B1125" s="178"/>
      <c r="C1125" s="180"/>
      <c r="D1125" s="178"/>
    </row>
    <row r="1126" spans="1:4" x14ac:dyDescent="0.35">
      <c r="A1126" s="178"/>
      <c r="B1126" s="178"/>
      <c r="C1126" s="180"/>
      <c r="D1126" s="178"/>
    </row>
    <row r="1127" spans="1:4" x14ac:dyDescent="0.35">
      <c r="A1127" s="178"/>
      <c r="B1127" s="178"/>
      <c r="C1127" s="180"/>
      <c r="D1127" s="178"/>
    </row>
    <row r="1128" spans="1:4" x14ac:dyDescent="0.35">
      <c r="A1128" s="178"/>
      <c r="B1128" s="178"/>
      <c r="C1128" s="180"/>
      <c r="D1128" s="178"/>
    </row>
    <row r="1129" spans="1:4" x14ac:dyDescent="0.35">
      <c r="A1129" s="178"/>
      <c r="B1129" s="178"/>
      <c r="C1129" s="180"/>
      <c r="D1129" s="178"/>
    </row>
    <row r="1130" spans="1:4" x14ac:dyDescent="0.35">
      <c r="A1130" s="178"/>
      <c r="B1130" s="178"/>
      <c r="C1130" s="180"/>
      <c r="D1130" s="178"/>
    </row>
    <row r="1131" spans="1:4" x14ac:dyDescent="0.35">
      <c r="A1131" s="178"/>
      <c r="B1131" s="178"/>
      <c r="C1131" s="180"/>
      <c r="D1131" s="178"/>
    </row>
    <row r="1132" spans="1:4" x14ac:dyDescent="0.35">
      <c r="A1132" s="178"/>
      <c r="B1132" s="178"/>
      <c r="C1132" s="180"/>
      <c r="D1132" s="178"/>
    </row>
    <row r="1133" spans="1:4" x14ac:dyDescent="0.35">
      <c r="A1133" s="178"/>
      <c r="B1133" s="178"/>
      <c r="C1133" s="180"/>
      <c r="D1133" s="178"/>
    </row>
    <row r="1134" spans="1:4" x14ac:dyDescent="0.35">
      <c r="A1134" s="178"/>
      <c r="B1134" s="178"/>
      <c r="C1134" s="180"/>
      <c r="D1134" s="178"/>
    </row>
    <row r="1135" spans="1:4" x14ac:dyDescent="0.35">
      <c r="A1135" s="178"/>
      <c r="B1135" s="178"/>
      <c r="C1135" s="180"/>
      <c r="D1135" s="178"/>
    </row>
    <row r="1136" spans="1:4" x14ac:dyDescent="0.35">
      <c r="A1136" s="178"/>
      <c r="B1136" s="178"/>
      <c r="C1136" s="180"/>
      <c r="D1136" s="178"/>
    </row>
    <row r="1137" spans="1:4" x14ac:dyDescent="0.35">
      <c r="A1137" s="178"/>
      <c r="B1137" s="178"/>
      <c r="C1137" s="180"/>
      <c r="D1137" s="178"/>
    </row>
    <row r="1138" spans="1:4" x14ac:dyDescent="0.35">
      <c r="A1138" s="178"/>
      <c r="B1138" s="178"/>
      <c r="C1138" s="180"/>
      <c r="D1138" s="178"/>
    </row>
    <row r="1139" spans="1:4" x14ac:dyDescent="0.35">
      <c r="A1139" s="178"/>
      <c r="B1139" s="178"/>
      <c r="C1139" s="180"/>
      <c r="D1139" s="178"/>
    </row>
    <row r="1140" spans="1:4" x14ac:dyDescent="0.35">
      <c r="A1140" s="178"/>
      <c r="B1140" s="178"/>
      <c r="C1140" s="180"/>
      <c r="D1140" s="178"/>
    </row>
    <row r="1141" spans="1:4" x14ac:dyDescent="0.35">
      <c r="A1141" s="178"/>
      <c r="B1141" s="178"/>
      <c r="C1141" s="180"/>
      <c r="D1141" s="178"/>
    </row>
    <row r="1142" spans="1:4" x14ac:dyDescent="0.35">
      <c r="A1142" s="178"/>
      <c r="B1142" s="178"/>
      <c r="C1142" s="180"/>
      <c r="D1142" s="178"/>
    </row>
    <row r="1143" spans="1:4" x14ac:dyDescent="0.35">
      <c r="A1143" s="178"/>
      <c r="B1143" s="178"/>
      <c r="C1143" s="180"/>
      <c r="D1143" s="178"/>
    </row>
    <row r="1144" spans="1:4" x14ac:dyDescent="0.35">
      <c r="A1144" s="178"/>
      <c r="B1144" s="178"/>
      <c r="C1144" s="180"/>
      <c r="D1144" s="178"/>
    </row>
    <row r="1145" spans="1:4" x14ac:dyDescent="0.35">
      <c r="A1145" s="178"/>
      <c r="B1145" s="178"/>
      <c r="C1145" s="180"/>
      <c r="D1145" s="178"/>
    </row>
    <row r="1146" spans="1:4" x14ac:dyDescent="0.35">
      <c r="A1146" s="178"/>
      <c r="B1146" s="178"/>
      <c r="C1146" s="180"/>
      <c r="D1146" s="178"/>
    </row>
    <row r="1147" spans="1:4" x14ac:dyDescent="0.35">
      <c r="A1147" s="178"/>
      <c r="B1147" s="178"/>
      <c r="C1147" s="180"/>
      <c r="D1147" s="178"/>
    </row>
    <row r="1148" spans="1:4" x14ac:dyDescent="0.35">
      <c r="A1148" s="178"/>
      <c r="B1148" s="178"/>
      <c r="C1148" s="180"/>
      <c r="D1148" s="178"/>
    </row>
    <row r="1149" spans="1:4" x14ac:dyDescent="0.35">
      <c r="A1149" s="178"/>
      <c r="B1149" s="178"/>
      <c r="C1149" s="180"/>
      <c r="D1149" s="178"/>
    </row>
    <row r="1150" spans="1:4" x14ac:dyDescent="0.35">
      <c r="A1150" s="178"/>
      <c r="B1150" s="178"/>
      <c r="C1150" s="180"/>
      <c r="D1150" s="178"/>
    </row>
    <row r="1151" spans="1:4" x14ac:dyDescent="0.35">
      <c r="A1151" s="178"/>
      <c r="B1151" s="178"/>
      <c r="C1151" s="180"/>
      <c r="D1151" s="178"/>
    </row>
    <row r="1152" spans="1:4" x14ac:dyDescent="0.35">
      <c r="A1152" s="178"/>
      <c r="B1152" s="178"/>
      <c r="C1152" s="180"/>
      <c r="D1152" s="178"/>
    </row>
    <row r="1153" spans="1:6" x14ac:dyDescent="0.35">
      <c r="A1153" s="178"/>
      <c r="B1153" s="178"/>
      <c r="C1153" s="180"/>
      <c r="D1153" s="178"/>
    </row>
    <row r="1154" spans="1:6" x14ac:dyDescent="0.35">
      <c r="A1154" s="178"/>
      <c r="B1154" s="178"/>
      <c r="C1154" s="180"/>
      <c r="D1154" s="178"/>
    </row>
    <row r="1155" spans="1:6" x14ac:dyDescent="0.35">
      <c r="A1155" s="178"/>
      <c r="B1155" s="178"/>
      <c r="C1155" s="180"/>
      <c r="D1155" s="178"/>
      <c r="F1155" s="178"/>
    </row>
    <row r="1156" spans="1:6" x14ac:dyDescent="0.35">
      <c r="A1156" s="178"/>
      <c r="B1156" s="178"/>
      <c r="C1156" s="180"/>
      <c r="D1156" s="178"/>
    </row>
    <row r="1157" spans="1:6" x14ac:dyDescent="0.35">
      <c r="A1157" s="178"/>
      <c r="B1157" s="178"/>
      <c r="C1157" s="180"/>
      <c r="D1157" s="178"/>
    </row>
    <row r="1158" spans="1:6" x14ac:dyDescent="0.35">
      <c r="A1158" s="178"/>
      <c r="B1158" s="178"/>
      <c r="C1158" s="180"/>
      <c r="D1158" s="178"/>
    </row>
    <row r="1159" spans="1:6" x14ac:dyDescent="0.35">
      <c r="A1159" s="178"/>
      <c r="B1159" s="178"/>
      <c r="C1159" s="180"/>
      <c r="D1159" s="178"/>
    </row>
    <row r="1160" spans="1:6" x14ac:dyDescent="0.35">
      <c r="A1160" s="178"/>
      <c r="B1160" s="178"/>
      <c r="C1160" s="180"/>
      <c r="D1160" s="178"/>
    </row>
    <row r="1161" spans="1:6" x14ac:dyDescent="0.35">
      <c r="A1161" s="178"/>
    </row>
  </sheetData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1855"/>
  <sheetViews>
    <sheetView topLeftCell="A112" workbookViewId="0">
      <selection activeCell="E5" sqref="E5:E123"/>
    </sheetView>
  </sheetViews>
  <sheetFormatPr defaultColWidth="18.26953125" defaultRowHeight="14.5" x14ac:dyDescent="0.35"/>
  <cols>
    <col min="1" max="1" width="20.81640625" customWidth="1"/>
    <col min="2" max="2" width="21.54296875" bestFit="1" customWidth="1"/>
    <col min="3" max="3" width="11" bestFit="1" customWidth="1"/>
    <col min="4" max="4" width="29.1796875" bestFit="1" customWidth="1"/>
    <col min="5" max="5" width="11.453125" style="126" bestFit="1" customWidth="1"/>
    <col min="6" max="6" width="9" bestFit="1" customWidth="1"/>
    <col min="7" max="7" width="10" bestFit="1" customWidth="1"/>
  </cols>
  <sheetData>
    <row r="1" spans="1:7" x14ac:dyDescent="0.35">
      <c r="A1" s="178" t="s">
        <v>56</v>
      </c>
      <c r="E1"/>
    </row>
    <row r="2" spans="1:7" x14ac:dyDescent="0.35">
      <c r="A2" s="178" t="s">
        <v>307</v>
      </c>
      <c r="E2"/>
    </row>
    <row r="3" spans="1:7" x14ac:dyDescent="0.35">
      <c r="A3" s="178" t="s">
        <v>57</v>
      </c>
      <c r="E3"/>
    </row>
    <row r="4" spans="1:7" x14ac:dyDescent="0.35">
      <c r="A4" s="178" t="s">
        <v>308</v>
      </c>
      <c r="B4" s="178" t="s">
        <v>309</v>
      </c>
      <c r="C4" s="178" t="s">
        <v>310</v>
      </c>
      <c r="D4" s="178" t="s">
        <v>311</v>
      </c>
      <c r="E4" s="178" t="s">
        <v>312</v>
      </c>
      <c r="F4" s="178" t="s">
        <v>313</v>
      </c>
      <c r="G4" s="178" t="s">
        <v>314</v>
      </c>
    </row>
    <row r="5" spans="1:7" x14ac:dyDescent="0.35">
      <c r="A5" s="178" t="s">
        <v>315</v>
      </c>
      <c r="B5" s="178" t="s">
        <v>316</v>
      </c>
      <c r="C5" s="178" t="s">
        <v>317</v>
      </c>
      <c r="D5" s="178" t="s">
        <v>318</v>
      </c>
      <c r="E5">
        <v>-1530</v>
      </c>
      <c r="F5">
        <v>-229.5</v>
      </c>
      <c r="G5">
        <v>-1759.5</v>
      </c>
    </row>
    <row r="6" spans="1:7" x14ac:dyDescent="0.35">
      <c r="A6" s="178" t="s">
        <v>319</v>
      </c>
      <c r="B6" s="178" t="s">
        <v>320</v>
      </c>
      <c r="C6" s="178" t="s">
        <v>321</v>
      </c>
      <c r="D6" s="178" t="s">
        <v>322</v>
      </c>
      <c r="E6">
        <v>-33427.199999999997</v>
      </c>
      <c r="F6">
        <v>-5014.08</v>
      </c>
      <c r="G6">
        <v>-38441.279999999999</v>
      </c>
    </row>
    <row r="7" spans="1:7" x14ac:dyDescent="0.35">
      <c r="A7" s="178" t="s">
        <v>323</v>
      </c>
      <c r="B7" s="178" t="s">
        <v>324</v>
      </c>
      <c r="C7" s="178" t="s">
        <v>321</v>
      </c>
      <c r="D7" s="178" t="s">
        <v>325</v>
      </c>
      <c r="E7">
        <v>-635.85</v>
      </c>
      <c r="F7">
        <v>-95.38</v>
      </c>
      <c r="G7">
        <v>-731.23</v>
      </c>
    </row>
    <row r="8" spans="1:7" x14ac:dyDescent="0.35">
      <c r="A8" s="178" t="s">
        <v>326</v>
      </c>
      <c r="B8" s="178" t="s">
        <v>327</v>
      </c>
      <c r="C8" s="178" t="s">
        <v>321</v>
      </c>
      <c r="D8" s="178" t="s">
        <v>328</v>
      </c>
      <c r="E8">
        <v>-9911</v>
      </c>
      <c r="F8">
        <v>-1486.65</v>
      </c>
      <c r="G8">
        <v>-11397.65</v>
      </c>
    </row>
    <row r="9" spans="1:7" x14ac:dyDescent="0.35">
      <c r="A9" s="178" t="s">
        <v>329</v>
      </c>
      <c r="B9" s="178" t="s">
        <v>330</v>
      </c>
      <c r="C9" s="178" t="s">
        <v>321</v>
      </c>
      <c r="D9" s="178" t="s">
        <v>331</v>
      </c>
      <c r="E9">
        <v>-5472.3</v>
      </c>
      <c r="F9">
        <v>-820.85</v>
      </c>
      <c r="G9">
        <v>-6293.15</v>
      </c>
    </row>
    <row r="10" spans="1:7" x14ac:dyDescent="0.35">
      <c r="A10" s="178" t="s">
        <v>332</v>
      </c>
      <c r="B10" s="178" t="s">
        <v>333</v>
      </c>
      <c r="C10" s="178" t="s">
        <v>321</v>
      </c>
      <c r="D10" s="178" t="s">
        <v>334</v>
      </c>
      <c r="E10">
        <v>-4185</v>
      </c>
      <c r="F10">
        <v>-627.75</v>
      </c>
      <c r="G10">
        <v>-4812.75</v>
      </c>
    </row>
    <row r="11" spans="1:7" x14ac:dyDescent="0.35">
      <c r="A11" s="178" t="s">
        <v>335</v>
      </c>
      <c r="B11" s="178" t="s">
        <v>336</v>
      </c>
      <c r="C11" s="178" t="s">
        <v>321</v>
      </c>
      <c r="D11" s="178" t="s">
        <v>337</v>
      </c>
      <c r="E11">
        <v>-5222.6499999999996</v>
      </c>
      <c r="F11">
        <v>-783.4</v>
      </c>
      <c r="G11">
        <v>-6006.05</v>
      </c>
    </row>
    <row r="12" spans="1:7" x14ac:dyDescent="0.35">
      <c r="A12" s="178" t="s">
        <v>338</v>
      </c>
      <c r="B12" s="178" t="s">
        <v>339</v>
      </c>
      <c r="C12" s="178" t="s">
        <v>321</v>
      </c>
      <c r="D12" s="178" t="s">
        <v>340</v>
      </c>
      <c r="E12" s="178" t="s">
        <v>57</v>
      </c>
      <c r="F12" s="178" t="s">
        <v>57</v>
      </c>
    </row>
    <row r="13" spans="1:7" x14ac:dyDescent="0.35">
      <c r="A13" s="178" t="s">
        <v>341</v>
      </c>
      <c r="B13" s="178" t="s">
        <v>342</v>
      </c>
      <c r="C13" s="178" t="s">
        <v>321</v>
      </c>
      <c r="D13" s="178" t="s">
        <v>343</v>
      </c>
      <c r="E13">
        <v>-1169.5999999999999</v>
      </c>
      <c r="F13">
        <v>-175.44</v>
      </c>
      <c r="G13">
        <v>-1345.04</v>
      </c>
    </row>
    <row r="14" spans="1:7" x14ac:dyDescent="0.35">
      <c r="A14" s="178" t="s">
        <v>344</v>
      </c>
      <c r="B14" s="178" t="s">
        <v>345</v>
      </c>
      <c r="C14" s="178" t="s">
        <v>321</v>
      </c>
      <c r="D14" s="178" t="s">
        <v>346</v>
      </c>
      <c r="E14">
        <v>-2722.05</v>
      </c>
      <c r="F14">
        <v>-408.31</v>
      </c>
      <c r="G14">
        <v>-3130.36</v>
      </c>
    </row>
    <row r="15" spans="1:7" x14ac:dyDescent="0.35">
      <c r="A15" s="178" t="s">
        <v>347</v>
      </c>
      <c r="B15" s="178" t="s">
        <v>348</v>
      </c>
      <c r="C15" s="178" t="s">
        <v>321</v>
      </c>
      <c r="D15" s="178" t="s">
        <v>349</v>
      </c>
      <c r="E15">
        <v>-819</v>
      </c>
      <c r="F15">
        <v>-122.85</v>
      </c>
      <c r="G15">
        <v>-941.85</v>
      </c>
    </row>
    <row r="16" spans="1:7" x14ac:dyDescent="0.35">
      <c r="A16" s="178" t="s">
        <v>350</v>
      </c>
      <c r="B16" s="178" t="s">
        <v>351</v>
      </c>
      <c r="C16" s="178" t="s">
        <v>321</v>
      </c>
      <c r="D16" s="178" t="s">
        <v>352</v>
      </c>
      <c r="E16">
        <v>-1740</v>
      </c>
      <c r="F16">
        <v>-261.01</v>
      </c>
      <c r="G16">
        <v>-2001.01</v>
      </c>
    </row>
    <row r="17" spans="1:7" x14ac:dyDescent="0.35">
      <c r="A17" s="178" t="s">
        <v>353</v>
      </c>
      <c r="B17" s="178" t="s">
        <v>354</v>
      </c>
      <c r="C17" s="178" t="s">
        <v>355</v>
      </c>
      <c r="D17" s="178" t="s">
        <v>356</v>
      </c>
      <c r="E17">
        <v>-1283.8499999999999</v>
      </c>
      <c r="F17">
        <v>-192.58</v>
      </c>
      <c r="G17">
        <v>-1476.43</v>
      </c>
    </row>
    <row r="18" spans="1:7" x14ac:dyDescent="0.35">
      <c r="A18" s="178" t="s">
        <v>357</v>
      </c>
      <c r="B18" s="178" t="s">
        <v>358</v>
      </c>
      <c r="C18" s="178" t="s">
        <v>355</v>
      </c>
      <c r="D18" s="178" t="s">
        <v>359</v>
      </c>
      <c r="E18">
        <v>-5514.4</v>
      </c>
      <c r="F18">
        <v>-827.16</v>
      </c>
      <c r="G18">
        <v>-6341.56</v>
      </c>
    </row>
    <row r="19" spans="1:7" x14ac:dyDescent="0.35">
      <c r="A19" s="178" t="s">
        <v>360</v>
      </c>
      <c r="B19" s="178" t="s">
        <v>361</v>
      </c>
      <c r="C19" s="178" t="s">
        <v>355</v>
      </c>
      <c r="D19" s="178" t="s">
        <v>362</v>
      </c>
      <c r="E19">
        <v>-3302</v>
      </c>
      <c r="F19">
        <v>-495.3</v>
      </c>
      <c r="G19">
        <v>-3797.3</v>
      </c>
    </row>
    <row r="20" spans="1:7" x14ac:dyDescent="0.35">
      <c r="A20" s="178" t="s">
        <v>363</v>
      </c>
      <c r="B20" s="178" t="s">
        <v>364</v>
      </c>
      <c r="C20" s="178" t="s">
        <v>355</v>
      </c>
      <c r="D20" s="178" t="s">
        <v>365</v>
      </c>
      <c r="E20">
        <v>-6038.5</v>
      </c>
      <c r="F20">
        <v>-905.78</v>
      </c>
      <c r="G20">
        <v>-6944.28</v>
      </c>
    </row>
    <row r="21" spans="1:7" x14ac:dyDescent="0.35">
      <c r="A21" s="178" t="s">
        <v>366</v>
      </c>
      <c r="B21" s="178" t="s">
        <v>367</v>
      </c>
      <c r="C21" s="178" t="s">
        <v>355</v>
      </c>
      <c r="D21" s="178" t="s">
        <v>368</v>
      </c>
      <c r="E21">
        <v>-1401.75</v>
      </c>
      <c r="F21">
        <v>-210.26</v>
      </c>
      <c r="G21">
        <v>-1612.01</v>
      </c>
    </row>
    <row r="22" spans="1:7" x14ac:dyDescent="0.35">
      <c r="A22" s="178" t="s">
        <v>369</v>
      </c>
      <c r="B22" s="178" t="s">
        <v>370</v>
      </c>
      <c r="C22" s="178" t="s">
        <v>355</v>
      </c>
      <c r="D22" s="178" t="s">
        <v>371</v>
      </c>
      <c r="E22">
        <v>-1664.95</v>
      </c>
      <c r="F22">
        <v>-249.74</v>
      </c>
      <c r="G22">
        <v>-1914.69</v>
      </c>
    </row>
    <row r="23" spans="1:7" x14ac:dyDescent="0.35">
      <c r="A23" s="178" t="s">
        <v>372</v>
      </c>
      <c r="B23" s="178" t="s">
        <v>373</v>
      </c>
      <c r="C23" s="178" t="s">
        <v>355</v>
      </c>
      <c r="D23" s="178" t="s">
        <v>362</v>
      </c>
      <c r="E23">
        <v>-3291.3</v>
      </c>
      <c r="F23">
        <v>-493.69</v>
      </c>
      <c r="G23">
        <v>-3784.99</v>
      </c>
    </row>
    <row r="24" spans="1:7" x14ac:dyDescent="0.35">
      <c r="A24" s="178" t="s">
        <v>374</v>
      </c>
      <c r="B24" s="178" t="s">
        <v>375</v>
      </c>
      <c r="C24" s="178" t="s">
        <v>355</v>
      </c>
      <c r="D24" s="178" t="s">
        <v>376</v>
      </c>
      <c r="E24">
        <v>-3318.9</v>
      </c>
      <c r="F24">
        <v>-497.84</v>
      </c>
      <c r="G24">
        <v>-3816.74</v>
      </c>
    </row>
    <row r="25" spans="1:7" x14ac:dyDescent="0.35">
      <c r="A25" s="178" t="s">
        <v>377</v>
      </c>
      <c r="B25" s="178" t="s">
        <v>378</v>
      </c>
      <c r="C25" s="178" t="s">
        <v>379</v>
      </c>
      <c r="D25" s="178" t="s">
        <v>362</v>
      </c>
      <c r="E25">
        <v>-5067.8500000000004</v>
      </c>
      <c r="F25">
        <v>-760.18</v>
      </c>
      <c r="G25">
        <v>-5828.03</v>
      </c>
    </row>
    <row r="26" spans="1:7" x14ac:dyDescent="0.35">
      <c r="A26" s="178" t="s">
        <v>380</v>
      </c>
      <c r="B26" s="178" t="s">
        <v>381</v>
      </c>
      <c r="C26" s="178" t="s">
        <v>379</v>
      </c>
      <c r="D26" s="178" t="s">
        <v>382</v>
      </c>
      <c r="E26">
        <v>-678.9</v>
      </c>
      <c r="F26">
        <v>-101.84</v>
      </c>
      <c r="G26">
        <v>-780.74</v>
      </c>
    </row>
    <row r="27" spans="1:7" x14ac:dyDescent="0.35">
      <c r="A27" s="178" t="s">
        <v>383</v>
      </c>
      <c r="B27" s="178" t="s">
        <v>384</v>
      </c>
      <c r="C27" s="178" t="s">
        <v>379</v>
      </c>
      <c r="D27" s="178" t="s">
        <v>382</v>
      </c>
      <c r="E27">
        <v>-1485.8</v>
      </c>
      <c r="F27">
        <v>-222.87</v>
      </c>
      <c r="G27">
        <v>-1708.67</v>
      </c>
    </row>
    <row r="28" spans="1:7" x14ac:dyDescent="0.35">
      <c r="A28" s="178" t="s">
        <v>357</v>
      </c>
      <c r="B28" s="178" t="s">
        <v>385</v>
      </c>
      <c r="C28" s="178" t="s">
        <v>386</v>
      </c>
      <c r="D28" s="178" t="s">
        <v>387</v>
      </c>
      <c r="E28">
        <v>-8190.6</v>
      </c>
      <c r="F28">
        <v>-1228.5899999999999</v>
      </c>
      <c r="G28">
        <v>-9419.19</v>
      </c>
    </row>
    <row r="29" spans="1:7" x14ac:dyDescent="0.35">
      <c r="A29" s="178" t="s">
        <v>388</v>
      </c>
      <c r="B29" s="178" t="s">
        <v>389</v>
      </c>
      <c r="C29" s="178" t="s">
        <v>386</v>
      </c>
      <c r="D29" s="178" t="s">
        <v>390</v>
      </c>
      <c r="E29">
        <v>-2334.35</v>
      </c>
      <c r="F29">
        <v>-350.15</v>
      </c>
      <c r="G29">
        <v>-2684.5</v>
      </c>
    </row>
    <row r="30" spans="1:7" x14ac:dyDescent="0.35">
      <c r="A30" s="178" t="s">
        <v>391</v>
      </c>
      <c r="B30" s="178" t="s">
        <v>392</v>
      </c>
      <c r="C30" s="178" t="s">
        <v>386</v>
      </c>
      <c r="D30" s="178" t="s">
        <v>393</v>
      </c>
      <c r="E30">
        <v>-8081</v>
      </c>
      <c r="F30">
        <v>-1212.1500000000001</v>
      </c>
      <c r="G30">
        <v>-9293.15</v>
      </c>
    </row>
    <row r="31" spans="1:7" x14ac:dyDescent="0.35">
      <c r="A31" s="178" t="s">
        <v>394</v>
      </c>
      <c r="B31" s="178" t="s">
        <v>395</v>
      </c>
      <c r="C31" s="178" t="s">
        <v>386</v>
      </c>
      <c r="D31" s="178" t="s">
        <v>396</v>
      </c>
      <c r="E31">
        <v>-1713.25</v>
      </c>
      <c r="F31">
        <v>-256.99</v>
      </c>
      <c r="G31">
        <v>-1970.24</v>
      </c>
    </row>
    <row r="32" spans="1:7" x14ac:dyDescent="0.35">
      <c r="A32" s="178" t="s">
        <v>397</v>
      </c>
      <c r="B32" s="178" t="s">
        <v>398</v>
      </c>
      <c r="C32" s="178" t="s">
        <v>386</v>
      </c>
      <c r="D32" s="178" t="s">
        <v>399</v>
      </c>
      <c r="E32">
        <v>-5801.25</v>
      </c>
      <c r="F32">
        <v>-870.19</v>
      </c>
      <c r="G32">
        <v>-6671.44</v>
      </c>
    </row>
    <row r="33" spans="1:7" x14ac:dyDescent="0.35">
      <c r="A33" s="178" t="s">
        <v>400</v>
      </c>
      <c r="B33" s="178" t="s">
        <v>401</v>
      </c>
      <c r="C33" s="178" t="s">
        <v>386</v>
      </c>
      <c r="D33" s="178" t="s">
        <v>402</v>
      </c>
      <c r="E33">
        <v>-2401.65</v>
      </c>
      <c r="F33">
        <v>-360.25</v>
      </c>
      <c r="G33">
        <v>-2761.9</v>
      </c>
    </row>
    <row r="34" spans="1:7" x14ac:dyDescent="0.35">
      <c r="A34" s="178" t="s">
        <v>403</v>
      </c>
      <c r="B34" s="178" t="s">
        <v>404</v>
      </c>
      <c r="C34" s="178" t="s">
        <v>386</v>
      </c>
      <c r="D34" s="178" t="s">
        <v>405</v>
      </c>
      <c r="E34">
        <v>-2009</v>
      </c>
      <c r="F34">
        <v>-301.35000000000002</v>
      </c>
      <c r="G34">
        <v>-2310.35</v>
      </c>
    </row>
    <row r="35" spans="1:7" x14ac:dyDescent="0.35">
      <c r="A35" s="178" t="s">
        <v>406</v>
      </c>
      <c r="B35" s="178" t="s">
        <v>407</v>
      </c>
      <c r="C35" s="178" t="s">
        <v>386</v>
      </c>
      <c r="D35" s="178" t="s">
        <v>408</v>
      </c>
      <c r="E35">
        <v>-8282.4</v>
      </c>
      <c r="F35">
        <v>-1242.3599999999999</v>
      </c>
      <c r="G35">
        <v>-9524.76</v>
      </c>
    </row>
    <row r="36" spans="1:7" x14ac:dyDescent="0.35">
      <c r="A36" s="178" t="s">
        <v>409</v>
      </c>
      <c r="B36" s="178" t="s">
        <v>410</v>
      </c>
      <c r="C36" s="178" t="s">
        <v>386</v>
      </c>
      <c r="D36" s="178" t="s">
        <v>411</v>
      </c>
      <c r="E36">
        <v>-2754.8</v>
      </c>
      <c r="F36">
        <v>-413.22</v>
      </c>
      <c r="G36">
        <v>-3168.02</v>
      </c>
    </row>
    <row r="37" spans="1:7" x14ac:dyDescent="0.35">
      <c r="A37" s="178" t="s">
        <v>357</v>
      </c>
      <c r="B37" s="178" t="s">
        <v>412</v>
      </c>
      <c r="C37" s="178" t="s">
        <v>386</v>
      </c>
      <c r="D37" s="178" t="s">
        <v>413</v>
      </c>
      <c r="E37">
        <v>-6322.8</v>
      </c>
      <c r="F37">
        <v>-948.42</v>
      </c>
      <c r="G37">
        <v>-7271.22</v>
      </c>
    </row>
    <row r="38" spans="1:7" x14ac:dyDescent="0.35">
      <c r="A38" s="178" t="s">
        <v>414</v>
      </c>
      <c r="B38" s="178" t="s">
        <v>415</v>
      </c>
      <c r="C38" s="178" t="s">
        <v>416</v>
      </c>
      <c r="D38" s="178" t="s">
        <v>362</v>
      </c>
      <c r="E38">
        <v>-32828.449999999997</v>
      </c>
      <c r="F38">
        <v>-4924.2700000000004</v>
      </c>
      <c r="G38">
        <v>-37752.720000000001</v>
      </c>
    </row>
    <row r="39" spans="1:7" x14ac:dyDescent="0.35">
      <c r="A39" s="178" t="s">
        <v>372</v>
      </c>
      <c r="B39" s="178" t="s">
        <v>417</v>
      </c>
      <c r="C39" s="178" t="s">
        <v>416</v>
      </c>
      <c r="D39" s="178" t="s">
        <v>418</v>
      </c>
      <c r="E39">
        <v>-5649.8</v>
      </c>
      <c r="F39">
        <v>-847.47</v>
      </c>
      <c r="G39">
        <v>-6497.27</v>
      </c>
    </row>
    <row r="40" spans="1:7" x14ac:dyDescent="0.35">
      <c r="A40" s="178" t="s">
        <v>419</v>
      </c>
      <c r="B40" s="178" t="s">
        <v>420</v>
      </c>
      <c r="C40" s="178" t="s">
        <v>416</v>
      </c>
      <c r="D40" s="178" t="s">
        <v>421</v>
      </c>
      <c r="E40">
        <v>-687.3</v>
      </c>
      <c r="F40">
        <v>-103.1</v>
      </c>
      <c r="G40">
        <v>-790.4</v>
      </c>
    </row>
    <row r="41" spans="1:7" x14ac:dyDescent="0.35">
      <c r="A41" s="178" t="s">
        <v>422</v>
      </c>
      <c r="B41" s="178" t="s">
        <v>423</v>
      </c>
      <c r="C41" s="178" t="s">
        <v>416</v>
      </c>
      <c r="D41" s="178" t="s">
        <v>424</v>
      </c>
      <c r="E41">
        <v>-1350.5</v>
      </c>
      <c r="F41">
        <v>-202.58</v>
      </c>
      <c r="G41">
        <v>-1553.08</v>
      </c>
    </row>
    <row r="42" spans="1:7" x14ac:dyDescent="0.35">
      <c r="A42" s="178" t="s">
        <v>425</v>
      </c>
      <c r="B42" s="178" t="s">
        <v>426</v>
      </c>
      <c r="C42" s="178" t="s">
        <v>416</v>
      </c>
      <c r="D42" s="178" t="s">
        <v>427</v>
      </c>
      <c r="E42">
        <v>-10422.9</v>
      </c>
      <c r="F42">
        <v>-1563.44</v>
      </c>
      <c r="G42">
        <v>-11986.34</v>
      </c>
    </row>
    <row r="43" spans="1:7" x14ac:dyDescent="0.35">
      <c r="A43" s="178" t="s">
        <v>357</v>
      </c>
      <c r="B43" s="178" t="s">
        <v>428</v>
      </c>
      <c r="C43" s="178" t="s">
        <v>429</v>
      </c>
      <c r="D43" s="178" t="s">
        <v>430</v>
      </c>
      <c r="E43">
        <v>-907.2</v>
      </c>
      <c r="F43">
        <v>-136.08000000000001</v>
      </c>
      <c r="G43">
        <v>-1043.28</v>
      </c>
    </row>
    <row r="44" spans="1:7" x14ac:dyDescent="0.35">
      <c r="A44" s="178" t="s">
        <v>431</v>
      </c>
      <c r="B44" s="178" t="s">
        <v>432</v>
      </c>
      <c r="C44" s="178" t="s">
        <v>433</v>
      </c>
      <c r="D44" s="178" t="s">
        <v>362</v>
      </c>
      <c r="E44">
        <v>-27262.9</v>
      </c>
      <c r="F44">
        <v>-4089.45</v>
      </c>
      <c r="G44">
        <v>-31352.35</v>
      </c>
    </row>
    <row r="45" spans="1:7" x14ac:dyDescent="0.35">
      <c r="A45" s="178" t="s">
        <v>434</v>
      </c>
      <c r="B45" s="178" t="s">
        <v>435</v>
      </c>
      <c r="C45" s="178" t="s">
        <v>433</v>
      </c>
      <c r="D45" s="178" t="s">
        <v>436</v>
      </c>
      <c r="E45">
        <v>-821.3</v>
      </c>
      <c r="F45">
        <v>-123.2</v>
      </c>
      <c r="G45">
        <v>-944.5</v>
      </c>
    </row>
    <row r="46" spans="1:7" x14ac:dyDescent="0.35">
      <c r="A46" s="178" t="s">
        <v>388</v>
      </c>
      <c r="B46" s="178" t="s">
        <v>437</v>
      </c>
      <c r="C46" s="178" t="s">
        <v>433</v>
      </c>
      <c r="D46" s="178" t="s">
        <v>438</v>
      </c>
      <c r="E46">
        <v>-4694.3999999999996</v>
      </c>
      <c r="F46">
        <v>-704.16</v>
      </c>
      <c r="G46">
        <v>-5398.56</v>
      </c>
    </row>
    <row r="47" spans="1:7" x14ac:dyDescent="0.35">
      <c r="A47" s="178" t="s">
        <v>335</v>
      </c>
      <c r="B47" s="178" t="s">
        <v>439</v>
      </c>
      <c r="C47" s="178" t="s">
        <v>440</v>
      </c>
      <c r="D47" s="178" t="s">
        <v>441</v>
      </c>
      <c r="E47">
        <v>-848.4</v>
      </c>
      <c r="F47">
        <v>-127.26</v>
      </c>
      <c r="G47">
        <v>-975.66</v>
      </c>
    </row>
    <row r="48" spans="1:7" x14ac:dyDescent="0.35">
      <c r="A48" s="178" t="s">
        <v>442</v>
      </c>
      <c r="B48" s="178" t="s">
        <v>443</v>
      </c>
      <c r="C48" s="178" t="s">
        <v>440</v>
      </c>
      <c r="D48" s="178" t="s">
        <v>444</v>
      </c>
      <c r="E48">
        <v>-604.35</v>
      </c>
      <c r="F48">
        <v>-90.65</v>
      </c>
      <c r="G48">
        <v>-695</v>
      </c>
    </row>
    <row r="49" spans="1:7" x14ac:dyDescent="0.35">
      <c r="A49" s="178" t="s">
        <v>347</v>
      </c>
      <c r="B49" s="178" t="s">
        <v>445</v>
      </c>
      <c r="C49" s="178" t="s">
        <v>440</v>
      </c>
      <c r="D49" s="178" t="s">
        <v>446</v>
      </c>
      <c r="E49">
        <v>-1015.2</v>
      </c>
      <c r="F49">
        <v>-152.28</v>
      </c>
      <c r="G49">
        <v>-1167.48</v>
      </c>
    </row>
    <row r="50" spans="1:7" x14ac:dyDescent="0.35">
      <c r="A50" s="178" t="s">
        <v>447</v>
      </c>
      <c r="B50" s="178" t="s">
        <v>448</v>
      </c>
      <c r="C50" s="178" t="s">
        <v>449</v>
      </c>
      <c r="D50" s="178" t="s">
        <v>450</v>
      </c>
      <c r="E50">
        <v>-6674.8</v>
      </c>
      <c r="F50">
        <v>-1001.22</v>
      </c>
      <c r="G50">
        <v>-7676.02</v>
      </c>
    </row>
    <row r="51" spans="1:7" x14ac:dyDescent="0.35">
      <c r="A51" s="178" t="s">
        <v>451</v>
      </c>
      <c r="B51" s="178" t="s">
        <v>452</v>
      </c>
      <c r="C51" s="178" t="s">
        <v>449</v>
      </c>
      <c r="D51" s="178" t="s">
        <v>453</v>
      </c>
      <c r="E51">
        <v>-20431.2</v>
      </c>
      <c r="F51">
        <v>-3064.68</v>
      </c>
      <c r="G51">
        <v>-23495.88</v>
      </c>
    </row>
    <row r="52" spans="1:7" x14ac:dyDescent="0.35">
      <c r="A52" s="178" t="s">
        <v>454</v>
      </c>
      <c r="B52" s="178" t="s">
        <v>455</v>
      </c>
      <c r="C52" s="178" t="s">
        <v>449</v>
      </c>
      <c r="D52" s="178" t="s">
        <v>456</v>
      </c>
      <c r="E52">
        <v>-8587.0499999999993</v>
      </c>
      <c r="F52">
        <v>-1288.06</v>
      </c>
      <c r="G52">
        <v>-9875.11</v>
      </c>
    </row>
    <row r="53" spans="1:7" x14ac:dyDescent="0.35">
      <c r="A53" s="178" t="s">
        <v>353</v>
      </c>
      <c r="B53" s="178" t="s">
        <v>457</v>
      </c>
      <c r="C53" s="178" t="s">
        <v>458</v>
      </c>
      <c r="D53" s="178" t="s">
        <v>459</v>
      </c>
      <c r="E53">
        <v>-4166.3999999999996</v>
      </c>
      <c r="F53">
        <v>-624.96</v>
      </c>
      <c r="G53">
        <v>-4791.3599999999997</v>
      </c>
    </row>
    <row r="54" spans="1:7" x14ac:dyDescent="0.35">
      <c r="A54" s="178" t="s">
        <v>397</v>
      </c>
      <c r="B54" s="178" t="s">
        <v>460</v>
      </c>
      <c r="C54" s="178" t="s">
        <v>458</v>
      </c>
      <c r="D54" s="178" t="s">
        <v>461</v>
      </c>
      <c r="E54">
        <v>-11763.75</v>
      </c>
      <c r="F54">
        <v>-1764.57</v>
      </c>
      <c r="G54">
        <v>-13528.32</v>
      </c>
    </row>
    <row r="55" spans="1:7" x14ac:dyDescent="0.35">
      <c r="A55" s="178" t="s">
        <v>344</v>
      </c>
      <c r="B55" s="178" t="s">
        <v>462</v>
      </c>
      <c r="C55" s="178" t="s">
        <v>458</v>
      </c>
      <c r="D55" s="178" t="s">
        <v>463</v>
      </c>
      <c r="E55">
        <v>-5478.6</v>
      </c>
      <c r="F55">
        <v>-821.79</v>
      </c>
      <c r="G55">
        <v>-6300.39</v>
      </c>
    </row>
    <row r="56" spans="1:7" x14ac:dyDescent="0.35">
      <c r="A56" s="178" t="s">
        <v>464</v>
      </c>
      <c r="B56" s="178" t="s">
        <v>465</v>
      </c>
      <c r="C56" s="178" t="s">
        <v>458</v>
      </c>
      <c r="D56" s="178" t="s">
        <v>466</v>
      </c>
      <c r="E56">
        <v>-1055.5999999999999</v>
      </c>
      <c r="F56">
        <v>-158.34</v>
      </c>
      <c r="G56">
        <v>-1213.94</v>
      </c>
    </row>
    <row r="57" spans="1:7" x14ac:dyDescent="0.35">
      <c r="A57" s="178" t="s">
        <v>425</v>
      </c>
      <c r="B57" s="178" t="s">
        <v>467</v>
      </c>
      <c r="C57" s="178" t="s">
        <v>458</v>
      </c>
      <c r="D57" s="178" t="s">
        <v>468</v>
      </c>
      <c r="E57">
        <v>-16192.8</v>
      </c>
      <c r="F57">
        <v>-2428.92</v>
      </c>
      <c r="G57">
        <v>-18621.72</v>
      </c>
    </row>
    <row r="58" spans="1:7" x14ac:dyDescent="0.35">
      <c r="A58" s="178" t="s">
        <v>425</v>
      </c>
      <c r="B58" s="178" t="s">
        <v>469</v>
      </c>
      <c r="C58" s="178" t="s">
        <v>458</v>
      </c>
      <c r="D58" s="178" t="s">
        <v>470</v>
      </c>
      <c r="E58">
        <v>-10126.9</v>
      </c>
      <c r="F58">
        <v>-1519.04</v>
      </c>
      <c r="G58">
        <v>-11645.94</v>
      </c>
    </row>
    <row r="59" spans="1:7" x14ac:dyDescent="0.35">
      <c r="A59" s="178" t="s">
        <v>471</v>
      </c>
      <c r="B59" s="178" t="s">
        <v>472</v>
      </c>
      <c r="C59" s="178" t="s">
        <v>458</v>
      </c>
      <c r="D59" s="178" t="s">
        <v>473</v>
      </c>
      <c r="E59">
        <v>-1423.5</v>
      </c>
      <c r="F59">
        <v>-213.53</v>
      </c>
      <c r="G59">
        <v>-1637.03</v>
      </c>
    </row>
    <row r="60" spans="1:7" x14ac:dyDescent="0.35">
      <c r="A60" s="178" t="s">
        <v>372</v>
      </c>
      <c r="B60" s="178" t="s">
        <v>474</v>
      </c>
      <c r="C60" s="178" t="s">
        <v>475</v>
      </c>
      <c r="D60" s="178" t="s">
        <v>476</v>
      </c>
      <c r="E60">
        <v>-29799.25</v>
      </c>
      <c r="F60">
        <v>-4469.8900000000003</v>
      </c>
      <c r="G60">
        <v>-34269.14</v>
      </c>
    </row>
    <row r="61" spans="1:7" x14ac:dyDescent="0.35">
      <c r="A61" s="178" t="s">
        <v>372</v>
      </c>
      <c r="B61" s="178" t="s">
        <v>477</v>
      </c>
      <c r="C61" s="178" t="s">
        <v>475</v>
      </c>
      <c r="D61" s="178" t="s">
        <v>461</v>
      </c>
      <c r="E61">
        <v>-18640.099999999999</v>
      </c>
      <c r="F61">
        <v>-2796.02</v>
      </c>
      <c r="G61">
        <v>-21436.12</v>
      </c>
    </row>
    <row r="62" spans="1:7" x14ac:dyDescent="0.35">
      <c r="A62" s="178" t="s">
        <v>478</v>
      </c>
      <c r="B62" s="178" t="s">
        <v>479</v>
      </c>
      <c r="C62" s="178" t="s">
        <v>475</v>
      </c>
      <c r="D62" s="178" t="s">
        <v>480</v>
      </c>
      <c r="E62">
        <v>-800</v>
      </c>
      <c r="F62">
        <v>-120</v>
      </c>
      <c r="G62">
        <v>-920</v>
      </c>
    </row>
    <row r="63" spans="1:7" x14ac:dyDescent="0.35">
      <c r="A63" s="178" t="s">
        <v>383</v>
      </c>
      <c r="B63" s="178" t="s">
        <v>481</v>
      </c>
      <c r="C63" s="178" t="s">
        <v>482</v>
      </c>
      <c r="D63" s="178" t="s">
        <v>483</v>
      </c>
      <c r="E63">
        <v>-1485.8</v>
      </c>
      <c r="F63">
        <v>-222.87</v>
      </c>
      <c r="G63">
        <v>-1708.67</v>
      </c>
    </row>
    <row r="64" spans="1:7" x14ac:dyDescent="0.35">
      <c r="A64" s="178" t="s">
        <v>484</v>
      </c>
      <c r="B64" s="178" t="s">
        <v>485</v>
      </c>
      <c r="C64" s="178" t="s">
        <v>482</v>
      </c>
      <c r="D64" s="178" t="s">
        <v>486</v>
      </c>
      <c r="E64">
        <v>-3066.85</v>
      </c>
      <c r="F64">
        <v>-460.03</v>
      </c>
      <c r="G64">
        <v>-3526.88</v>
      </c>
    </row>
    <row r="65" spans="1:7" x14ac:dyDescent="0.35">
      <c r="A65" s="178" t="s">
        <v>487</v>
      </c>
      <c r="B65" s="178" t="s">
        <v>488</v>
      </c>
      <c r="C65" s="178" t="s">
        <v>482</v>
      </c>
      <c r="D65" s="178" t="s">
        <v>489</v>
      </c>
      <c r="E65">
        <v>-1373.85</v>
      </c>
      <c r="F65">
        <v>-206.08</v>
      </c>
      <c r="G65">
        <v>-1579.93</v>
      </c>
    </row>
    <row r="66" spans="1:7" x14ac:dyDescent="0.35">
      <c r="A66" s="178" t="s">
        <v>490</v>
      </c>
      <c r="B66" s="178" t="s">
        <v>491</v>
      </c>
      <c r="C66" s="178" t="s">
        <v>482</v>
      </c>
      <c r="D66" s="178" t="s">
        <v>492</v>
      </c>
      <c r="E66">
        <v>-550</v>
      </c>
      <c r="F66">
        <v>-82.5</v>
      </c>
      <c r="G66">
        <v>-632.5</v>
      </c>
    </row>
    <row r="67" spans="1:7" x14ac:dyDescent="0.35">
      <c r="A67" s="178" t="s">
        <v>493</v>
      </c>
      <c r="B67" s="178" t="s">
        <v>494</v>
      </c>
      <c r="C67" s="178" t="s">
        <v>482</v>
      </c>
      <c r="D67" s="178" t="s">
        <v>495</v>
      </c>
      <c r="E67">
        <v>-26220.1</v>
      </c>
      <c r="F67">
        <v>-3933.02</v>
      </c>
      <c r="G67">
        <v>-30153.119999999999</v>
      </c>
    </row>
    <row r="68" spans="1:7" x14ac:dyDescent="0.35">
      <c r="A68" s="178" t="s">
        <v>496</v>
      </c>
      <c r="B68" s="178" t="s">
        <v>497</v>
      </c>
      <c r="C68" s="178" t="s">
        <v>482</v>
      </c>
      <c r="D68" s="178" t="s">
        <v>498</v>
      </c>
      <c r="E68">
        <v>-993.6</v>
      </c>
      <c r="F68">
        <v>-149.04</v>
      </c>
      <c r="G68">
        <v>-1142.6400000000001</v>
      </c>
    </row>
    <row r="69" spans="1:7" x14ac:dyDescent="0.35">
      <c r="A69" s="178" t="s">
        <v>499</v>
      </c>
      <c r="B69" s="178" t="s">
        <v>500</v>
      </c>
      <c r="C69" s="178" t="s">
        <v>501</v>
      </c>
      <c r="D69" s="178" t="s">
        <v>502</v>
      </c>
      <c r="E69">
        <v>-5172.25</v>
      </c>
      <c r="F69">
        <v>-775.84</v>
      </c>
      <c r="G69">
        <v>-5948.09</v>
      </c>
    </row>
    <row r="70" spans="1:7" x14ac:dyDescent="0.35">
      <c r="A70" s="178" t="s">
        <v>503</v>
      </c>
      <c r="B70" s="178" t="s">
        <v>504</v>
      </c>
      <c r="C70" s="178" t="s">
        <v>501</v>
      </c>
      <c r="D70" s="178" t="s">
        <v>505</v>
      </c>
      <c r="E70">
        <v>-14633.5</v>
      </c>
      <c r="F70">
        <v>-2195.0300000000002</v>
      </c>
      <c r="G70">
        <v>-16828.53</v>
      </c>
    </row>
    <row r="71" spans="1:7" x14ac:dyDescent="0.35">
      <c r="A71" s="178" t="s">
        <v>478</v>
      </c>
      <c r="B71" s="178" t="s">
        <v>506</v>
      </c>
      <c r="C71" s="178" t="s">
        <v>501</v>
      </c>
      <c r="D71" s="178" t="s">
        <v>507</v>
      </c>
      <c r="E71">
        <v>-1461.5</v>
      </c>
      <c r="F71">
        <v>-219.23</v>
      </c>
      <c r="G71">
        <v>-1680.73</v>
      </c>
    </row>
    <row r="72" spans="1:7" x14ac:dyDescent="0.35">
      <c r="A72" s="178" t="s">
        <v>315</v>
      </c>
      <c r="B72" s="178" t="s">
        <v>508</v>
      </c>
      <c r="C72" s="178" t="s">
        <v>501</v>
      </c>
      <c r="D72" s="178" t="s">
        <v>509</v>
      </c>
      <c r="E72">
        <v>-6069.7</v>
      </c>
      <c r="F72">
        <v>-910.46</v>
      </c>
      <c r="G72">
        <v>-6980.16</v>
      </c>
    </row>
    <row r="73" spans="1:7" x14ac:dyDescent="0.35">
      <c r="A73" s="178" t="s">
        <v>510</v>
      </c>
      <c r="B73" s="178" t="s">
        <v>511</v>
      </c>
      <c r="C73" s="178" t="s">
        <v>501</v>
      </c>
      <c r="D73" s="178" t="s">
        <v>512</v>
      </c>
      <c r="E73">
        <v>-155</v>
      </c>
      <c r="F73">
        <v>-23.25</v>
      </c>
      <c r="G73">
        <v>-178.25</v>
      </c>
    </row>
    <row r="74" spans="1:7" x14ac:dyDescent="0.35">
      <c r="A74" s="178" t="s">
        <v>513</v>
      </c>
      <c r="B74" s="178" t="s">
        <v>514</v>
      </c>
      <c r="C74" s="178" t="s">
        <v>501</v>
      </c>
      <c r="D74" s="178" t="s">
        <v>515</v>
      </c>
      <c r="E74">
        <v>-1474.2</v>
      </c>
      <c r="F74">
        <v>-221.13</v>
      </c>
      <c r="G74">
        <v>-1695.33</v>
      </c>
    </row>
    <row r="75" spans="1:7" x14ac:dyDescent="0.35">
      <c r="A75" s="178" t="s">
        <v>372</v>
      </c>
      <c r="B75" s="178" t="s">
        <v>516</v>
      </c>
      <c r="C75" s="178" t="s">
        <v>517</v>
      </c>
      <c r="D75" s="178" t="s">
        <v>461</v>
      </c>
      <c r="E75">
        <v>-2056.4</v>
      </c>
      <c r="F75">
        <v>-308.45999999999998</v>
      </c>
      <c r="G75">
        <v>-2364.86</v>
      </c>
    </row>
    <row r="76" spans="1:7" x14ac:dyDescent="0.35">
      <c r="A76" s="178" t="s">
        <v>518</v>
      </c>
      <c r="B76" s="178" t="s">
        <v>519</v>
      </c>
      <c r="C76" s="178" t="s">
        <v>517</v>
      </c>
      <c r="D76" s="178" t="s">
        <v>520</v>
      </c>
      <c r="E76">
        <v>-751.15</v>
      </c>
      <c r="F76">
        <v>-112.67</v>
      </c>
      <c r="G76">
        <v>-863.82</v>
      </c>
    </row>
    <row r="77" spans="1:7" x14ac:dyDescent="0.35">
      <c r="A77" s="178" t="s">
        <v>521</v>
      </c>
      <c r="B77" s="178" t="s">
        <v>522</v>
      </c>
      <c r="C77" s="178" t="s">
        <v>517</v>
      </c>
      <c r="D77" s="178" t="s">
        <v>362</v>
      </c>
      <c r="E77">
        <v>-1769.6</v>
      </c>
      <c r="F77">
        <v>-265.44</v>
      </c>
      <c r="G77">
        <v>-2035.04</v>
      </c>
    </row>
    <row r="78" spans="1:7" x14ac:dyDescent="0.35">
      <c r="A78" s="178" t="s">
        <v>523</v>
      </c>
      <c r="B78" s="178" t="s">
        <v>524</v>
      </c>
      <c r="C78" s="178" t="s">
        <v>517</v>
      </c>
      <c r="D78" s="178" t="s">
        <v>525</v>
      </c>
      <c r="E78">
        <v>-705.2</v>
      </c>
      <c r="F78">
        <v>-105.78</v>
      </c>
      <c r="G78">
        <v>-810.98</v>
      </c>
    </row>
    <row r="79" spans="1:7" x14ac:dyDescent="0.35">
      <c r="A79" s="178" t="s">
        <v>526</v>
      </c>
      <c r="B79" s="178" t="s">
        <v>527</v>
      </c>
      <c r="C79" s="178" t="s">
        <v>517</v>
      </c>
      <c r="D79" s="178" t="s">
        <v>528</v>
      </c>
      <c r="E79">
        <v>-91.8</v>
      </c>
      <c r="F79">
        <v>-13.77</v>
      </c>
      <c r="G79">
        <v>-105.57</v>
      </c>
    </row>
    <row r="80" spans="1:7" x14ac:dyDescent="0.35">
      <c r="A80" s="178" t="s">
        <v>529</v>
      </c>
      <c r="B80" s="178" t="s">
        <v>530</v>
      </c>
      <c r="C80" s="178" t="s">
        <v>517</v>
      </c>
      <c r="D80" s="178" t="s">
        <v>531</v>
      </c>
      <c r="E80" s="178" t="s">
        <v>57</v>
      </c>
      <c r="F80" s="178" t="s">
        <v>57</v>
      </c>
    </row>
    <row r="81" spans="1:7" x14ac:dyDescent="0.35">
      <c r="A81" s="178" t="s">
        <v>532</v>
      </c>
      <c r="B81" s="178" t="s">
        <v>533</v>
      </c>
      <c r="C81" s="178" t="s">
        <v>517</v>
      </c>
      <c r="D81" s="178" t="s">
        <v>534</v>
      </c>
      <c r="E81">
        <v>-718.25</v>
      </c>
      <c r="F81">
        <v>-107.74</v>
      </c>
      <c r="G81">
        <v>-825.99</v>
      </c>
    </row>
    <row r="82" spans="1:7" x14ac:dyDescent="0.35">
      <c r="A82" s="178" t="s">
        <v>535</v>
      </c>
      <c r="B82" s="178" t="s">
        <v>536</v>
      </c>
      <c r="C82" s="178" t="s">
        <v>517</v>
      </c>
      <c r="D82" s="178" t="s">
        <v>537</v>
      </c>
      <c r="E82">
        <v>-3035.1</v>
      </c>
      <c r="F82">
        <v>-455.27</v>
      </c>
      <c r="G82">
        <v>-3490.37</v>
      </c>
    </row>
    <row r="83" spans="1:7" x14ac:dyDescent="0.35">
      <c r="A83" s="178" t="s">
        <v>529</v>
      </c>
      <c r="B83" s="178" t="s">
        <v>538</v>
      </c>
      <c r="C83" s="178" t="s">
        <v>539</v>
      </c>
      <c r="D83" s="178" t="s">
        <v>531</v>
      </c>
      <c r="E83">
        <v>-3594.8</v>
      </c>
      <c r="F83">
        <v>-539.23</v>
      </c>
      <c r="G83">
        <v>-4134.03</v>
      </c>
    </row>
    <row r="84" spans="1:7" x14ac:dyDescent="0.35">
      <c r="A84" s="178" t="s">
        <v>540</v>
      </c>
      <c r="B84" s="178" t="s">
        <v>541</v>
      </c>
      <c r="C84" s="178" t="s">
        <v>539</v>
      </c>
      <c r="D84" s="178" t="s">
        <v>542</v>
      </c>
      <c r="E84">
        <v>-2902.5</v>
      </c>
      <c r="F84">
        <v>-435.38</v>
      </c>
      <c r="G84">
        <v>-3337.88</v>
      </c>
    </row>
    <row r="85" spans="1:7" x14ac:dyDescent="0.35">
      <c r="A85" s="178" t="s">
        <v>447</v>
      </c>
      <c r="B85" s="178" t="s">
        <v>543</v>
      </c>
      <c r="C85" s="178" t="s">
        <v>539</v>
      </c>
      <c r="D85" s="178" t="s">
        <v>544</v>
      </c>
      <c r="E85">
        <v>-2770.35</v>
      </c>
      <c r="F85">
        <v>-415.55</v>
      </c>
      <c r="G85">
        <v>-3185.9</v>
      </c>
    </row>
    <row r="86" spans="1:7" x14ac:dyDescent="0.35">
      <c r="A86" s="178" t="s">
        <v>545</v>
      </c>
      <c r="B86" s="178" t="s">
        <v>546</v>
      </c>
      <c r="C86" s="178" t="s">
        <v>539</v>
      </c>
      <c r="D86" s="178" t="s">
        <v>547</v>
      </c>
      <c r="E86">
        <v>-4020.5</v>
      </c>
      <c r="F86">
        <v>-603.08000000000004</v>
      </c>
      <c r="G86">
        <v>-4623.58</v>
      </c>
    </row>
    <row r="87" spans="1:7" x14ac:dyDescent="0.35">
      <c r="A87" s="178" t="s">
        <v>425</v>
      </c>
      <c r="B87" s="178" t="s">
        <v>548</v>
      </c>
      <c r="C87" s="178" t="s">
        <v>539</v>
      </c>
      <c r="D87" s="178" t="s">
        <v>362</v>
      </c>
      <c r="E87">
        <v>-22752.6</v>
      </c>
      <c r="F87">
        <v>-3412.89</v>
      </c>
      <c r="G87">
        <v>-26165.49</v>
      </c>
    </row>
    <row r="88" spans="1:7" x14ac:dyDescent="0.35">
      <c r="A88" s="178" t="s">
        <v>549</v>
      </c>
      <c r="B88" s="178" t="s">
        <v>550</v>
      </c>
      <c r="C88" s="178" t="s">
        <v>539</v>
      </c>
      <c r="D88" s="178" t="s">
        <v>551</v>
      </c>
      <c r="E88">
        <v>-1425</v>
      </c>
      <c r="F88">
        <v>-213.75</v>
      </c>
      <c r="G88">
        <v>-1638.75</v>
      </c>
    </row>
    <row r="89" spans="1:7" x14ac:dyDescent="0.35">
      <c r="A89" s="178" t="s">
        <v>451</v>
      </c>
      <c r="B89" s="178" t="s">
        <v>552</v>
      </c>
      <c r="C89" s="178" t="s">
        <v>539</v>
      </c>
      <c r="D89" s="178" t="s">
        <v>553</v>
      </c>
      <c r="E89">
        <v>-11560.8</v>
      </c>
      <c r="F89">
        <v>-1734.12</v>
      </c>
      <c r="G89">
        <v>-13294.92</v>
      </c>
    </row>
    <row r="90" spans="1:7" x14ac:dyDescent="0.35">
      <c r="A90" s="178" t="s">
        <v>554</v>
      </c>
      <c r="B90" s="178" t="s">
        <v>555</v>
      </c>
      <c r="C90" s="178" t="s">
        <v>539</v>
      </c>
      <c r="D90" s="178" t="s">
        <v>556</v>
      </c>
      <c r="E90">
        <v>-37871.599999999999</v>
      </c>
      <c r="F90">
        <v>-5680.74</v>
      </c>
      <c r="G90">
        <v>-43552.34</v>
      </c>
    </row>
    <row r="91" spans="1:7" x14ac:dyDescent="0.35">
      <c r="A91" s="178" t="s">
        <v>451</v>
      </c>
      <c r="B91" s="178" t="s">
        <v>557</v>
      </c>
      <c r="C91" s="178" t="s">
        <v>539</v>
      </c>
      <c r="D91">
        <v>47880</v>
      </c>
      <c r="E91">
        <v>-1908.2</v>
      </c>
      <c r="F91">
        <v>-286.23</v>
      </c>
      <c r="G91">
        <v>-2194.4299999999998</v>
      </c>
    </row>
    <row r="92" spans="1:7" x14ac:dyDescent="0.35">
      <c r="A92" s="178" t="s">
        <v>414</v>
      </c>
      <c r="B92" s="178" t="s">
        <v>558</v>
      </c>
      <c r="C92" s="178" t="s">
        <v>559</v>
      </c>
      <c r="D92" s="178" t="s">
        <v>362</v>
      </c>
      <c r="E92">
        <v>-28945.599999999999</v>
      </c>
      <c r="F92">
        <v>-4341.84</v>
      </c>
      <c r="G92">
        <v>-33287.440000000002</v>
      </c>
    </row>
    <row r="93" spans="1:7" x14ac:dyDescent="0.35">
      <c r="A93" s="178" t="s">
        <v>344</v>
      </c>
      <c r="B93" s="178" t="s">
        <v>560</v>
      </c>
      <c r="C93" s="178" t="s">
        <v>559</v>
      </c>
      <c r="D93" s="178" t="s">
        <v>463</v>
      </c>
      <c r="E93">
        <v>-350</v>
      </c>
      <c r="F93">
        <v>-52.5</v>
      </c>
      <c r="G93">
        <v>-402.5</v>
      </c>
    </row>
    <row r="94" spans="1:7" x14ac:dyDescent="0.35">
      <c r="A94" s="178" t="s">
        <v>388</v>
      </c>
      <c r="B94" s="178" t="s">
        <v>561</v>
      </c>
      <c r="C94" s="178" t="s">
        <v>559</v>
      </c>
      <c r="D94" s="178" t="s">
        <v>562</v>
      </c>
      <c r="E94">
        <v>-1299.3</v>
      </c>
      <c r="F94">
        <v>-194.9</v>
      </c>
      <c r="G94">
        <v>-1494.2</v>
      </c>
    </row>
    <row r="95" spans="1:7" x14ac:dyDescent="0.35">
      <c r="A95" s="178" t="s">
        <v>563</v>
      </c>
      <c r="B95" s="178" t="s">
        <v>564</v>
      </c>
      <c r="C95" s="178" t="s">
        <v>559</v>
      </c>
      <c r="D95" s="178" t="s">
        <v>565</v>
      </c>
      <c r="E95">
        <v>-4487</v>
      </c>
      <c r="F95">
        <v>-673.05</v>
      </c>
      <c r="G95">
        <v>-5160.05</v>
      </c>
    </row>
    <row r="96" spans="1:7" x14ac:dyDescent="0.35">
      <c r="A96" s="178" t="s">
        <v>566</v>
      </c>
      <c r="B96" s="178" t="s">
        <v>567</v>
      </c>
      <c r="C96" s="178" t="s">
        <v>559</v>
      </c>
      <c r="D96" s="178" t="s">
        <v>362</v>
      </c>
      <c r="E96">
        <v>-7769</v>
      </c>
      <c r="F96">
        <v>-1165.3499999999999</v>
      </c>
      <c r="G96">
        <v>-8934.35</v>
      </c>
    </row>
    <row r="97" spans="1:7" x14ac:dyDescent="0.35">
      <c r="A97" s="178" t="s">
        <v>568</v>
      </c>
      <c r="B97" s="178" t="s">
        <v>569</v>
      </c>
      <c r="C97" s="178" t="s">
        <v>559</v>
      </c>
      <c r="D97" s="178" t="s">
        <v>570</v>
      </c>
      <c r="E97">
        <v>-1701</v>
      </c>
      <c r="F97">
        <v>-255.15</v>
      </c>
      <c r="G97">
        <v>-1956.15</v>
      </c>
    </row>
    <row r="98" spans="1:7" x14ac:dyDescent="0.35">
      <c r="A98" s="178" t="s">
        <v>496</v>
      </c>
      <c r="B98" s="178" t="s">
        <v>571</v>
      </c>
      <c r="C98" s="178" t="s">
        <v>559</v>
      </c>
      <c r="D98" s="178" t="s">
        <v>572</v>
      </c>
      <c r="E98">
        <v>-1212.7</v>
      </c>
      <c r="F98">
        <v>-181.91</v>
      </c>
      <c r="G98">
        <v>-1394.61</v>
      </c>
    </row>
    <row r="99" spans="1:7" x14ac:dyDescent="0.35">
      <c r="A99" s="178" t="s">
        <v>573</v>
      </c>
      <c r="B99" s="178" t="s">
        <v>574</v>
      </c>
      <c r="C99" s="178" t="s">
        <v>559</v>
      </c>
      <c r="D99" s="178" t="s">
        <v>575</v>
      </c>
      <c r="E99">
        <v>-270.54000000000002</v>
      </c>
      <c r="F99">
        <v>-40.58</v>
      </c>
      <c r="G99">
        <v>-311.12</v>
      </c>
    </row>
    <row r="100" spans="1:7" x14ac:dyDescent="0.35">
      <c r="A100" s="178" t="s">
        <v>374</v>
      </c>
      <c r="B100" s="178" t="s">
        <v>576</v>
      </c>
      <c r="C100" s="178" t="s">
        <v>559</v>
      </c>
      <c r="D100" s="178" t="s">
        <v>577</v>
      </c>
      <c r="E100">
        <v>-1417.95</v>
      </c>
      <c r="F100">
        <v>-212.69</v>
      </c>
      <c r="G100">
        <v>-1630.64</v>
      </c>
    </row>
    <row r="101" spans="1:7" x14ac:dyDescent="0.35">
      <c r="A101" s="178" t="s">
        <v>578</v>
      </c>
      <c r="B101" s="178" t="s">
        <v>579</v>
      </c>
      <c r="C101" s="178" t="s">
        <v>580</v>
      </c>
      <c r="D101" s="178" t="s">
        <v>581</v>
      </c>
      <c r="E101">
        <v>-7381.5</v>
      </c>
      <c r="F101">
        <v>-1107.23</v>
      </c>
      <c r="G101">
        <v>-8488.73</v>
      </c>
    </row>
    <row r="102" spans="1:7" x14ac:dyDescent="0.35">
      <c r="A102" s="178" t="s">
        <v>582</v>
      </c>
      <c r="B102" s="178" t="s">
        <v>583</v>
      </c>
      <c r="C102" s="178" t="s">
        <v>580</v>
      </c>
      <c r="D102" s="178" t="s">
        <v>584</v>
      </c>
      <c r="E102">
        <v>-4082.4</v>
      </c>
      <c r="F102">
        <v>-612.36</v>
      </c>
      <c r="G102">
        <v>-4694.76</v>
      </c>
    </row>
    <row r="103" spans="1:7" x14ac:dyDescent="0.35">
      <c r="A103" s="178" t="s">
        <v>414</v>
      </c>
      <c r="B103" s="178" t="s">
        <v>585</v>
      </c>
      <c r="C103" s="178" t="s">
        <v>580</v>
      </c>
      <c r="D103" s="178" t="s">
        <v>362</v>
      </c>
      <c r="E103">
        <v>-742.6</v>
      </c>
      <c r="F103">
        <v>-111.39</v>
      </c>
      <c r="G103">
        <v>-853.99</v>
      </c>
    </row>
    <row r="104" spans="1:7" x14ac:dyDescent="0.35">
      <c r="A104" s="178" t="s">
        <v>366</v>
      </c>
      <c r="B104" s="178" t="s">
        <v>586</v>
      </c>
      <c r="C104" s="178" t="s">
        <v>580</v>
      </c>
      <c r="D104" s="178" t="s">
        <v>587</v>
      </c>
      <c r="E104">
        <v>-1435</v>
      </c>
      <c r="F104">
        <v>-215.25</v>
      </c>
      <c r="G104">
        <v>-1650.25</v>
      </c>
    </row>
    <row r="105" spans="1:7" x14ac:dyDescent="0.35">
      <c r="A105" s="178" t="s">
        <v>588</v>
      </c>
      <c r="B105" s="178" t="s">
        <v>589</v>
      </c>
      <c r="C105" s="178" t="s">
        <v>580</v>
      </c>
      <c r="D105" s="178" t="s">
        <v>590</v>
      </c>
      <c r="E105">
        <v>-639</v>
      </c>
      <c r="F105">
        <v>-95.85</v>
      </c>
      <c r="G105">
        <v>-734.85</v>
      </c>
    </row>
    <row r="106" spans="1:7" x14ac:dyDescent="0.35">
      <c r="A106" s="178" t="s">
        <v>591</v>
      </c>
      <c r="B106" s="178" t="s">
        <v>592</v>
      </c>
      <c r="C106" s="178" t="s">
        <v>593</v>
      </c>
      <c r="D106" s="178" t="s">
        <v>594</v>
      </c>
      <c r="E106">
        <v>-3583.4</v>
      </c>
      <c r="F106">
        <v>-537.52</v>
      </c>
      <c r="G106">
        <v>-4120.92</v>
      </c>
    </row>
    <row r="107" spans="1:7" x14ac:dyDescent="0.35">
      <c r="A107" s="178" t="s">
        <v>563</v>
      </c>
      <c r="B107" s="178" t="s">
        <v>595</v>
      </c>
      <c r="C107" s="178" t="s">
        <v>593</v>
      </c>
      <c r="D107" s="178" t="s">
        <v>596</v>
      </c>
      <c r="E107">
        <v>-1131</v>
      </c>
      <c r="F107">
        <v>-169.65</v>
      </c>
      <c r="G107">
        <v>-1300.6500000000001</v>
      </c>
    </row>
    <row r="108" spans="1:7" x14ac:dyDescent="0.35">
      <c r="A108" s="178" t="s">
        <v>597</v>
      </c>
      <c r="B108" s="178" t="s">
        <v>598</v>
      </c>
      <c r="C108" s="178" t="s">
        <v>593</v>
      </c>
      <c r="D108" s="178" t="s">
        <v>599</v>
      </c>
      <c r="E108">
        <v>-1993.85</v>
      </c>
      <c r="F108">
        <v>-299.08</v>
      </c>
      <c r="G108">
        <v>-2292.9299999999998</v>
      </c>
    </row>
    <row r="109" spans="1:7" x14ac:dyDescent="0.35">
      <c r="A109" s="178" t="s">
        <v>353</v>
      </c>
      <c r="B109" s="178" t="s">
        <v>600</v>
      </c>
      <c r="C109" s="178" t="s">
        <v>593</v>
      </c>
      <c r="D109" s="178" t="s">
        <v>601</v>
      </c>
      <c r="E109">
        <v>-3039.55</v>
      </c>
      <c r="F109">
        <v>-455.93</v>
      </c>
      <c r="G109">
        <v>-3495.48</v>
      </c>
    </row>
    <row r="110" spans="1:7" x14ac:dyDescent="0.35">
      <c r="A110" s="178" t="s">
        <v>545</v>
      </c>
      <c r="B110" s="178" t="s">
        <v>602</v>
      </c>
      <c r="C110" s="178" t="s">
        <v>603</v>
      </c>
      <c r="D110" s="178" t="s">
        <v>604</v>
      </c>
      <c r="E110">
        <v>-4657.5</v>
      </c>
      <c r="F110">
        <v>-698.63</v>
      </c>
      <c r="G110">
        <v>-5356.13</v>
      </c>
    </row>
    <row r="111" spans="1:7" x14ac:dyDescent="0.35">
      <c r="A111" s="178" t="s">
        <v>605</v>
      </c>
      <c r="B111" s="178" t="s">
        <v>606</v>
      </c>
      <c r="C111" s="178" t="s">
        <v>603</v>
      </c>
      <c r="D111" s="178" t="s">
        <v>607</v>
      </c>
      <c r="E111">
        <v>-731</v>
      </c>
      <c r="F111">
        <v>-109.65</v>
      </c>
      <c r="G111">
        <v>-840.65</v>
      </c>
    </row>
    <row r="112" spans="1:7" x14ac:dyDescent="0.35">
      <c r="A112" s="178" t="s">
        <v>608</v>
      </c>
      <c r="B112" s="178" t="s">
        <v>609</v>
      </c>
      <c r="C112" s="178" t="s">
        <v>603</v>
      </c>
      <c r="D112" s="178" t="s">
        <v>610</v>
      </c>
      <c r="E112">
        <v>-1517</v>
      </c>
      <c r="F112">
        <v>-227.55</v>
      </c>
      <c r="G112">
        <v>-1744.55</v>
      </c>
    </row>
    <row r="113" spans="1:7" x14ac:dyDescent="0.35">
      <c r="A113" s="178" t="s">
        <v>566</v>
      </c>
      <c r="B113" s="178" t="s">
        <v>611</v>
      </c>
      <c r="C113" s="178" t="s">
        <v>603</v>
      </c>
      <c r="D113" s="178" t="s">
        <v>612</v>
      </c>
      <c r="E113">
        <v>-6970</v>
      </c>
      <c r="F113">
        <v>-1045.5</v>
      </c>
      <c r="G113">
        <v>-8015.5</v>
      </c>
    </row>
    <row r="114" spans="1:7" x14ac:dyDescent="0.35">
      <c r="A114" s="178" t="s">
        <v>377</v>
      </c>
      <c r="B114" s="178" t="s">
        <v>613</v>
      </c>
      <c r="C114" s="178" t="s">
        <v>603</v>
      </c>
      <c r="D114" s="178" t="s">
        <v>362</v>
      </c>
      <c r="E114">
        <v>-9453.7000000000007</v>
      </c>
      <c r="F114">
        <v>-1418.06</v>
      </c>
      <c r="G114">
        <v>-10871.76</v>
      </c>
    </row>
    <row r="115" spans="1:7" x14ac:dyDescent="0.35">
      <c r="A115" s="178" t="s">
        <v>372</v>
      </c>
      <c r="B115" s="178" t="s">
        <v>614</v>
      </c>
      <c r="C115" s="178" t="s">
        <v>615</v>
      </c>
      <c r="D115" s="178" t="s">
        <v>461</v>
      </c>
      <c r="E115">
        <v>-3646.4</v>
      </c>
      <c r="F115">
        <v>-546.96</v>
      </c>
      <c r="G115">
        <v>-4193.3599999999997</v>
      </c>
    </row>
    <row r="116" spans="1:7" x14ac:dyDescent="0.35">
      <c r="A116" s="178" t="s">
        <v>616</v>
      </c>
      <c r="B116" s="178" t="s">
        <v>617</v>
      </c>
      <c r="C116" s="178" t="s">
        <v>615</v>
      </c>
      <c r="D116" s="178" t="s">
        <v>618</v>
      </c>
      <c r="E116">
        <v>-2925.6</v>
      </c>
      <c r="F116">
        <v>-438.84</v>
      </c>
      <c r="G116">
        <v>-3364.44</v>
      </c>
    </row>
    <row r="117" spans="1:7" x14ac:dyDescent="0.35">
      <c r="A117" s="178" t="s">
        <v>344</v>
      </c>
      <c r="B117" s="178" t="s">
        <v>619</v>
      </c>
      <c r="C117" s="178" t="s">
        <v>615</v>
      </c>
      <c r="D117" s="178" t="s">
        <v>346</v>
      </c>
      <c r="E117">
        <v>-350</v>
      </c>
      <c r="F117">
        <v>-52.5</v>
      </c>
      <c r="G117">
        <v>-402.5</v>
      </c>
    </row>
    <row r="118" spans="1:7" x14ac:dyDescent="0.35">
      <c r="A118" s="178" t="s">
        <v>620</v>
      </c>
      <c r="B118" s="178" t="s">
        <v>621</v>
      </c>
      <c r="C118" s="178" t="s">
        <v>622</v>
      </c>
      <c r="D118" s="178" t="s">
        <v>623</v>
      </c>
      <c r="E118">
        <v>-4006.8</v>
      </c>
      <c r="F118">
        <v>-601.02</v>
      </c>
      <c r="G118">
        <v>-4607.82</v>
      </c>
    </row>
    <row r="119" spans="1:7" x14ac:dyDescent="0.35">
      <c r="A119" s="178" t="s">
        <v>624</v>
      </c>
      <c r="B119" s="178" t="s">
        <v>625</v>
      </c>
      <c r="C119" s="178" t="s">
        <v>622</v>
      </c>
      <c r="D119" s="178" t="s">
        <v>626</v>
      </c>
      <c r="E119">
        <v>-11745</v>
      </c>
      <c r="F119">
        <v>-1761.75</v>
      </c>
      <c r="G119">
        <v>-13506.75</v>
      </c>
    </row>
    <row r="120" spans="1:7" x14ac:dyDescent="0.35">
      <c r="A120" s="178" t="s">
        <v>627</v>
      </c>
      <c r="B120" s="178" t="s">
        <v>628</v>
      </c>
      <c r="C120" s="178" t="s">
        <v>622</v>
      </c>
      <c r="D120" s="178" t="s">
        <v>629</v>
      </c>
      <c r="E120">
        <v>-986.4</v>
      </c>
      <c r="F120">
        <v>-147.96</v>
      </c>
      <c r="G120">
        <v>-1134.3599999999999</v>
      </c>
    </row>
    <row r="121" spans="1:7" x14ac:dyDescent="0.35">
      <c r="A121" s="178" t="s">
        <v>630</v>
      </c>
      <c r="B121" s="178" t="s">
        <v>631</v>
      </c>
      <c r="C121" s="178" t="s">
        <v>622</v>
      </c>
      <c r="D121" s="178" t="s">
        <v>632</v>
      </c>
      <c r="E121">
        <v>-9643.2000000000007</v>
      </c>
      <c r="F121">
        <v>-1446.48</v>
      </c>
      <c r="G121">
        <v>-11089.68</v>
      </c>
    </row>
    <row r="122" spans="1:7" x14ac:dyDescent="0.35">
      <c r="A122" s="178" t="s">
        <v>372</v>
      </c>
      <c r="B122" s="178" t="s">
        <v>633</v>
      </c>
      <c r="C122" s="178" t="s">
        <v>622</v>
      </c>
      <c r="D122" s="178" t="s">
        <v>362</v>
      </c>
      <c r="E122">
        <v>-2353.1999999999998</v>
      </c>
      <c r="F122">
        <v>-352.98</v>
      </c>
      <c r="G122">
        <v>-2706.18</v>
      </c>
    </row>
    <row r="123" spans="1:7" x14ac:dyDescent="0.35">
      <c r="A123" s="178" t="s">
        <v>451</v>
      </c>
      <c r="B123" s="178" t="s">
        <v>634</v>
      </c>
      <c r="C123" s="178" t="s">
        <v>622</v>
      </c>
      <c r="D123">
        <v>48349</v>
      </c>
      <c r="E123">
        <v>-12499.2</v>
      </c>
      <c r="F123">
        <v>-1874.88</v>
      </c>
      <c r="G123">
        <v>-14374.08</v>
      </c>
    </row>
    <row r="124" spans="1:7" x14ac:dyDescent="0.35">
      <c r="A124" s="178" t="s">
        <v>496</v>
      </c>
      <c r="B124" s="178" t="s">
        <v>635</v>
      </c>
      <c r="C124" s="178" t="s">
        <v>622</v>
      </c>
      <c r="D124" s="178" t="s">
        <v>636</v>
      </c>
      <c r="E124">
        <v>-9236.5</v>
      </c>
      <c r="F124">
        <v>-1385.48</v>
      </c>
      <c r="G124">
        <v>-10621.98</v>
      </c>
    </row>
    <row r="125" spans="1:7" x14ac:dyDescent="0.35">
      <c r="A125" s="178" t="s">
        <v>637</v>
      </c>
      <c r="B125" s="178" t="s">
        <v>638</v>
      </c>
      <c r="C125" s="178" t="s">
        <v>317</v>
      </c>
      <c r="D125" s="178" t="s">
        <v>57</v>
      </c>
      <c r="E125">
        <v>23677.35</v>
      </c>
      <c r="F125">
        <v>3551.6</v>
      </c>
      <c r="G125">
        <v>27228.95</v>
      </c>
    </row>
    <row r="126" spans="1:7" x14ac:dyDescent="0.35">
      <c r="A126" s="178" t="s">
        <v>639</v>
      </c>
      <c r="B126" s="178" t="s">
        <v>640</v>
      </c>
      <c r="C126" s="178" t="s">
        <v>641</v>
      </c>
      <c r="D126" s="178" t="s">
        <v>642</v>
      </c>
      <c r="E126">
        <v>270640.8</v>
      </c>
      <c r="F126">
        <v>40596.120000000003</v>
      </c>
      <c r="G126">
        <v>311236.92</v>
      </c>
    </row>
    <row r="127" spans="1:7" x14ac:dyDescent="0.35">
      <c r="A127" s="178" t="s">
        <v>639</v>
      </c>
      <c r="B127" s="178" t="s">
        <v>643</v>
      </c>
      <c r="C127" s="178" t="s">
        <v>641</v>
      </c>
      <c r="D127" s="178" t="s">
        <v>57</v>
      </c>
      <c r="E127">
        <v>1835.8</v>
      </c>
      <c r="F127">
        <v>275.37</v>
      </c>
      <c r="G127">
        <v>2111.17</v>
      </c>
    </row>
    <row r="128" spans="1:7" x14ac:dyDescent="0.35">
      <c r="A128" s="178" t="s">
        <v>639</v>
      </c>
      <c r="B128" s="178" t="s">
        <v>644</v>
      </c>
      <c r="C128" s="178" t="s">
        <v>641</v>
      </c>
      <c r="D128" s="178" t="s">
        <v>645</v>
      </c>
      <c r="E128">
        <v>7282.8</v>
      </c>
      <c r="F128">
        <v>1092.42</v>
      </c>
      <c r="G128">
        <v>8375.2199999999993</v>
      </c>
    </row>
    <row r="129" spans="1:7" x14ac:dyDescent="0.35">
      <c r="A129" s="178" t="s">
        <v>646</v>
      </c>
      <c r="B129" s="178" t="s">
        <v>647</v>
      </c>
      <c r="C129" s="178" t="s">
        <v>641</v>
      </c>
      <c r="D129" s="178" t="s">
        <v>648</v>
      </c>
      <c r="E129">
        <v>13805.9</v>
      </c>
      <c r="F129">
        <v>2070.89</v>
      </c>
      <c r="G129">
        <v>15876.79</v>
      </c>
    </row>
    <row r="130" spans="1:7" x14ac:dyDescent="0.35">
      <c r="A130" s="178" t="s">
        <v>637</v>
      </c>
      <c r="B130" s="178" t="s">
        <v>649</v>
      </c>
      <c r="C130" s="178" t="s">
        <v>317</v>
      </c>
      <c r="D130" s="178" t="s">
        <v>57</v>
      </c>
      <c r="E130">
        <v>36784</v>
      </c>
      <c r="F130">
        <v>5517.6</v>
      </c>
      <c r="G130">
        <v>42301.599999999999</v>
      </c>
    </row>
    <row r="131" spans="1:7" x14ac:dyDescent="0.35">
      <c r="A131" s="178" t="s">
        <v>637</v>
      </c>
      <c r="B131" s="178" t="s">
        <v>650</v>
      </c>
      <c r="C131" s="178" t="s">
        <v>317</v>
      </c>
      <c r="D131" s="178" t="s">
        <v>57</v>
      </c>
      <c r="E131">
        <v>7962.3</v>
      </c>
      <c r="F131">
        <v>1194.3499999999999</v>
      </c>
      <c r="G131">
        <v>9156.65</v>
      </c>
    </row>
    <row r="132" spans="1:7" x14ac:dyDescent="0.35">
      <c r="A132" s="178" t="s">
        <v>624</v>
      </c>
      <c r="B132" s="178" t="s">
        <v>651</v>
      </c>
      <c r="C132" s="178" t="s">
        <v>641</v>
      </c>
      <c r="D132" s="178" t="s">
        <v>57</v>
      </c>
      <c r="E132">
        <v>43778.25</v>
      </c>
      <c r="F132">
        <v>6566.74</v>
      </c>
      <c r="G132">
        <v>50344.99</v>
      </c>
    </row>
    <row r="133" spans="1:7" x14ac:dyDescent="0.35">
      <c r="A133" s="178" t="s">
        <v>652</v>
      </c>
      <c r="B133" s="178" t="s">
        <v>653</v>
      </c>
      <c r="C133" s="178" t="s">
        <v>641</v>
      </c>
      <c r="D133" s="178" t="s">
        <v>57</v>
      </c>
      <c r="E133">
        <v>19885.5</v>
      </c>
      <c r="F133">
        <v>2982.83</v>
      </c>
      <c r="G133">
        <v>22868.33</v>
      </c>
    </row>
    <row r="134" spans="1:7" x14ac:dyDescent="0.35">
      <c r="A134" s="178" t="s">
        <v>654</v>
      </c>
      <c r="B134" s="178" t="s">
        <v>655</v>
      </c>
      <c r="C134" s="178" t="s">
        <v>317</v>
      </c>
      <c r="D134" s="178" t="s">
        <v>57</v>
      </c>
      <c r="E134">
        <v>5566</v>
      </c>
      <c r="F134">
        <v>834.9</v>
      </c>
      <c r="G134">
        <v>6400.9</v>
      </c>
    </row>
    <row r="135" spans="1:7" x14ac:dyDescent="0.35">
      <c r="A135" s="178" t="s">
        <v>319</v>
      </c>
      <c r="B135" s="178" t="s">
        <v>656</v>
      </c>
      <c r="C135" s="178" t="s">
        <v>317</v>
      </c>
      <c r="D135" s="178" t="s">
        <v>57</v>
      </c>
      <c r="E135">
        <v>33427.199999999997</v>
      </c>
      <c r="F135">
        <v>5014.08</v>
      </c>
      <c r="G135">
        <v>38441.279999999999</v>
      </c>
    </row>
    <row r="136" spans="1:7" x14ac:dyDescent="0.35">
      <c r="A136" s="178" t="s">
        <v>657</v>
      </c>
      <c r="B136" s="178" t="s">
        <v>658</v>
      </c>
      <c r="C136" s="178" t="s">
        <v>317</v>
      </c>
      <c r="D136" s="178" t="s">
        <v>659</v>
      </c>
      <c r="E136">
        <v>16957.099999999999</v>
      </c>
      <c r="F136">
        <v>2543.5700000000002</v>
      </c>
      <c r="G136">
        <v>19500.669999999998</v>
      </c>
    </row>
    <row r="137" spans="1:7" x14ac:dyDescent="0.35">
      <c r="A137" s="178" t="s">
        <v>388</v>
      </c>
      <c r="B137" s="178" t="s">
        <v>660</v>
      </c>
      <c r="C137" s="178" t="s">
        <v>317</v>
      </c>
      <c r="D137" s="178" t="s">
        <v>57</v>
      </c>
      <c r="E137">
        <v>5855.2</v>
      </c>
      <c r="F137">
        <v>878.28</v>
      </c>
      <c r="G137">
        <v>6733.48</v>
      </c>
    </row>
    <row r="138" spans="1:7" x14ac:dyDescent="0.35">
      <c r="A138" s="178" t="s">
        <v>661</v>
      </c>
      <c r="B138" s="178" t="s">
        <v>662</v>
      </c>
      <c r="C138" s="178" t="s">
        <v>317</v>
      </c>
      <c r="D138" s="178" t="s">
        <v>663</v>
      </c>
      <c r="E138">
        <v>16764.45</v>
      </c>
      <c r="F138">
        <v>2514.67</v>
      </c>
      <c r="G138">
        <v>19279.12</v>
      </c>
    </row>
    <row r="139" spans="1:7" x14ac:dyDescent="0.35">
      <c r="A139" s="178" t="s">
        <v>664</v>
      </c>
      <c r="B139" s="178" t="s">
        <v>665</v>
      </c>
      <c r="C139" s="178" t="s">
        <v>317</v>
      </c>
      <c r="D139" s="178" t="s">
        <v>666</v>
      </c>
      <c r="E139">
        <v>9633.75</v>
      </c>
      <c r="F139">
        <v>1445.06</v>
      </c>
      <c r="G139">
        <v>11078.81</v>
      </c>
    </row>
    <row r="140" spans="1:7" x14ac:dyDescent="0.35">
      <c r="A140" s="178" t="s">
        <v>667</v>
      </c>
      <c r="B140" s="178" t="s">
        <v>668</v>
      </c>
      <c r="C140" s="178" t="s">
        <v>317</v>
      </c>
      <c r="D140" s="178" t="s">
        <v>57</v>
      </c>
      <c r="E140">
        <v>1040</v>
      </c>
      <c r="F140">
        <v>156</v>
      </c>
      <c r="G140">
        <v>1196</v>
      </c>
    </row>
    <row r="141" spans="1:7" x14ac:dyDescent="0.35">
      <c r="A141" s="178" t="s">
        <v>388</v>
      </c>
      <c r="B141" s="178" t="s">
        <v>669</v>
      </c>
      <c r="C141" s="178" t="s">
        <v>317</v>
      </c>
      <c r="D141" s="178" t="s">
        <v>57</v>
      </c>
      <c r="E141">
        <v>4313.25</v>
      </c>
      <c r="F141">
        <v>646.99</v>
      </c>
      <c r="G141">
        <v>4960.24</v>
      </c>
    </row>
    <row r="142" spans="1:7" x14ac:dyDescent="0.35">
      <c r="A142" s="178" t="s">
        <v>670</v>
      </c>
      <c r="B142" s="178" t="s">
        <v>671</v>
      </c>
      <c r="C142" s="178" t="s">
        <v>317</v>
      </c>
      <c r="D142" s="178" t="s">
        <v>672</v>
      </c>
      <c r="E142">
        <v>6886.15</v>
      </c>
      <c r="F142">
        <v>1032.92</v>
      </c>
      <c r="G142">
        <v>7919.07</v>
      </c>
    </row>
    <row r="143" spans="1:7" x14ac:dyDescent="0.35">
      <c r="A143" s="178" t="s">
        <v>673</v>
      </c>
      <c r="B143" s="178" t="s">
        <v>674</v>
      </c>
      <c r="C143" s="178" t="s">
        <v>317</v>
      </c>
      <c r="D143" s="178" t="s">
        <v>57</v>
      </c>
      <c r="E143">
        <v>1408.9</v>
      </c>
      <c r="F143">
        <v>211.34</v>
      </c>
      <c r="G143">
        <v>1620.24</v>
      </c>
    </row>
    <row r="144" spans="1:7" x14ac:dyDescent="0.35">
      <c r="A144" s="178" t="s">
        <v>675</v>
      </c>
      <c r="B144" s="178" t="s">
        <v>676</v>
      </c>
      <c r="C144" s="178" t="s">
        <v>317</v>
      </c>
      <c r="D144" s="178" t="s">
        <v>57</v>
      </c>
      <c r="E144">
        <v>7071.15</v>
      </c>
      <c r="F144">
        <v>1060.67</v>
      </c>
      <c r="G144">
        <v>8131.82</v>
      </c>
    </row>
    <row r="145" spans="1:7" x14ac:dyDescent="0.35">
      <c r="A145" s="178" t="s">
        <v>677</v>
      </c>
      <c r="B145" s="178" t="s">
        <v>678</v>
      </c>
      <c r="C145" s="178" t="s">
        <v>317</v>
      </c>
      <c r="D145" s="178" t="s">
        <v>57</v>
      </c>
      <c r="E145">
        <v>1676.7</v>
      </c>
      <c r="F145">
        <v>251.51</v>
      </c>
      <c r="G145">
        <v>1928.21</v>
      </c>
    </row>
    <row r="146" spans="1:7" x14ac:dyDescent="0.35">
      <c r="A146" s="178" t="s">
        <v>679</v>
      </c>
      <c r="B146" s="178" t="s">
        <v>680</v>
      </c>
      <c r="C146" s="178" t="s">
        <v>317</v>
      </c>
      <c r="D146" s="178" t="s">
        <v>57</v>
      </c>
      <c r="E146">
        <v>6999.75</v>
      </c>
      <c r="F146">
        <v>1049.96</v>
      </c>
      <c r="G146">
        <v>8049.71</v>
      </c>
    </row>
    <row r="147" spans="1:7" x14ac:dyDescent="0.35">
      <c r="A147" s="178" t="s">
        <v>681</v>
      </c>
      <c r="B147" s="178" t="s">
        <v>682</v>
      </c>
      <c r="C147" s="178" t="s">
        <v>317</v>
      </c>
      <c r="D147" s="178" t="s">
        <v>57</v>
      </c>
      <c r="E147">
        <v>1484</v>
      </c>
      <c r="F147">
        <v>222.6</v>
      </c>
      <c r="G147">
        <v>1706.6</v>
      </c>
    </row>
    <row r="148" spans="1:7" x14ac:dyDescent="0.35">
      <c r="A148" s="178" t="s">
        <v>683</v>
      </c>
      <c r="B148" s="178" t="s">
        <v>684</v>
      </c>
      <c r="C148" s="178" t="s">
        <v>317</v>
      </c>
      <c r="D148" s="178" t="s">
        <v>57</v>
      </c>
      <c r="E148">
        <v>3830.4</v>
      </c>
      <c r="F148">
        <v>574.55999999999995</v>
      </c>
      <c r="G148">
        <v>4404.96</v>
      </c>
    </row>
    <row r="149" spans="1:7" x14ac:dyDescent="0.35">
      <c r="A149" s="178" t="s">
        <v>685</v>
      </c>
      <c r="B149" s="178" t="s">
        <v>686</v>
      </c>
      <c r="C149" s="178" t="s">
        <v>317</v>
      </c>
      <c r="D149" s="178" t="s">
        <v>687</v>
      </c>
      <c r="E149">
        <v>4823.6000000000004</v>
      </c>
      <c r="F149">
        <v>723.54</v>
      </c>
      <c r="G149">
        <v>5547.14</v>
      </c>
    </row>
    <row r="150" spans="1:7" x14ac:dyDescent="0.35">
      <c r="A150" s="178" t="s">
        <v>454</v>
      </c>
      <c r="B150" s="178" t="s">
        <v>688</v>
      </c>
      <c r="C150" s="178" t="s">
        <v>317</v>
      </c>
      <c r="D150" s="178" t="s">
        <v>689</v>
      </c>
      <c r="E150">
        <v>3729</v>
      </c>
      <c r="F150">
        <v>559.36</v>
      </c>
      <c r="G150">
        <v>4288.3599999999997</v>
      </c>
    </row>
    <row r="151" spans="1:7" x14ac:dyDescent="0.35">
      <c r="A151" s="178" t="s">
        <v>350</v>
      </c>
      <c r="B151" s="178" t="s">
        <v>690</v>
      </c>
      <c r="C151" s="178" t="s">
        <v>317</v>
      </c>
      <c r="D151" s="178" t="s">
        <v>691</v>
      </c>
      <c r="E151">
        <v>1740</v>
      </c>
      <c r="F151">
        <v>261.01</v>
      </c>
      <c r="G151">
        <v>2001.01</v>
      </c>
    </row>
    <row r="152" spans="1:7" x14ac:dyDescent="0.35">
      <c r="A152" s="178" t="s">
        <v>532</v>
      </c>
      <c r="B152" s="178" t="s">
        <v>692</v>
      </c>
      <c r="C152" s="178" t="s">
        <v>317</v>
      </c>
      <c r="D152" s="178" t="s">
        <v>57</v>
      </c>
      <c r="E152">
        <v>1422.7</v>
      </c>
      <c r="F152">
        <v>213.41</v>
      </c>
      <c r="G152">
        <v>1636.11</v>
      </c>
    </row>
    <row r="153" spans="1:7" x14ac:dyDescent="0.35">
      <c r="A153" s="178" t="s">
        <v>454</v>
      </c>
      <c r="B153" s="178" t="s">
        <v>693</v>
      </c>
      <c r="C153" s="178" t="s">
        <v>317</v>
      </c>
      <c r="D153" s="178" t="s">
        <v>694</v>
      </c>
      <c r="E153">
        <v>1174.5</v>
      </c>
      <c r="F153">
        <v>176.18</v>
      </c>
      <c r="G153">
        <v>1350.68</v>
      </c>
    </row>
    <row r="154" spans="1:7" x14ac:dyDescent="0.35">
      <c r="A154" s="178" t="s">
        <v>695</v>
      </c>
      <c r="B154" s="178" t="s">
        <v>696</v>
      </c>
      <c r="C154" s="178" t="s">
        <v>317</v>
      </c>
      <c r="D154" s="178" t="s">
        <v>697</v>
      </c>
      <c r="E154">
        <v>1269.5999999999999</v>
      </c>
      <c r="F154">
        <v>190.44</v>
      </c>
      <c r="G154">
        <v>1460.04</v>
      </c>
    </row>
    <row r="155" spans="1:7" x14ac:dyDescent="0.35">
      <c r="A155" s="178" t="s">
        <v>532</v>
      </c>
      <c r="B155" s="178" t="s">
        <v>698</v>
      </c>
      <c r="C155" s="178" t="s">
        <v>317</v>
      </c>
      <c r="D155" s="178" t="s">
        <v>57</v>
      </c>
      <c r="E155">
        <v>668.3</v>
      </c>
      <c r="F155">
        <v>100.25</v>
      </c>
      <c r="G155">
        <v>768.55</v>
      </c>
    </row>
    <row r="156" spans="1:7" x14ac:dyDescent="0.35">
      <c r="A156" s="178" t="s">
        <v>699</v>
      </c>
      <c r="B156" s="178" t="s">
        <v>700</v>
      </c>
      <c r="C156" s="178" t="s">
        <v>317</v>
      </c>
      <c r="D156" s="178" t="s">
        <v>57</v>
      </c>
      <c r="E156">
        <v>4808</v>
      </c>
      <c r="F156">
        <v>721.2</v>
      </c>
      <c r="G156">
        <v>5529.2</v>
      </c>
    </row>
    <row r="157" spans="1:7" x14ac:dyDescent="0.35">
      <c r="A157" s="178" t="s">
        <v>701</v>
      </c>
      <c r="B157" s="178" t="s">
        <v>702</v>
      </c>
      <c r="C157" s="178" t="s">
        <v>317</v>
      </c>
      <c r="D157" s="178" t="s">
        <v>57</v>
      </c>
      <c r="E157">
        <v>3824.8</v>
      </c>
      <c r="F157">
        <v>573.72</v>
      </c>
      <c r="G157">
        <v>4398.5200000000004</v>
      </c>
    </row>
    <row r="158" spans="1:7" x14ac:dyDescent="0.35">
      <c r="A158" s="178" t="s">
        <v>703</v>
      </c>
      <c r="B158" s="178" t="s">
        <v>704</v>
      </c>
      <c r="C158" s="178" t="s">
        <v>317</v>
      </c>
      <c r="D158" s="178" t="s">
        <v>705</v>
      </c>
      <c r="E158">
        <v>1107.8</v>
      </c>
      <c r="F158">
        <v>166.17</v>
      </c>
      <c r="G158">
        <v>1273.97</v>
      </c>
    </row>
    <row r="159" spans="1:7" x14ac:dyDescent="0.35">
      <c r="A159" s="178" t="s">
        <v>706</v>
      </c>
      <c r="B159" s="178" t="s">
        <v>707</v>
      </c>
      <c r="C159" s="178" t="s">
        <v>317</v>
      </c>
      <c r="D159" s="178" t="s">
        <v>57</v>
      </c>
      <c r="E159">
        <v>1335</v>
      </c>
      <c r="F159">
        <v>200.25</v>
      </c>
      <c r="G159">
        <v>1535.25</v>
      </c>
    </row>
    <row r="160" spans="1:7" x14ac:dyDescent="0.35">
      <c r="A160" s="178" t="s">
        <v>591</v>
      </c>
      <c r="B160" s="178" t="s">
        <v>708</v>
      </c>
      <c r="C160" s="178" t="s">
        <v>317</v>
      </c>
      <c r="D160" s="178" t="s">
        <v>57</v>
      </c>
      <c r="E160">
        <v>4177.7700000000004</v>
      </c>
      <c r="F160">
        <v>626.66999999999996</v>
      </c>
      <c r="G160">
        <v>4804.4399999999996</v>
      </c>
    </row>
    <row r="161" spans="1:7" x14ac:dyDescent="0.35">
      <c r="A161" s="178" t="s">
        <v>709</v>
      </c>
      <c r="B161" s="178" t="s">
        <v>710</v>
      </c>
      <c r="C161" s="178" t="s">
        <v>317</v>
      </c>
      <c r="D161" s="178" t="s">
        <v>57</v>
      </c>
      <c r="E161">
        <v>4601.1000000000004</v>
      </c>
      <c r="F161">
        <v>690.17</v>
      </c>
      <c r="G161">
        <v>5291.27</v>
      </c>
    </row>
    <row r="162" spans="1:7" x14ac:dyDescent="0.35">
      <c r="A162" s="178" t="s">
        <v>711</v>
      </c>
      <c r="B162" s="178" t="s">
        <v>712</v>
      </c>
      <c r="C162" s="178" t="s">
        <v>317</v>
      </c>
      <c r="D162" s="178" t="s">
        <v>57</v>
      </c>
      <c r="E162">
        <v>7600.6</v>
      </c>
      <c r="F162">
        <v>1140.0999999999999</v>
      </c>
      <c r="G162">
        <v>8740.7000000000007</v>
      </c>
    </row>
    <row r="163" spans="1:7" x14ac:dyDescent="0.35">
      <c r="A163" s="178" t="s">
        <v>713</v>
      </c>
      <c r="B163" s="178" t="s">
        <v>714</v>
      </c>
      <c r="C163" s="178" t="s">
        <v>317</v>
      </c>
      <c r="D163" s="178" t="s">
        <v>57</v>
      </c>
      <c r="E163">
        <v>6697.65</v>
      </c>
      <c r="F163">
        <v>1004.66</v>
      </c>
      <c r="G163">
        <v>7702.31</v>
      </c>
    </row>
    <row r="164" spans="1:7" x14ac:dyDescent="0.35">
      <c r="A164" s="178" t="s">
        <v>715</v>
      </c>
      <c r="B164" s="178" t="s">
        <v>716</v>
      </c>
      <c r="C164" s="178" t="s">
        <v>317</v>
      </c>
      <c r="D164" s="178" t="s">
        <v>57</v>
      </c>
      <c r="E164">
        <v>7161</v>
      </c>
      <c r="F164">
        <v>1074.1500000000001</v>
      </c>
      <c r="G164">
        <v>8235.15</v>
      </c>
    </row>
    <row r="165" spans="1:7" x14ac:dyDescent="0.35">
      <c r="A165" s="178" t="s">
        <v>717</v>
      </c>
      <c r="B165" s="178" t="s">
        <v>718</v>
      </c>
      <c r="C165" s="178" t="s">
        <v>317</v>
      </c>
      <c r="D165" s="178" t="s">
        <v>57</v>
      </c>
      <c r="E165">
        <v>1176</v>
      </c>
      <c r="F165">
        <v>176.4</v>
      </c>
      <c r="G165">
        <v>1352.4</v>
      </c>
    </row>
    <row r="166" spans="1:7" x14ac:dyDescent="0.35">
      <c r="A166" s="178" t="s">
        <v>719</v>
      </c>
      <c r="B166" s="178" t="s">
        <v>720</v>
      </c>
      <c r="C166" s="178" t="s">
        <v>317</v>
      </c>
      <c r="D166" s="178" t="s">
        <v>721</v>
      </c>
      <c r="E166">
        <v>3674.79</v>
      </c>
      <c r="F166">
        <v>551.22</v>
      </c>
      <c r="G166">
        <v>4226.01</v>
      </c>
    </row>
    <row r="167" spans="1:7" x14ac:dyDescent="0.35">
      <c r="A167" s="178" t="s">
        <v>722</v>
      </c>
      <c r="B167" s="178" t="s">
        <v>723</v>
      </c>
      <c r="C167" s="178" t="s">
        <v>317</v>
      </c>
      <c r="D167" s="178" t="s">
        <v>57</v>
      </c>
      <c r="E167">
        <v>3506.75</v>
      </c>
      <c r="F167">
        <v>526.02</v>
      </c>
      <c r="G167">
        <v>4032.77</v>
      </c>
    </row>
    <row r="168" spans="1:7" x14ac:dyDescent="0.35">
      <c r="A168" s="178" t="s">
        <v>724</v>
      </c>
      <c r="B168" s="178" t="s">
        <v>725</v>
      </c>
      <c r="C168" s="178" t="s">
        <v>317</v>
      </c>
      <c r="D168" s="178" t="s">
        <v>57</v>
      </c>
      <c r="E168">
        <v>44675.3</v>
      </c>
      <c r="F168">
        <v>6701.3</v>
      </c>
      <c r="G168">
        <v>51376.6</v>
      </c>
    </row>
    <row r="169" spans="1:7" x14ac:dyDescent="0.35">
      <c r="A169" s="178" t="s">
        <v>726</v>
      </c>
      <c r="B169" s="178" t="s">
        <v>727</v>
      </c>
      <c r="C169" s="178" t="s">
        <v>317</v>
      </c>
      <c r="D169" s="178" t="s">
        <v>57</v>
      </c>
      <c r="E169">
        <v>1755.54</v>
      </c>
      <c r="F169">
        <v>263.33999999999997</v>
      </c>
      <c r="G169">
        <v>2018.88</v>
      </c>
    </row>
    <row r="170" spans="1:7" x14ac:dyDescent="0.35">
      <c r="A170" s="178" t="s">
        <v>347</v>
      </c>
      <c r="B170" s="178" t="s">
        <v>728</v>
      </c>
      <c r="C170" s="178" t="s">
        <v>317</v>
      </c>
      <c r="D170" s="178" t="s">
        <v>57</v>
      </c>
      <c r="E170">
        <v>34072.300000000003</v>
      </c>
      <c r="F170">
        <v>5110.8500000000004</v>
      </c>
      <c r="G170">
        <v>39183.15</v>
      </c>
    </row>
    <row r="171" spans="1:7" x14ac:dyDescent="0.35">
      <c r="A171" s="178" t="s">
        <v>729</v>
      </c>
      <c r="B171" s="178" t="s">
        <v>730</v>
      </c>
      <c r="C171" s="178" t="s">
        <v>317</v>
      </c>
      <c r="D171" s="178" t="s">
        <v>57</v>
      </c>
      <c r="E171">
        <v>1458.75</v>
      </c>
      <c r="F171">
        <v>218.81</v>
      </c>
      <c r="G171">
        <v>1677.56</v>
      </c>
    </row>
    <row r="172" spans="1:7" x14ac:dyDescent="0.35">
      <c r="A172" s="178" t="s">
        <v>731</v>
      </c>
      <c r="B172" s="178" t="s">
        <v>732</v>
      </c>
      <c r="C172" s="178" t="s">
        <v>317</v>
      </c>
      <c r="D172" s="178" t="s">
        <v>57</v>
      </c>
      <c r="E172">
        <v>3047.5</v>
      </c>
      <c r="F172">
        <v>457.13</v>
      </c>
      <c r="G172">
        <v>3504.63</v>
      </c>
    </row>
    <row r="173" spans="1:7" x14ac:dyDescent="0.35">
      <c r="A173" s="178" t="s">
        <v>733</v>
      </c>
      <c r="B173" s="178" t="s">
        <v>734</v>
      </c>
      <c r="C173" s="178" t="s">
        <v>317</v>
      </c>
      <c r="D173" s="178" t="s">
        <v>735</v>
      </c>
      <c r="E173">
        <v>809.75</v>
      </c>
      <c r="F173">
        <v>121.46</v>
      </c>
      <c r="G173">
        <v>931.21</v>
      </c>
    </row>
    <row r="174" spans="1:7" x14ac:dyDescent="0.35">
      <c r="A174" s="178" t="s">
        <v>736</v>
      </c>
      <c r="B174" s="178" t="s">
        <v>737</v>
      </c>
      <c r="C174" s="178" t="s">
        <v>317</v>
      </c>
      <c r="D174" s="178" t="s">
        <v>57</v>
      </c>
      <c r="E174">
        <v>2219.4</v>
      </c>
      <c r="F174">
        <v>332.91</v>
      </c>
      <c r="G174">
        <v>2552.31</v>
      </c>
    </row>
    <row r="175" spans="1:7" x14ac:dyDescent="0.35">
      <c r="A175" s="178" t="s">
        <v>738</v>
      </c>
      <c r="B175" s="178" t="s">
        <v>739</v>
      </c>
      <c r="C175" s="178" t="s">
        <v>317</v>
      </c>
      <c r="D175" s="178" t="s">
        <v>57</v>
      </c>
      <c r="E175">
        <v>66565.75</v>
      </c>
      <c r="F175">
        <v>9984.8700000000008</v>
      </c>
      <c r="G175">
        <v>76550.62</v>
      </c>
    </row>
    <row r="176" spans="1:7" x14ac:dyDescent="0.35">
      <c r="A176" s="178" t="s">
        <v>740</v>
      </c>
      <c r="B176" s="178" t="s">
        <v>741</v>
      </c>
      <c r="C176" s="178" t="s">
        <v>317</v>
      </c>
      <c r="D176" s="178" t="s">
        <v>57</v>
      </c>
      <c r="E176">
        <v>4102</v>
      </c>
      <c r="F176">
        <v>615.29999999999995</v>
      </c>
      <c r="G176">
        <v>4717.3</v>
      </c>
    </row>
    <row r="177" spans="1:7" x14ac:dyDescent="0.35">
      <c r="A177" s="178" t="s">
        <v>394</v>
      </c>
      <c r="B177" s="178" t="s">
        <v>742</v>
      </c>
      <c r="C177" s="178" t="s">
        <v>317</v>
      </c>
      <c r="D177" s="178" t="s">
        <v>57</v>
      </c>
      <c r="E177">
        <v>3850.35</v>
      </c>
      <c r="F177">
        <v>577.55999999999995</v>
      </c>
      <c r="G177">
        <v>4427.91</v>
      </c>
    </row>
    <row r="178" spans="1:7" x14ac:dyDescent="0.35">
      <c r="A178" s="178" t="s">
        <v>743</v>
      </c>
      <c r="B178" s="178" t="s">
        <v>744</v>
      </c>
      <c r="C178" s="178" t="s">
        <v>317</v>
      </c>
      <c r="D178" s="178" t="s">
        <v>57</v>
      </c>
      <c r="E178">
        <v>16549.5</v>
      </c>
      <c r="F178">
        <v>2482.44</v>
      </c>
      <c r="G178">
        <v>19031.939999999999</v>
      </c>
    </row>
    <row r="179" spans="1:7" x14ac:dyDescent="0.35">
      <c r="A179" s="178" t="s">
        <v>323</v>
      </c>
      <c r="B179" s="178" t="s">
        <v>745</v>
      </c>
      <c r="C179" s="178" t="s">
        <v>317</v>
      </c>
      <c r="D179" s="178" t="s">
        <v>57</v>
      </c>
      <c r="E179">
        <v>919.41</v>
      </c>
      <c r="F179">
        <v>137.91</v>
      </c>
      <c r="G179">
        <v>1057.32</v>
      </c>
    </row>
    <row r="180" spans="1:7" x14ac:dyDescent="0.35">
      <c r="A180" s="178" t="s">
        <v>746</v>
      </c>
      <c r="B180" s="178" t="s">
        <v>747</v>
      </c>
      <c r="C180" s="178" t="s">
        <v>317</v>
      </c>
      <c r="D180" s="178" t="s">
        <v>57</v>
      </c>
      <c r="E180">
        <v>18330</v>
      </c>
      <c r="F180">
        <v>2749.5</v>
      </c>
      <c r="G180">
        <v>21079.5</v>
      </c>
    </row>
    <row r="181" spans="1:7" x14ac:dyDescent="0.35">
      <c r="A181" s="178" t="s">
        <v>748</v>
      </c>
      <c r="B181" s="178" t="s">
        <v>749</v>
      </c>
      <c r="C181" s="178" t="s">
        <v>317</v>
      </c>
      <c r="D181" s="178" t="s">
        <v>57</v>
      </c>
      <c r="E181">
        <v>1745.8</v>
      </c>
      <c r="F181">
        <v>261.88</v>
      </c>
      <c r="G181">
        <v>2007.68</v>
      </c>
    </row>
    <row r="182" spans="1:7" x14ac:dyDescent="0.35">
      <c r="A182" s="178" t="s">
        <v>750</v>
      </c>
      <c r="B182" s="178" t="s">
        <v>751</v>
      </c>
      <c r="C182" s="178" t="s">
        <v>317</v>
      </c>
      <c r="D182" s="178" t="s">
        <v>57</v>
      </c>
      <c r="E182">
        <v>4425.2</v>
      </c>
      <c r="F182">
        <v>663.78</v>
      </c>
      <c r="G182">
        <v>5088.9799999999996</v>
      </c>
    </row>
    <row r="183" spans="1:7" x14ac:dyDescent="0.35">
      <c r="A183" s="178" t="s">
        <v>451</v>
      </c>
      <c r="B183" s="178" t="s">
        <v>752</v>
      </c>
      <c r="C183" s="178" t="s">
        <v>317</v>
      </c>
      <c r="D183">
        <v>35645</v>
      </c>
      <c r="E183">
        <v>4348.8</v>
      </c>
      <c r="F183">
        <v>652.32000000000005</v>
      </c>
      <c r="G183">
        <v>5001.12</v>
      </c>
    </row>
    <row r="184" spans="1:7" x14ac:dyDescent="0.35">
      <c r="A184" s="178" t="s">
        <v>753</v>
      </c>
      <c r="B184" s="178" t="s">
        <v>754</v>
      </c>
      <c r="C184" s="178" t="s">
        <v>317</v>
      </c>
      <c r="D184">
        <v>26321</v>
      </c>
      <c r="E184">
        <v>8397.85</v>
      </c>
      <c r="F184">
        <v>1259.68</v>
      </c>
      <c r="G184">
        <v>9657.5300000000007</v>
      </c>
    </row>
    <row r="185" spans="1:7" x14ac:dyDescent="0.35">
      <c r="A185" s="178" t="s">
        <v>755</v>
      </c>
      <c r="B185" s="178" t="s">
        <v>756</v>
      </c>
      <c r="C185" s="178" t="s">
        <v>321</v>
      </c>
      <c r="D185" s="178" t="s">
        <v>57</v>
      </c>
      <c r="E185">
        <v>22955</v>
      </c>
      <c r="F185">
        <v>3443.26</v>
      </c>
      <c r="G185">
        <v>26398.26</v>
      </c>
    </row>
    <row r="186" spans="1:7" x14ac:dyDescent="0.35">
      <c r="A186" s="178" t="s">
        <v>757</v>
      </c>
      <c r="B186" s="178" t="s">
        <v>758</v>
      </c>
      <c r="C186" s="178" t="s">
        <v>321</v>
      </c>
      <c r="D186">
        <v>11905</v>
      </c>
      <c r="E186">
        <v>20118.150000000001</v>
      </c>
      <c r="F186">
        <v>3017.72</v>
      </c>
      <c r="G186">
        <v>23135.87</v>
      </c>
    </row>
    <row r="187" spans="1:7" x14ac:dyDescent="0.35">
      <c r="A187" s="178" t="s">
        <v>757</v>
      </c>
      <c r="B187" s="178" t="s">
        <v>759</v>
      </c>
      <c r="C187" s="178" t="s">
        <v>321</v>
      </c>
      <c r="D187">
        <v>11904</v>
      </c>
      <c r="E187">
        <v>5651.55</v>
      </c>
      <c r="F187">
        <v>847.73</v>
      </c>
      <c r="G187">
        <v>6499.28</v>
      </c>
    </row>
    <row r="188" spans="1:7" x14ac:dyDescent="0.35">
      <c r="A188" s="178" t="s">
        <v>760</v>
      </c>
      <c r="B188" s="178" t="s">
        <v>761</v>
      </c>
      <c r="C188" s="178" t="s">
        <v>321</v>
      </c>
      <c r="D188" s="178" t="s">
        <v>762</v>
      </c>
      <c r="E188">
        <v>1517</v>
      </c>
      <c r="F188">
        <v>227.55</v>
      </c>
      <c r="G188">
        <v>1744.55</v>
      </c>
    </row>
    <row r="189" spans="1:7" x14ac:dyDescent="0.35">
      <c r="A189" s="178" t="s">
        <v>341</v>
      </c>
      <c r="B189" s="178" t="s">
        <v>763</v>
      </c>
      <c r="C189" s="178" t="s">
        <v>321</v>
      </c>
      <c r="D189" s="178" t="s">
        <v>764</v>
      </c>
      <c r="E189">
        <v>1336.2</v>
      </c>
      <c r="F189">
        <v>200.43</v>
      </c>
      <c r="G189">
        <v>1536.63</v>
      </c>
    </row>
    <row r="190" spans="1:7" x14ac:dyDescent="0.35">
      <c r="A190" s="178" t="s">
        <v>397</v>
      </c>
      <c r="B190" s="178" t="s">
        <v>765</v>
      </c>
      <c r="C190" s="178" t="s">
        <v>321</v>
      </c>
      <c r="D190" s="178" t="s">
        <v>57</v>
      </c>
      <c r="E190">
        <v>1364.4</v>
      </c>
      <c r="F190">
        <v>204.66</v>
      </c>
      <c r="G190">
        <v>1569.06</v>
      </c>
    </row>
    <row r="191" spans="1:7" x14ac:dyDescent="0.35">
      <c r="A191" s="178" t="s">
        <v>326</v>
      </c>
      <c r="B191" s="178" t="s">
        <v>766</v>
      </c>
      <c r="C191" s="178" t="s">
        <v>321</v>
      </c>
      <c r="D191" s="178" t="s">
        <v>57</v>
      </c>
      <c r="E191">
        <v>9911</v>
      </c>
      <c r="F191">
        <v>1486.65</v>
      </c>
      <c r="G191">
        <v>11397.65</v>
      </c>
    </row>
    <row r="192" spans="1:7" x14ac:dyDescent="0.35">
      <c r="A192" s="178" t="s">
        <v>532</v>
      </c>
      <c r="B192" s="178" t="s">
        <v>767</v>
      </c>
      <c r="C192" s="178" t="s">
        <v>321</v>
      </c>
      <c r="D192" s="178" t="s">
        <v>57</v>
      </c>
      <c r="E192">
        <v>1389.9</v>
      </c>
      <c r="F192">
        <v>208.49</v>
      </c>
      <c r="G192">
        <v>1598.39</v>
      </c>
    </row>
    <row r="193" spans="1:7" x14ac:dyDescent="0.35">
      <c r="A193" s="178" t="s">
        <v>360</v>
      </c>
      <c r="B193" s="178" t="s">
        <v>768</v>
      </c>
      <c r="C193" s="178" t="s">
        <v>321</v>
      </c>
      <c r="D193" s="178" t="s">
        <v>769</v>
      </c>
      <c r="E193">
        <v>2763.9</v>
      </c>
      <c r="F193">
        <v>414.59</v>
      </c>
      <c r="G193">
        <v>3178.49</v>
      </c>
    </row>
    <row r="194" spans="1:7" x14ac:dyDescent="0.35">
      <c r="A194" s="178" t="s">
        <v>770</v>
      </c>
      <c r="B194" s="178" t="s">
        <v>771</v>
      </c>
      <c r="C194" s="178" t="s">
        <v>321</v>
      </c>
      <c r="D194" s="178" t="s">
        <v>772</v>
      </c>
      <c r="E194">
        <v>1766.25</v>
      </c>
      <c r="F194">
        <v>264.94</v>
      </c>
      <c r="G194">
        <v>2031.19</v>
      </c>
    </row>
    <row r="195" spans="1:7" x14ac:dyDescent="0.35">
      <c r="A195" s="178" t="s">
        <v>319</v>
      </c>
      <c r="B195" s="178" t="s">
        <v>773</v>
      </c>
      <c r="C195" s="178" t="s">
        <v>321</v>
      </c>
      <c r="D195" s="178" t="s">
        <v>57</v>
      </c>
      <c r="E195">
        <v>33484.800000000003</v>
      </c>
      <c r="F195">
        <v>5022.72</v>
      </c>
      <c r="G195">
        <v>38507.519999999997</v>
      </c>
    </row>
    <row r="196" spans="1:7" x14ac:dyDescent="0.35">
      <c r="A196" s="178" t="s">
        <v>683</v>
      </c>
      <c r="B196" s="178" t="s">
        <v>774</v>
      </c>
      <c r="C196" s="178" t="s">
        <v>321</v>
      </c>
      <c r="D196" s="178" t="s">
        <v>57</v>
      </c>
      <c r="E196">
        <v>2998.8</v>
      </c>
      <c r="F196">
        <v>449.82</v>
      </c>
      <c r="G196">
        <v>3448.62</v>
      </c>
    </row>
    <row r="197" spans="1:7" x14ac:dyDescent="0.35">
      <c r="A197" s="178" t="s">
        <v>775</v>
      </c>
      <c r="B197" s="178" t="s">
        <v>776</v>
      </c>
      <c r="C197" s="178" t="s">
        <v>321</v>
      </c>
      <c r="D197" s="178" t="s">
        <v>57</v>
      </c>
      <c r="E197">
        <v>3926.3</v>
      </c>
      <c r="F197">
        <v>588.95000000000005</v>
      </c>
      <c r="G197">
        <v>4515.25</v>
      </c>
    </row>
    <row r="198" spans="1:7" x14ac:dyDescent="0.35">
      <c r="A198" s="178" t="s">
        <v>383</v>
      </c>
      <c r="B198" s="178" t="s">
        <v>777</v>
      </c>
      <c r="C198" s="178" t="s">
        <v>321</v>
      </c>
      <c r="D198" s="178" t="s">
        <v>57</v>
      </c>
      <c r="E198">
        <v>1366.7</v>
      </c>
      <c r="F198">
        <v>205.01</v>
      </c>
      <c r="G198">
        <v>1571.71</v>
      </c>
    </row>
    <row r="199" spans="1:7" x14ac:dyDescent="0.35">
      <c r="A199" s="178" t="s">
        <v>335</v>
      </c>
      <c r="B199" s="178" t="s">
        <v>778</v>
      </c>
      <c r="C199" s="178" t="s">
        <v>321</v>
      </c>
      <c r="D199" s="178" t="s">
        <v>57</v>
      </c>
      <c r="E199">
        <v>3000</v>
      </c>
      <c r="F199">
        <v>450</v>
      </c>
      <c r="G199">
        <v>3450</v>
      </c>
    </row>
    <row r="200" spans="1:7" x14ac:dyDescent="0.35">
      <c r="A200" s="178" t="s">
        <v>357</v>
      </c>
      <c r="B200" s="178" t="s">
        <v>779</v>
      </c>
      <c r="C200" s="178" t="s">
        <v>321</v>
      </c>
      <c r="D200" s="178" t="s">
        <v>57</v>
      </c>
      <c r="E200">
        <v>6322.8</v>
      </c>
      <c r="F200">
        <v>948.42</v>
      </c>
      <c r="G200">
        <v>7271.22</v>
      </c>
    </row>
    <row r="201" spans="1:7" x14ac:dyDescent="0.35">
      <c r="A201" s="178" t="s">
        <v>780</v>
      </c>
      <c r="B201" s="178" t="s">
        <v>781</v>
      </c>
      <c r="C201" s="178" t="s">
        <v>321</v>
      </c>
      <c r="D201" s="178" t="s">
        <v>57</v>
      </c>
      <c r="E201">
        <v>2820.85</v>
      </c>
      <c r="F201">
        <v>423.13</v>
      </c>
      <c r="G201">
        <v>3243.98</v>
      </c>
    </row>
    <row r="202" spans="1:7" x14ac:dyDescent="0.35">
      <c r="A202" s="178" t="s">
        <v>403</v>
      </c>
      <c r="B202" s="178" t="s">
        <v>782</v>
      </c>
      <c r="C202" s="178" t="s">
        <v>321</v>
      </c>
      <c r="D202" s="178" t="s">
        <v>57</v>
      </c>
      <c r="E202">
        <v>2009</v>
      </c>
      <c r="F202">
        <v>301.35000000000002</v>
      </c>
      <c r="G202">
        <v>2310.35</v>
      </c>
    </row>
    <row r="203" spans="1:7" x14ac:dyDescent="0.35">
      <c r="A203" s="178" t="s">
        <v>454</v>
      </c>
      <c r="B203" s="178" t="s">
        <v>783</v>
      </c>
      <c r="C203" s="178" t="s">
        <v>321</v>
      </c>
      <c r="D203" s="178" t="s">
        <v>57</v>
      </c>
      <c r="E203">
        <v>550</v>
      </c>
      <c r="F203">
        <v>82.5</v>
      </c>
      <c r="G203">
        <v>632.5</v>
      </c>
    </row>
    <row r="204" spans="1:7" x14ac:dyDescent="0.35">
      <c r="A204" s="178" t="s">
        <v>679</v>
      </c>
      <c r="B204" s="178" t="s">
        <v>784</v>
      </c>
      <c r="C204" s="178" t="s">
        <v>321</v>
      </c>
      <c r="D204" s="178" t="s">
        <v>57</v>
      </c>
      <c r="E204">
        <v>1285.0999999999999</v>
      </c>
      <c r="F204">
        <v>192.77</v>
      </c>
      <c r="G204">
        <v>1477.87</v>
      </c>
    </row>
    <row r="205" spans="1:7" x14ac:dyDescent="0.35">
      <c r="A205" s="178" t="s">
        <v>785</v>
      </c>
      <c r="B205" s="178" t="s">
        <v>786</v>
      </c>
      <c r="C205" s="178" t="s">
        <v>321</v>
      </c>
      <c r="D205" s="178" t="s">
        <v>57</v>
      </c>
      <c r="E205">
        <v>774.2</v>
      </c>
      <c r="F205">
        <v>116.13</v>
      </c>
      <c r="G205">
        <v>890.33</v>
      </c>
    </row>
    <row r="206" spans="1:7" x14ac:dyDescent="0.35">
      <c r="A206" s="178" t="s">
        <v>329</v>
      </c>
      <c r="B206" s="178" t="s">
        <v>787</v>
      </c>
      <c r="C206" s="178" t="s">
        <v>321</v>
      </c>
      <c r="D206" s="178" t="s">
        <v>57</v>
      </c>
      <c r="E206">
        <v>1646.5</v>
      </c>
      <c r="F206">
        <v>246.98</v>
      </c>
      <c r="G206">
        <v>1893.48</v>
      </c>
    </row>
    <row r="207" spans="1:7" x14ac:dyDescent="0.35">
      <c r="A207" s="178" t="s">
        <v>788</v>
      </c>
      <c r="B207" s="178" t="s">
        <v>789</v>
      </c>
      <c r="C207" s="178" t="s">
        <v>321</v>
      </c>
      <c r="D207" s="178" t="s">
        <v>57</v>
      </c>
      <c r="E207">
        <v>6392.45</v>
      </c>
      <c r="F207">
        <v>958.87</v>
      </c>
      <c r="G207">
        <v>7351.32</v>
      </c>
    </row>
    <row r="208" spans="1:7" x14ac:dyDescent="0.35">
      <c r="A208" s="178" t="s">
        <v>790</v>
      </c>
      <c r="B208" s="178" t="s">
        <v>791</v>
      </c>
      <c r="C208" s="178" t="s">
        <v>321</v>
      </c>
      <c r="D208" s="178" t="s">
        <v>57</v>
      </c>
      <c r="E208">
        <v>1124.5</v>
      </c>
      <c r="F208">
        <v>168.68</v>
      </c>
      <c r="G208">
        <v>1293.18</v>
      </c>
    </row>
    <row r="209" spans="1:7" x14ac:dyDescent="0.35">
      <c r="A209" s="178" t="s">
        <v>499</v>
      </c>
      <c r="B209" s="178" t="s">
        <v>792</v>
      </c>
      <c r="C209" s="178" t="s">
        <v>321</v>
      </c>
      <c r="D209" s="178" t="s">
        <v>57</v>
      </c>
      <c r="E209">
        <v>4951.3</v>
      </c>
      <c r="F209">
        <v>742.7</v>
      </c>
      <c r="G209">
        <v>5694</v>
      </c>
    </row>
    <row r="210" spans="1:7" x14ac:dyDescent="0.35">
      <c r="A210" s="178" t="s">
        <v>793</v>
      </c>
      <c r="B210" s="178" t="s">
        <v>794</v>
      </c>
      <c r="C210" s="178" t="s">
        <v>321</v>
      </c>
      <c r="D210" s="178" t="s">
        <v>57</v>
      </c>
      <c r="E210">
        <v>1667</v>
      </c>
      <c r="F210">
        <v>250.05</v>
      </c>
      <c r="G210">
        <v>1917.05</v>
      </c>
    </row>
    <row r="211" spans="1:7" x14ac:dyDescent="0.35">
      <c r="A211" s="178" t="s">
        <v>795</v>
      </c>
      <c r="B211" s="178" t="s">
        <v>796</v>
      </c>
      <c r="C211" s="178" t="s">
        <v>321</v>
      </c>
      <c r="D211" s="178" t="s">
        <v>57</v>
      </c>
      <c r="E211">
        <v>542.79999999999995</v>
      </c>
      <c r="F211">
        <v>81.42</v>
      </c>
      <c r="G211">
        <v>624.22</v>
      </c>
    </row>
    <row r="212" spans="1:7" x14ac:dyDescent="0.35">
      <c r="A212" s="178" t="s">
        <v>478</v>
      </c>
      <c r="B212" s="178" t="s">
        <v>797</v>
      </c>
      <c r="C212" s="178" t="s">
        <v>321</v>
      </c>
      <c r="D212" s="178" t="s">
        <v>57</v>
      </c>
      <c r="E212">
        <v>3872</v>
      </c>
      <c r="F212">
        <v>580.79999999999995</v>
      </c>
      <c r="G212">
        <v>4452.8</v>
      </c>
    </row>
    <row r="213" spans="1:7" x14ac:dyDescent="0.35">
      <c r="A213" s="178" t="s">
        <v>798</v>
      </c>
      <c r="B213" s="178" t="s">
        <v>799</v>
      </c>
      <c r="C213" s="178" t="s">
        <v>321</v>
      </c>
      <c r="D213" s="178" t="s">
        <v>57</v>
      </c>
      <c r="E213">
        <v>2111.15</v>
      </c>
      <c r="F213">
        <v>316.68</v>
      </c>
      <c r="G213">
        <v>2427.83</v>
      </c>
    </row>
    <row r="214" spans="1:7" x14ac:dyDescent="0.35">
      <c r="A214" s="178" t="s">
        <v>800</v>
      </c>
      <c r="B214" s="178" t="s">
        <v>801</v>
      </c>
      <c r="C214" s="178" t="s">
        <v>321</v>
      </c>
      <c r="D214" s="178" t="s">
        <v>57</v>
      </c>
      <c r="E214">
        <v>2458.67</v>
      </c>
      <c r="F214">
        <v>368.8</v>
      </c>
      <c r="G214">
        <v>2827.47</v>
      </c>
    </row>
    <row r="215" spans="1:7" x14ac:dyDescent="0.35">
      <c r="A215" s="178" t="s">
        <v>802</v>
      </c>
      <c r="B215" s="178" t="s">
        <v>803</v>
      </c>
      <c r="C215" s="178" t="s">
        <v>321</v>
      </c>
      <c r="D215" s="178" t="s">
        <v>57</v>
      </c>
      <c r="E215">
        <v>2026.35</v>
      </c>
      <c r="F215">
        <v>303.95</v>
      </c>
      <c r="G215">
        <v>2330.3000000000002</v>
      </c>
    </row>
    <row r="216" spans="1:7" x14ac:dyDescent="0.35">
      <c r="A216" s="178" t="s">
        <v>804</v>
      </c>
      <c r="B216" s="178" t="s">
        <v>805</v>
      </c>
      <c r="C216" s="178" t="s">
        <v>321</v>
      </c>
      <c r="D216" s="178" t="s">
        <v>57</v>
      </c>
      <c r="E216">
        <v>32055.35</v>
      </c>
      <c r="F216">
        <v>4808.3</v>
      </c>
      <c r="G216">
        <v>36863.65</v>
      </c>
    </row>
    <row r="217" spans="1:7" x14ac:dyDescent="0.35">
      <c r="A217" s="178" t="s">
        <v>369</v>
      </c>
      <c r="B217" s="178" t="s">
        <v>806</v>
      </c>
      <c r="C217" s="178" t="s">
        <v>321</v>
      </c>
      <c r="D217" s="178" t="s">
        <v>57</v>
      </c>
      <c r="E217">
        <v>26268.7</v>
      </c>
      <c r="F217">
        <v>3940.3</v>
      </c>
      <c r="G217">
        <v>30209</v>
      </c>
    </row>
    <row r="218" spans="1:7" x14ac:dyDescent="0.35">
      <c r="A218" s="178" t="s">
        <v>807</v>
      </c>
      <c r="B218" s="178" t="s">
        <v>808</v>
      </c>
      <c r="C218" s="178" t="s">
        <v>321</v>
      </c>
      <c r="D218" s="178" t="s">
        <v>57</v>
      </c>
      <c r="E218">
        <v>639.1</v>
      </c>
      <c r="F218">
        <v>95.87</v>
      </c>
      <c r="G218">
        <v>734.97</v>
      </c>
    </row>
    <row r="219" spans="1:7" x14ac:dyDescent="0.35">
      <c r="A219" s="178" t="s">
        <v>353</v>
      </c>
      <c r="B219" s="178" t="s">
        <v>809</v>
      </c>
      <c r="C219" s="178" t="s">
        <v>321</v>
      </c>
      <c r="D219" s="178" t="s">
        <v>57</v>
      </c>
      <c r="E219">
        <v>3564</v>
      </c>
      <c r="F219">
        <v>534.6</v>
      </c>
      <c r="G219">
        <v>4098.6000000000004</v>
      </c>
    </row>
    <row r="220" spans="1:7" x14ac:dyDescent="0.35">
      <c r="A220" s="178" t="s">
        <v>681</v>
      </c>
      <c r="B220" s="178" t="s">
        <v>810</v>
      </c>
      <c r="C220" s="178" t="s">
        <v>321</v>
      </c>
      <c r="D220" s="178" t="s">
        <v>57</v>
      </c>
      <c r="E220">
        <v>19695.75</v>
      </c>
      <c r="F220">
        <v>2954.36</v>
      </c>
      <c r="G220">
        <v>22650.11</v>
      </c>
    </row>
    <row r="221" spans="1:7" x14ac:dyDescent="0.35">
      <c r="A221" s="178" t="s">
        <v>388</v>
      </c>
      <c r="B221" s="178" t="s">
        <v>811</v>
      </c>
      <c r="C221" s="178" t="s">
        <v>321</v>
      </c>
      <c r="D221" s="178" t="s">
        <v>57</v>
      </c>
      <c r="E221">
        <v>1610.7</v>
      </c>
      <c r="F221">
        <v>241.61</v>
      </c>
      <c r="G221">
        <v>1852.31</v>
      </c>
    </row>
    <row r="222" spans="1:7" x14ac:dyDescent="0.35">
      <c r="A222" s="178" t="s">
        <v>812</v>
      </c>
      <c r="B222" s="178" t="s">
        <v>813</v>
      </c>
      <c r="C222" s="178" t="s">
        <v>321</v>
      </c>
      <c r="D222" s="178" t="s">
        <v>57</v>
      </c>
      <c r="E222">
        <v>760</v>
      </c>
      <c r="F222">
        <v>114</v>
      </c>
      <c r="G222">
        <v>874</v>
      </c>
    </row>
    <row r="223" spans="1:7" x14ac:dyDescent="0.35">
      <c r="A223" s="178" t="s">
        <v>814</v>
      </c>
      <c r="B223" s="178" t="s">
        <v>815</v>
      </c>
      <c r="C223" s="178" t="s">
        <v>321</v>
      </c>
      <c r="D223" s="178" t="s">
        <v>57</v>
      </c>
      <c r="E223">
        <v>1291.05</v>
      </c>
      <c r="F223">
        <v>193.66</v>
      </c>
      <c r="G223">
        <v>1484.71</v>
      </c>
    </row>
    <row r="224" spans="1:7" x14ac:dyDescent="0.35">
      <c r="A224" s="178" t="s">
        <v>816</v>
      </c>
      <c r="B224" s="178" t="s">
        <v>817</v>
      </c>
      <c r="C224" s="178" t="s">
        <v>321</v>
      </c>
      <c r="D224" s="178" t="s">
        <v>818</v>
      </c>
      <c r="E224">
        <v>34253.9</v>
      </c>
      <c r="F224" s="178" t="s">
        <v>57</v>
      </c>
      <c r="G224">
        <v>34253.9</v>
      </c>
    </row>
    <row r="225" spans="1:7" x14ac:dyDescent="0.35">
      <c r="A225" s="178" t="s">
        <v>819</v>
      </c>
      <c r="B225" s="178" t="s">
        <v>820</v>
      </c>
      <c r="C225" s="178" t="s">
        <v>321</v>
      </c>
      <c r="D225" s="178" t="s">
        <v>57</v>
      </c>
      <c r="E225">
        <v>41097.949999999997</v>
      </c>
      <c r="F225">
        <v>6164.7</v>
      </c>
      <c r="G225">
        <v>47262.65</v>
      </c>
    </row>
    <row r="226" spans="1:7" x14ac:dyDescent="0.35">
      <c r="A226" s="178" t="s">
        <v>821</v>
      </c>
      <c r="B226" s="178" t="s">
        <v>822</v>
      </c>
      <c r="C226" s="178" t="s">
        <v>321</v>
      </c>
      <c r="D226" s="178" t="s">
        <v>57</v>
      </c>
      <c r="E226">
        <v>838.5</v>
      </c>
      <c r="F226">
        <v>125.78</v>
      </c>
      <c r="G226">
        <v>964.28</v>
      </c>
    </row>
    <row r="227" spans="1:7" x14ac:dyDescent="0.35">
      <c r="A227" s="178" t="s">
        <v>823</v>
      </c>
      <c r="B227" s="178" t="s">
        <v>824</v>
      </c>
      <c r="C227" s="178" t="s">
        <v>321</v>
      </c>
      <c r="D227" s="178" t="s">
        <v>57</v>
      </c>
      <c r="E227">
        <v>3656</v>
      </c>
      <c r="F227">
        <v>548.4</v>
      </c>
      <c r="G227">
        <v>4204.3999999999996</v>
      </c>
    </row>
    <row r="228" spans="1:7" x14ac:dyDescent="0.35">
      <c r="A228" s="178" t="s">
        <v>825</v>
      </c>
      <c r="B228" s="178" t="s">
        <v>826</v>
      </c>
      <c r="C228" s="178" t="s">
        <v>321</v>
      </c>
      <c r="D228" s="178" t="s">
        <v>57</v>
      </c>
      <c r="E228">
        <v>8285.7999999999993</v>
      </c>
      <c r="F228">
        <v>1242.8699999999999</v>
      </c>
      <c r="G228">
        <v>9528.67</v>
      </c>
    </row>
    <row r="229" spans="1:7" x14ac:dyDescent="0.35">
      <c r="A229" s="178" t="s">
        <v>827</v>
      </c>
      <c r="B229" s="178" t="s">
        <v>828</v>
      </c>
      <c r="C229" s="178" t="s">
        <v>321</v>
      </c>
      <c r="D229" s="178" t="s">
        <v>57</v>
      </c>
      <c r="E229">
        <v>7509.8</v>
      </c>
      <c r="F229">
        <v>1126.48</v>
      </c>
      <c r="G229">
        <v>8636.2800000000007</v>
      </c>
    </row>
    <row r="230" spans="1:7" x14ac:dyDescent="0.35">
      <c r="A230" s="178" t="s">
        <v>451</v>
      </c>
      <c r="B230" s="178" t="s">
        <v>829</v>
      </c>
      <c r="C230" s="178" t="s">
        <v>321</v>
      </c>
      <c r="D230">
        <v>35674</v>
      </c>
      <c r="E230">
        <v>10077.5</v>
      </c>
      <c r="F230">
        <v>1511.63</v>
      </c>
      <c r="G230">
        <v>11589.13</v>
      </c>
    </row>
    <row r="231" spans="1:7" x14ac:dyDescent="0.35">
      <c r="A231" s="178" t="s">
        <v>372</v>
      </c>
      <c r="B231" s="178" t="s">
        <v>830</v>
      </c>
      <c r="C231" s="178" t="s">
        <v>321</v>
      </c>
      <c r="D231" s="178" t="s">
        <v>57</v>
      </c>
      <c r="E231">
        <v>29929.1</v>
      </c>
      <c r="F231">
        <v>4489.37</v>
      </c>
      <c r="G231">
        <v>34418.47</v>
      </c>
    </row>
    <row r="232" spans="1:7" x14ac:dyDescent="0.35">
      <c r="A232" s="178" t="s">
        <v>831</v>
      </c>
      <c r="B232" s="178" t="s">
        <v>832</v>
      </c>
      <c r="C232" s="178" t="s">
        <v>321</v>
      </c>
      <c r="D232" s="178" t="s">
        <v>57</v>
      </c>
      <c r="E232">
        <v>770.25</v>
      </c>
      <c r="F232">
        <v>115.54</v>
      </c>
      <c r="G232">
        <v>885.79</v>
      </c>
    </row>
    <row r="233" spans="1:7" x14ac:dyDescent="0.35">
      <c r="A233" s="178" t="s">
        <v>833</v>
      </c>
      <c r="B233" s="178" t="s">
        <v>834</v>
      </c>
      <c r="C233" s="178" t="s">
        <v>321</v>
      </c>
      <c r="D233" s="178" t="s">
        <v>57</v>
      </c>
      <c r="E233">
        <v>3691.37</v>
      </c>
      <c r="F233">
        <v>553.71</v>
      </c>
      <c r="G233">
        <v>4245.08</v>
      </c>
    </row>
    <row r="234" spans="1:7" x14ac:dyDescent="0.35">
      <c r="A234" s="178" t="s">
        <v>315</v>
      </c>
      <c r="B234" s="178" t="s">
        <v>835</v>
      </c>
      <c r="C234" s="178" t="s">
        <v>321</v>
      </c>
      <c r="D234" s="178" t="s">
        <v>57</v>
      </c>
      <c r="E234">
        <v>2318.8000000000002</v>
      </c>
      <c r="F234">
        <v>347.82</v>
      </c>
      <c r="G234">
        <v>2666.62</v>
      </c>
    </row>
    <row r="235" spans="1:7" x14ac:dyDescent="0.35">
      <c r="A235" s="178" t="s">
        <v>409</v>
      </c>
      <c r="B235" s="178" t="s">
        <v>836</v>
      </c>
      <c r="C235" s="178" t="s">
        <v>321</v>
      </c>
      <c r="D235" s="178" t="s">
        <v>57</v>
      </c>
      <c r="E235">
        <v>3869.15</v>
      </c>
      <c r="F235">
        <v>580.37</v>
      </c>
      <c r="G235">
        <v>4449.5200000000004</v>
      </c>
    </row>
    <row r="236" spans="1:7" x14ac:dyDescent="0.35">
      <c r="A236" s="178" t="s">
        <v>454</v>
      </c>
      <c r="B236" s="178" t="s">
        <v>837</v>
      </c>
      <c r="C236" s="178" t="s">
        <v>321</v>
      </c>
      <c r="D236" s="178" t="s">
        <v>838</v>
      </c>
      <c r="E236">
        <v>2144.65</v>
      </c>
      <c r="F236">
        <v>321.7</v>
      </c>
      <c r="G236">
        <v>2466.35</v>
      </c>
    </row>
    <row r="237" spans="1:7" x14ac:dyDescent="0.35">
      <c r="A237" s="178" t="s">
        <v>839</v>
      </c>
      <c r="B237" s="178" t="s">
        <v>840</v>
      </c>
      <c r="C237" s="178" t="s">
        <v>321</v>
      </c>
      <c r="D237" s="178" t="s">
        <v>57</v>
      </c>
      <c r="E237">
        <v>3460.67</v>
      </c>
      <c r="F237">
        <v>519.11</v>
      </c>
      <c r="G237">
        <v>3979.78</v>
      </c>
    </row>
    <row r="238" spans="1:7" x14ac:dyDescent="0.35">
      <c r="A238" s="178" t="s">
        <v>841</v>
      </c>
      <c r="B238" s="178" t="s">
        <v>842</v>
      </c>
      <c r="C238" s="178" t="s">
        <v>429</v>
      </c>
      <c r="D238">
        <v>3257</v>
      </c>
      <c r="E238">
        <v>9275</v>
      </c>
      <c r="F238">
        <v>1391.25</v>
      </c>
      <c r="G238">
        <v>10666.25</v>
      </c>
    </row>
    <row r="239" spans="1:7" x14ac:dyDescent="0.35">
      <c r="A239" s="178" t="s">
        <v>350</v>
      </c>
      <c r="B239" s="178" t="s">
        <v>843</v>
      </c>
      <c r="C239" s="178" t="s">
        <v>321</v>
      </c>
      <c r="D239" s="178" t="s">
        <v>844</v>
      </c>
      <c r="E239">
        <v>4798.05</v>
      </c>
      <c r="F239">
        <v>719.72</v>
      </c>
      <c r="G239">
        <v>5517.77</v>
      </c>
    </row>
    <row r="240" spans="1:7" x14ac:dyDescent="0.35">
      <c r="A240" s="178" t="s">
        <v>335</v>
      </c>
      <c r="B240" s="178" t="s">
        <v>845</v>
      </c>
      <c r="C240" s="178" t="s">
        <v>321</v>
      </c>
      <c r="D240" s="178" t="s">
        <v>846</v>
      </c>
      <c r="E240">
        <v>10824</v>
      </c>
      <c r="F240">
        <v>1623.6</v>
      </c>
      <c r="G240">
        <v>12447.6</v>
      </c>
    </row>
    <row r="241" spans="1:7" x14ac:dyDescent="0.35">
      <c r="A241" s="178" t="s">
        <v>847</v>
      </c>
      <c r="B241" s="178" t="s">
        <v>848</v>
      </c>
      <c r="C241" s="178" t="s">
        <v>321</v>
      </c>
      <c r="D241" s="178" t="s">
        <v>57</v>
      </c>
      <c r="E241">
        <v>15120</v>
      </c>
      <c r="F241">
        <v>2268</v>
      </c>
      <c r="G241">
        <v>17388</v>
      </c>
    </row>
    <row r="242" spans="1:7" x14ac:dyDescent="0.35">
      <c r="A242" s="178" t="s">
        <v>849</v>
      </c>
      <c r="B242" s="178" t="s">
        <v>850</v>
      </c>
      <c r="C242" s="178" t="s">
        <v>321</v>
      </c>
      <c r="D242">
        <v>20326</v>
      </c>
      <c r="E242">
        <v>1510.04</v>
      </c>
      <c r="F242">
        <v>226.51</v>
      </c>
      <c r="G242">
        <v>1736.55</v>
      </c>
    </row>
    <row r="243" spans="1:7" x14ac:dyDescent="0.35">
      <c r="A243" s="178" t="s">
        <v>851</v>
      </c>
      <c r="B243" s="178" t="s">
        <v>852</v>
      </c>
      <c r="C243" s="178" t="s">
        <v>321</v>
      </c>
      <c r="D243" s="178" t="s">
        <v>57</v>
      </c>
      <c r="E243">
        <v>7598.7</v>
      </c>
      <c r="F243">
        <v>1139.81</v>
      </c>
      <c r="G243">
        <v>8738.51</v>
      </c>
    </row>
    <row r="244" spans="1:7" x14ac:dyDescent="0.35">
      <c r="A244" s="178" t="s">
        <v>853</v>
      </c>
      <c r="B244" s="178" t="s">
        <v>854</v>
      </c>
      <c r="C244" s="178" t="s">
        <v>321</v>
      </c>
      <c r="D244" s="178" t="s">
        <v>57</v>
      </c>
      <c r="E244">
        <v>1774.5</v>
      </c>
      <c r="F244">
        <v>266.18</v>
      </c>
      <c r="G244">
        <v>2040.68</v>
      </c>
    </row>
    <row r="245" spans="1:7" x14ac:dyDescent="0.35">
      <c r="A245" s="178" t="s">
        <v>347</v>
      </c>
      <c r="B245" s="178" t="s">
        <v>855</v>
      </c>
      <c r="C245" s="178" t="s">
        <v>321</v>
      </c>
      <c r="D245" s="178" t="s">
        <v>57</v>
      </c>
      <c r="E245">
        <v>9612.6</v>
      </c>
      <c r="F245">
        <v>1441.89</v>
      </c>
      <c r="G245">
        <v>11054.49</v>
      </c>
    </row>
    <row r="246" spans="1:7" x14ac:dyDescent="0.35">
      <c r="A246" s="178" t="s">
        <v>856</v>
      </c>
      <c r="B246" s="178" t="s">
        <v>857</v>
      </c>
      <c r="C246" s="178" t="s">
        <v>321</v>
      </c>
      <c r="D246" s="178" t="s">
        <v>57</v>
      </c>
      <c r="E246">
        <v>2686.45</v>
      </c>
      <c r="F246">
        <v>402.98</v>
      </c>
      <c r="G246">
        <v>3089.43</v>
      </c>
    </row>
    <row r="247" spans="1:7" x14ac:dyDescent="0.35">
      <c r="A247" s="178" t="s">
        <v>858</v>
      </c>
      <c r="B247" s="178" t="s">
        <v>859</v>
      </c>
      <c r="C247" s="178" t="s">
        <v>321</v>
      </c>
      <c r="D247" s="178" t="s">
        <v>860</v>
      </c>
      <c r="E247">
        <v>25402.15</v>
      </c>
      <c r="F247" s="178" t="s">
        <v>57</v>
      </c>
      <c r="G247">
        <v>25402.15</v>
      </c>
    </row>
    <row r="248" spans="1:7" x14ac:dyDescent="0.35">
      <c r="A248" s="178" t="s">
        <v>388</v>
      </c>
      <c r="B248" s="178" t="s">
        <v>861</v>
      </c>
      <c r="C248" s="178" t="s">
        <v>321</v>
      </c>
      <c r="D248" s="178" t="s">
        <v>57</v>
      </c>
      <c r="E248">
        <v>1981.94</v>
      </c>
      <c r="F248">
        <v>297.29000000000002</v>
      </c>
      <c r="G248">
        <v>2279.23</v>
      </c>
    </row>
    <row r="249" spans="1:7" x14ac:dyDescent="0.35">
      <c r="A249" s="178" t="s">
        <v>862</v>
      </c>
      <c r="B249" s="178" t="s">
        <v>863</v>
      </c>
      <c r="C249" s="178" t="s">
        <v>321</v>
      </c>
      <c r="D249" s="178" t="s">
        <v>57</v>
      </c>
      <c r="E249">
        <v>1233.7</v>
      </c>
      <c r="F249">
        <v>185.06</v>
      </c>
      <c r="G249">
        <v>1418.76</v>
      </c>
    </row>
    <row r="250" spans="1:7" x14ac:dyDescent="0.35">
      <c r="A250" s="178" t="s">
        <v>366</v>
      </c>
      <c r="B250" s="178" t="s">
        <v>864</v>
      </c>
      <c r="C250" s="178" t="s">
        <v>321</v>
      </c>
      <c r="D250" s="178" t="s">
        <v>865</v>
      </c>
      <c r="E250">
        <v>1269.45</v>
      </c>
      <c r="F250">
        <v>190.42</v>
      </c>
      <c r="G250">
        <v>1459.87</v>
      </c>
    </row>
    <row r="251" spans="1:7" x14ac:dyDescent="0.35">
      <c r="A251" s="178" t="s">
        <v>866</v>
      </c>
      <c r="B251" s="178" t="s">
        <v>867</v>
      </c>
      <c r="C251" s="178" t="s">
        <v>321</v>
      </c>
      <c r="D251" s="178" t="s">
        <v>57</v>
      </c>
      <c r="E251">
        <v>2541.75</v>
      </c>
      <c r="F251">
        <v>381.26</v>
      </c>
      <c r="G251">
        <v>2923.01</v>
      </c>
    </row>
    <row r="252" spans="1:7" x14ac:dyDescent="0.35">
      <c r="A252" s="178" t="s">
        <v>868</v>
      </c>
      <c r="B252" s="178" t="s">
        <v>869</v>
      </c>
      <c r="C252" s="178" t="s">
        <v>321</v>
      </c>
      <c r="D252" s="178" t="s">
        <v>57</v>
      </c>
      <c r="E252">
        <v>9048.2000000000007</v>
      </c>
      <c r="F252">
        <v>1357.23</v>
      </c>
      <c r="G252">
        <v>10405.43</v>
      </c>
    </row>
    <row r="253" spans="1:7" x14ac:dyDescent="0.35">
      <c r="A253" s="178" t="s">
        <v>870</v>
      </c>
      <c r="B253" s="178" t="s">
        <v>871</v>
      </c>
      <c r="C253" s="178" t="s">
        <v>321</v>
      </c>
      <c r="D253" s="178" t="s">
        <v>57</v>
      </c>
      <c r="E253">
        <v>3320</v>
      </c>
      <c r="F253">
        <v>498</v>
      </c>
      <c r="G253">
        <v>3818</v>
      </c>
    </row>
    <row r="254" spans="1:7" x14ac:dyDescent="0.35">
      <c r="A254" s="178" t="s">
        <v>872</v>
      </c>
      <c r="B254" s="178" t="s">
        <v>873</v>
      </c>
      <c r="C254" s="178" t="s">
        <v>321</v>
      </c>
      <c r="D254" s="178" t="s">
        <v>57</v>
      </c>
      <c r="E254">
        <v>14993.4</v>
      </c>
      <c r="F254">
        <v>2249.02</v>
      </c>
      <c r="G254">
        <v>17242.419999999998</v>
      </c>
    </row>
    <row r="255" spans="1:7" x14ac:dyDescent="0.35">
      <c r="A255" s="178" t="s">
        <v>400</v>
      </c>
      <c r="B255" s="178" t="s">
        <v>874</v>
      </c>
      <c r="C255" s="178" t="s">
        <v>321</v>
      </c>
      <c r="D255" s="178" t="s">
        <v>57</v>
      </c>
      <c r="E255">
        <v>2777.25</v>
      </c>
      <c r="F255">
        <v>416.59</v>
      </c>
      <c r="G255">
        <v>3193.84</v>
      </c>
    </row>
    <row r="256" spans="1:7" x14ac:dyDescent="0.35">
      <c r="A256" s="178" t="s">
        <v>326</v>
      </c>
      <c r="B256" s="178" t="s">
        <v>875</v>
      </c>
      <c r="C256" s="178" t="s">
        <v>355</v>
      </c>
      <c r="D256" s="178" t="s">
        <v>876</v>
      </c>
      <c r="E256">
        <v>3289.5</v>
      </c>
      <c r="F256">
        <v>493.42</v>
      </c>
      <c r="G256">
        <v>3782.92</v>
      </c>
    </row>
    <row r="257" spans="1:7" x14ac:dyDescent="0.35">
      <c r="A257" s="178" t="s">
        <v>377</v>
      </c>
      <c r="B257" s="178" t="s">
        <v>877</v>
      </c>
      <c r="C257" s="178" t="s">
        <v>321</v>
      </c>
      <c r="D257" s="178" t="s">
        <v>57</v>
      </c>
      <c r="E257">
        <v>21949.3</v>
      </c>
      <c r="F257">
        <v>3292.4</v>
      </c>
      <c r="G257">
        <v>25241.7</v>
      </c>
    </row>
    <row r="258" spans="1:7" x14ac:dyDescent="0.35">
      <c r="A258" s="178" t="s">
        <v>878</v>
      </c>
      <c r="B258" s="178" t="s">
        <v>879</v>
      </c>
      <c r="C258" s="178" t="s">
        <v>321</v>
      </c>
      <c r="D258" s="178" t="s">
        <v>57</v>
      </c>
      <c r="E258">
        <v>7040.55</v>
      </c>
      <c r="F258">
        <v>1056.0899999999999</v>
      </c>
      <c r="G258">
        <v>8096.64</v>
      </c>
    </row>
    <row r="259" spans="1:7" x14ac:dyDescent="0.35">
      <c r="A259" s="178" t="s">
        <v>315</v>
      </c>
      <c r="B259" s="178" t="s">
        <v>880</v>
      </c>
      <c r="C259" s="178" t="s">
        <v>321</v>
      </c>
      <c r="D259" s="178" t="s">
        <v>57</v>
      </c>
      <c r="E259">
        <v>6069.7</v>
      </c>
      <c r="F259">
        <v>910.46</v>
      </c>
      <c r="G259">
        <v>6980.16</v>
      </c>
    </row>
    <row r="260" spans="1:7" x14ac:dyDescent="0.35">
      <c r="A260" s="178" t="s">
        <v>397</v>
      </c>
      <c r="B260" s="178" t="s">
        <v>881</v>
      </c>
      <c r="C260" s="178" t="s">
        <v>321</v>
      </c>
      <c r="D260" s="178" t="s">
        <v>57</v>
      </c>
      <c r="E260">
        <v>8490</v>
      </c>
      <c r="F260">
        <v>1273.5</v>
      </c>
      <c r="G260">
        <v>9763.5</v>
      </c>
    </row>
    <row r="261" spans="1:7" x14ac:dyDescent="0.35">
      <c r="A261" s="178" t="s">
        <v>673</v>
      </c>
      <c r="B261" s="178" t="s">
        <v>882</v>
      </c>
      <c r="C261" s="178" t="s">
        <v>321</v>
      </c>
      <c r="D261" s="178" t="s">
        <v>57</v>
      </c>
      <c r="E261">
        <v>7430.4</v>
      </c>
      <c r="F261">
        <v>1114.56</v>
      </c>
      <c r="G261">
        <v>8544.9599999999991</v>
      </c>
    </row>
    <row r="262" spans="1:7" x14ac:dyDescent="0.35">
      <c r="A262" s="178" t="s">
        <v>315</v>
      </c>
      <c r="B262" s="178" t="s">
        <v>883</v>
      </c>
      <c r="C262" s="178" t="s">
        <v>321</v>
      </c>
      <c r="D262" s="178" t="s">
        <v>57</v>
      </c>
      <c r="E262">
        <v>1641.5</v>
      </c>
      <c r="F262">
        <v>246.23</v>
      </c>
      <c r="G262">
        <v>1887.73</v>
      </c>
    </row>
    <row r="263" spans="1:7" x14ac:dyDescent="0.35">
      <c r="A263" s="178" t="s">
        <v>526</v>
      </c>
      <c r="B263" s="178" t="s">
        <v>884</v>
      </c>
      <c r="C263" s="178" t="s">
        <v>355</v>
      </c>
      <c r="D263" s="178" t="s">
        <v>57</v>
      </c>
      <c r="E263">
        <v>3204</v>
      </c>
      <c r="F263">
        <v>480.6</v>
      </c>
      <c r="G263">
        <v>3684.6</v>
      </c>
    </row>
    <row r="264" spans="1:7" x14ac:dyDescent="0.35">
      <c r="A264" s="178" t="s">
        <v>885</v>
      </c>
      <c r="B264" s="178" t="s">
        <v>886</v>
      </c>
      <c r="C264" s="178" t="s">
        <v>355</v>
      </c>
      <c r="D264" s="178" t="s">
        <v>887</v>
      </c>
      <c r="E264">
        <v>971.8</v>
      </c>
      <c r="F264">
        <v>145.77000000000001</v>
      </c>
      <c r="G264">
        <v>1117.57</v>
      </c>
    </row>
    <row r="265" spans="1:7" x14ac:dyDescent="0.35">
      <c r="A265" s="178" t="s">
        <v>454</v>
      </c>
      <c r="B265" s="178" t="s">
        <v>888</v>
      </c>
      <c r="C265" s="178" t="s">
        <v>355</v>
      </c>
      <c r="D265" s="178" t="s">
        <v>889</v>
      </c>
      <c r="E265">
        <v>952.6</v>
      </c>
      <c r="F265">
        <v>142.88999999999999</v>
      </c>
      <c r="G265">
        <v>1095.49</v>
      </c>
    </row>
    <row r="266" spans="1:7" x14ac:dyDescent="0.35">
      <c r="A266" s="178" t="s">
        <v>890</v>
      </c>
      <c r="B266" s="178" t="s">
        <v>891</v>
      </c>
      <c r="C266" s="178" t="s">
        <v>355</v>
      </c>
      <c r="D266" s="178" t="s">
        <v>57</v>
      </c>
      <c r="E266">
        <v>1253.3</v>
      </c>
      <c r="F266">
        <v>188</v>
      </c>
      <c r="G266">
        <v>1441.3</v>
      </c>
    </row>
    <row r="267" spans="1:7" x14ac:dyDescent="0.35">
      <c r="A267" s="178" t="s">
        <v>802</v>
      </c>
      <c r="B267" s="178" t="s">
        <v>892</v>
      </c>
      <c r="C267" s="178" t="s">
        <v>355</v>
      </c>
      <c r="D267" s="178" t="s">
        <v>57</v>
      </c>
      <c r="E267">
        <v>2761.2</v>
      </c>
      <c r="F267">
        <v>414.19</v>
      </c>
      <c r="G267">
        <v>3175.39</v>
      </c>
    </row>
    <row r="268" spans="1:7" x14ac:dyDescent="0.35">
      <c r="A268" s="178" t="s">
        <v>893</v>
      </c>
      <c r="B268" s="178" t="s">
        <v>894</v>
      </c>
      <c r="C268" s="178" t="s">
        <v>355</v>
      </c>
      <c r="D268" s="178" t="s">
        <v>895</v>
      </c>
      <c r="E268">
        <v>2477.75</v>
      </c>
      <c r="F268">
        <v>371.66</v>
      </c>
      <c r="G268">
        <v>2849.41</v>
      </c>
    </row>
    <row r="269" spans="1:7" x14ac:dyDescent="0.35">
      <c r="A269" s="178" t="s">
        <v>896</v>
      </c>
      <c r="B269" s="178" t="s">
        <v>897</v>
      </c>
      <c r="C269" s="178" t="s">
        <v>355</v>
      </c>
      <c r="D269">
        <v>10411</v>
      </c>
      <c r="E269">
        <v>4236.5</v>
      </c>
      <c r="F269">
        <v>635.48</v>
      </c>
      <c r="G269">
        <v>4871.9799999999996</v>
      </c>
    </row>
    <row r="270" spans="1:7" x14ac:dyDescent="0.35">
      <c r="A270" s="178" t="s">
        <v>898</v>
      </c>
      <c r="B270" s="178" t="s">
        <v>899</v>
      </c>
      <c r="C270" s="178" t="s">
        <v>355</v>
      </c>
      <c r="D270" s="178" t="s">
        <v>57</v>
      </c>
      <c r="E270">
        <v>1097.5999999999999</v>
      </c>
      <c r="F270">
        <v>164.64</v>
      </c>
      <c r="G270">
        <v>1262.24</v>
      </c>
    </row>
    <row r="271" spans="1:7" x14ac:dyDescent="0.35">
      <c r="A271" s="178" t="s">
        <v>900</v>
      </c>
      <c r="B271" s="178" t="s">
        <v>901</v>
      </c>
      <c r="C271" s="178" t="s">
        <v>355</v>
      </c>
      <c r="D271" s="178" t="s">
        <v>57</v>
      </c>
      <c r="E271">
        <v>688.9</v>
      </c>
      <c r="F271">
        <v>103.34</v>
      </c>
      <c r="G271">
        <v>792.24</v>
      </c>
    </row>
    <row r="272" spans="1:7" x14ac:dyDescent="0.35">
      <c r="A272" s="178" t="s">
        <v>902</v>
      </c>
      <c r="B272" s="178" t="s">
        <v>903</v>
      </c>
      <c r="C272" s="178" t="s">
        <v>355</v>
      </c>
      <c r="D272" s="178" t="s">
        <v>57</v>
      </c>
      <c r="E272">
        <v>32732.7</v>
      </c>
      <c r="F272">
        <v>4909.91</v>
      </c>
      <c r="G272">
        <v>37642.61</v>
      </c>
    </row>
    <row r="273" spans="1:7" x14ac:dyDescent="0.35">
      <c r="A273" s="178" t="s">
        <v>904</v>
      </c>
      <c r="B273" s="178" t="s">
        <v>905</v>
      </c>
      <c r="C273" s="178" t="s">
        <v>355</v>
      </c>
      <c r="D273" s="178" t="s">
        <v>57</v>
      </c>
      <c r="E273">
        <v>7463.6</v>
      </c>
      <c r="F273">
        <v>1119.54</v>
      </c>
      <c r="G273">
        <v>8583.14</v>
      </c>
    </row>
    <row r="274" spans="1:7" x14ac:dyDescent="0.35">
      <c r="A274" s="178" t="s">
        <v>906</v>
      </c>
      <c r="B274" s="178" t="s">
        <v>907</v>
      </c>
      <c r="C274" s="178" t="s">
        <v>355</v>
      </c>
      <c r="D274" s="178" t="s">
        <v>908</v>
      </c>
      <c r="E274">
        <v>3159.8</v>
      </c>
      <c r="F274">
        <v>473.97</v>
      </c>
      <c r="G274">
        <v>3633.77</v>
      </c>
    </row>
    <row r="275" spans="1:7" x14ac:dyDescent="0.35">
      <c r="A275" s="178" t="s">
        <v>909</v>
      </c>
      <c r="B275" s="178" t="s">
        <v>910</v>
      </c>
      <c r="C275" s="178" t="s">
        <v>355</v>
      </c>
      <c r="D275" s="178" t="s">
        <v>57</v>
      </c>
      <c r="E275">
        <v>860</v>
      </c>
      <c r="F275">
        <v>129</v>
      </c>
      <c r="G275">
        <v>989</v>
      </c>
    </row>
    <row r="276" spans="1:7" x14ac:dyDescent="0.35">
      <c r="A276" s="178" t="s">
        <v>679</v>
      </c>
      <c r="B276" s="178" t="s">
        <v>911</v>
      </c>
      <c r="C276" s="178" t="s">
        <v>355</v>
      </c>
      <c r="D276" s="178" t="s">
        <v>57</v>
      </c>
      <c r="E276">
        <v>4101.25</v>
      </c>
      <c r="F276">
        <v>615.19000000000005</v>
      </c>
      <c r="G276">
        <v>4716.4399999999996</v>
      </c>
    </row>
    <row r="277" spans="1:7" x14ac:dyDescent="0.35">
      <c r="A277" s="178" t="s">
        <v>679</v>
      </c>
      <c r="B277" s="178" t="s">
        <v>912</v>
      </c>
      <c r="C277" s="178" t="s">
        <v>355</v>
      </c>
      <c r="D277" s="178" t="s">
        <v>57</v>
      </c>
      <c r="E277">
        <v>5854.29</v>
      </c>
      <c r="F277">
        <v>878.14</v>
      </c>
      <c r="G277">
        <v>6732.43</v>
      </c>
    </row>
    <row r="278" spans="1:7" x14ac:dyDescent="0.35">
      <c r="A278" s="178" t="s">
        <v>913</v>
      </c>
      <c r="B278" s="178" t="s">
        <v>914</v>
      </c>
      <c r="C278" s="178" t="s">
        <v>321</v>
      </c>
      <c r="D278" s="178" t="s">
        <v>915</v>
      </c>
      <c r="E278">
        <v>3168.3</v>
      </c>
      <c r="F278">
        <v>475.25</v>
      </c>
      <c r="G278">
        <v>3643.55</v>
      </c>
    </row>
    <row r="279" spans="1:7" x14ac:dyDescent="0.35">
      <c r="A279" s="178" t="s">
        <v>916</v>
      </c>
      <c r="B279" s="178" t="s">
        <v>917</v>
      </c>
      <c r="C279" s="178" t="s">
        <v>355</v>
      </c>
      <c r="D279" s="178" t="s">
        <v>57</v>
      </c>
      <c r="E279">
        <v>4399.3</v>
      </c>
      <c r="F279">
        <v>659.9</v>
      </c>
      <c r="G279">
        <v>5059.2</v>
      </c>
    </row>
    <row r="280" spans="1:7" x14ac:dyDescent="0.35">
      <c r="A280" s="178" t="s">
        <v>918</v>
      </c>
      <c r="B280" s="178" t="s">
        <v>919</v>
      </c>
      <c r="C280" s="178" t="s">
        <v>355</v>
      </c>
      <c r="D280" s="178" t="s">
        <v>57</v>
      </c>
      <c r="E280">
        <v>25062.400000000001</v>
      </c>
      <c r="F280">
        <v>3759.36</v>
      </c>
      <c r="G280">
        <v>28821.759999999998</v>
      </c>
    </row>
    <row r="281" spans="1:7" x14ac:dyDescent="0.35">
      <c r="A281" s="178" t="s">
        <v>920</v>
      </c>
      <c r="B281" s="178" t="s">
        <v>921</v>
      </c>
      <c r="C281" s="178" t="s">
        <v>355</v>
      </c>
      <c r="D281" s="178" t="s">
        <v>57</v>
      </c>
      <c r="E281">
        <v>1158.5</v>
      </c>
      <c r="F281">
        <v>173.78</v>
      </c>
      <c r="G281">
        <v>1332.28</v>
      </c>
    </row>
    <row r="282" spans="1:7" x14ac:dyDescent="0.35">
      <c r="A282" s="178" t="s">
        <v>374</v>
      </c>
      <c r="B282" s="178" t="s">
        <v>922</v>
      </c>
      <c r="C282" s="178" t="s">
        <v>355</v>
      </c>
      <c r="D282" s="178" t="s">
        <v>57</v>
      </c>
      <c r="E282">
        <v>3318.9</v>
      </c>
      <c r="F282">
        <v>497.84</v>
      </c>
      <c r="G282">
        <v>3816.74</v>
      </c>
    </row>
    <row r="283" spans="1:7" x14ac:dyDescent="0.35">
      <c r="A283" s="178" t="s">
        <v>683</v>
      </c>
      <c r="B283" s="178" t="s">
        <v>923</v>
      </c>
      <c r="C283" s="178" t="s">
        <v>355</v>
      </c>
      <c r="D283" s="178" t="s">
        <v>57</v>
      </c>
      <c r="E283">
        <v>5096.3</v>
      </c>
      <c r="F283">
        <v>764.46</v>
      </c>
      <c r="G283">
        <v>5860.76</v>
      </c>
    </row>
    <row r="284" spans="1:7" x14ac:dyDescent="0.35">
      <c r="A284" s="178" t="s">
        <v>924</v>
      </c>
      <c r="B284" s="178" t="s">
        <v>925</v>
      </c>
      <c r="C284" s="178" t="s">
        <v>355</v>
      </c>
      <c r="D284" s="178" t="s">
        <v>57</v>
      </c>
      <c r="E284">
        <v>13226</v>
      </c>
      <c r="F284">
        <v>1983.9</v>
      </c>
      <c r="G284">
        <v>15209.9</v>
      </c>
    </row>
    <row r="285" spans="1:7" x14ac:dyDescent="0.35">
      <c r="A285" s="178" t="s">
        <v>926</v>
      </c>
      <c r="B285" s="178" t="s">
        <v>927</v>
      </c>
      <c r="C285" s="178" t="s">
        <v>355</v>
      </c>
      <c r="D285" s="178" t="s">
        <v>928</v>
      </c>
      <c r="E285">
        <v>2593.8000000000002</v>
      </c>
      <c r="F285">
        <v>389.07</v>
      </c>
      <c r="G285">
        <v>2982.87</v>
      </c>
    </row>
    <row r="286" spans="1:7" x14ac:dyDescent="0.35">
      <c r="A286" s="178" t="s">
        <v>471</v>
      </c>
      <c r="B286" s="178" t="s">
        <v>929</v>
      </c>
      <c r="C286" s="178" t="s">
        <v>355</v>
      </c>
      <c r="D286" s="178" t="s">
        <v>57</v>
      </c>
      <c r="E286">
        <v>4310.6499999999996</v>
      </c>
      <c r="F286">
        <v>646.6</v>
      </c>
      <c r="G286">
        <v>4957.25</v>
      </c>
    </row>
    <row r="287" spans="1:7" x14ac:dyDescent="0.35">
      <c r="A287" s="178" t="s">
        <v>532</v>
      </c>
      <c r="B287" s="178" t="s">
        <v>930</v>
      </c>
      <c r="C287" s="178" t="s">
        <v>355</v>
      </c>
      <c r="D287" s="178" t="s">
        <v>57</v>
      </c>
      <c r="E287">
        <v>1534.85</v>
      </c>
      <c r="F287">
        <v>230.23</v>
      </c>
      <c r="G287">
        <v>1765.08</v>
      </c>
    </row>
    <row r="288" spans="1:7" x14ac:dyDescent="0.35">
      <c r="A288" s="178" t="s">
        <v>532</v>
      </c>
      <c r="B288" s="178" t="s">
        <v>931</v>
      </c>
      <c r="C288" s="178" t="s">
        <v>355</v>
      </c>
      <c r="D288" s="178" t="s">
        <v>57</v>
      </c>
      <c r="E288">
        <v>1557.05</v>
      </c>
      <c r="F288">
        <v>233.56</v>
      </c>
      <c r="G288">
        <v>1790.61</v>
      </c>
    </row>
    <row r="289" spans="1:7" x14ac:dyDescent="0.35">
      <c r="A289" s="178" t="s">
        <v>315</v>
      </c>
      <c r="B289" s="178" t="s">
        <v>932</v>
      </c>
      <c r="C289" s="178" t="s">
        <v>355</v>
      </c>
      <c r="D289" s="178" t="s">
        <v>57</v>
      </c>
      <c r="E289">
        <v>1508.5</v>
      </c>
      <c r="F289">
        <v>226.28</v>
      </c>
      <c r="G289">
        <v>1734.78</v>
      </c>
    </row>
    <row r="290" spans="1:7" x14ac:dyDescent="0.35">
      <c r="A290" s="178" t="s">
        <v>933</v>
      </c>
      <c r="B290" s="178" t="s">
        <v>934</v>
      </c>
      <c r="C290" s="178" t="s">
        <v>355</v>
      </c>
      <c r="D290" s="178" t="s">
        <v>57</v>
      </c>
      <c r="E290">
        <v>30568</v>
      </c>
      <c r="F290">
        <v>4585.2</v>
      </c>
      <c r="G290">
        <v>35153.199999999997</v>
      </c>
    </row>
    <row r="291" spans="1:7" x14ac:dyDescent="0.35">
      <c r="A291" s="178" t="s">
        <v>454</v>
      </c>
      <c r="B291" s="178" t="s">
        <v>935</v>
      </c>
      <c r="C291" s="178" t="s">
        <v>355</v>
      </c>
      <c r="D291" s="178" t="s">
        <v>57</v>
      </c>
      <c r="E291">
        <v>357.7</v>
      </c>
      <c r="F291">
        <v>53.66</v>
      </c>
      <c r="G291">
        <v>411.36</v>
      </c>
    </row>
    <row r="292" spans="1:7" x14ac:dyDescent="0.35">
      <c r="A292" s="178" t="s">
        <v>748</v>
      </c>
      <c r="B292" s="178" t="s">
        <v>936</v>
      </c>
      <c r="C292" s="178" t="s">
        <v>355</v>
      </c>
      <c r="D292" s="178" t="s">
        <v>57</v>
      </c>
      <c r="E292">
        <v>1268.2</v>
      </c>
      <c r="F292">
        <v>190.23</v>
      </c>
      <c r="G292">
        <v>1458.43</v>
      </c>
    </row>
    <row r="293" spans="1:7" x14ac:dyDescent="0.35">
      <c r="A293" s="178" t="s">
        <v>937</v>
      </c>
      <c r="B293" s="178" t="s">
        <v>938</v>
      </c>
      <c r="C293" s="178" t="s">
        <v>355</v>
      </c>
      <c r="D293" s="178" t="s">
        <v>57</v>
      </c>
      <c r="E293">
        <v>1708.2</v>
      </c>
      <c r="F293">
        <v>256.23</v>
      </c>
      <c r="G293">
        <v>1964.43</v>
      </c>
    </row>
    <row r="294" spans="1:7" x14ac:dyDescent="0.35">
      <c r="A294" s="178" t="s">
        <v>670</v>
      </c>
      <c r="B294" s="178" t="s">
        <v>939</v>
      </c>
      <c r="C294" s="178" t="s">
        <v>355</v>
      </c>
      <c r="D294" s="178" t="s">
        <v>672</v>
      </c>
      <c r="E294">
        <v>1556</v>
      </c>
      <c r="F294">
        <v>233.4</v>
      </c>
      <c r="G294">
        <v>1789.4</v>
      </c>
    </row>
    <row r="295" spans="1:7" x14ac:dyDescent="0.35">
      <c r="A295" s="178" t="s">
        <v>940</v>
      </c>
      <c r="B295" s="178" t="s">
        <v>941</v>
      </c>
      <c r="C295" s="178" t="s">
        <v>355</v>
      </c>
      <c r="D295" s="178" t="s">
        <v>942</v>
      </c>
      <c r="E295">
        <v>12284.8</v>
      </c>
      <c r="F295">
        <v>1842.72</v>
      </c>
      <c r="G295">
        <v>14127.52</v>
      </c>
    </row>
    <row r="296" spans="1:7" x14ac:dyDescent="0.35">
      <c r="A296" s="178" t="s">
        <v>943</v>
      </c>
      <c r="B296" s="178" t="s">
        <v>944</v>
      </c>
      <c r="C296" s="178" t="s">
        <v>355</v>
      </c>
      <c r="D296" s="178" t="s">
        <v>57</v>
      </c>
      <c r="E296">
        <v>10479.15</v>
      </c>
      <c r="F296">
        <v>1571.87</v>
      </c>
      <c r="G296">
        <v>12051.02</v>
      </c>
    </row>
    <row r="297" spans="1:7" x14ac:dyDescent="0.35">
      <c r="A297" s="178" t="s">
        <v>360</v>
      </c>
      <c r="B297" s="178" t="s">
        <v>945</v>
      </c>
      <c r="C297" s="178" t="s">
        <v>355</v>
      </c>
      <c r="D297" s="178" t="s">
        <v>769</v>
      </c>
      <c r="E297">
        <v>1300.6500000000001</v>
      </c>
      <c r="F297">
        <v>195.1</v>
      </c>
      <c r="G297">
        <v>1495.75</v>
      </c>
    </row>
    <row r="298" spans="1:7" x14ac:dyDescent="0.35">
      <c r="A298" s="178" t="s">
        <v>946</v>
      </c>
      <c r="B298" s="178" t="s">
        <v>947</v>
      </c>
      <c r="C298" s="178" t="s">
        <v>355</v>
      </c>
      <c r="D298" s="178" t="s">
        <v>948</v>
      </c>
      <c r="E298">
        <v>1067.95</v>
      </c>
      <c r="F298">
        <v>160.19</v>
      </c>
      <c r="G298">
        <v>1228.1400000000001</v>
      </c>
    </row>
    <row r="299" spans="1:7" x14ac:dyDescent="0.35">
      <c r="A299" s="178" t="s">
        <v>949</v>
      </c>
      <c r="B299" s="178" t="s">
        <v>950</v>
      </c>
      <c r="C299" s="178" t="s">
        <v>355</v>
      </c>
      <c r="D299" s="178" t="s">
        <v>57</v>
      </c>
      <c r="E299">
        <v>4588.5</v>
      </c>
      <c r="F299">
        <v>688.28</v>
      </c>
      <c r="G299">
        <v>5276.78</v>
      </c>
    </row>
    <row r="300" spans="1:7" x14ac:dyDescent="0.35">
      <c r="A300" s="178" t="s">
        <v>951</v>
      </c>
      <c r="B300" s="178" t="s">
        <v>952</v>
      </c>
      <c r="C300" s="178" t="s">
        <v>355</v>
      </c>
      <c r="D300" s="178" t="s">
        <v>57</v>
      </c>
      <c r="E300">
        <v>588.54999999999995</v>
      </c>
      <c r="F300">
        <v>88.28</v>
      </c>
      <c r="G300">
        <v>676.83</v>
      </c>
    </row>
    <row r="301" spans="1:7" x14ac:dyDescent="0.35">
      <c r="A301" s="178" t="s">
        <v>447</v>
      </c>
      <c r="B301" s="178" t="s">
        <v>953</v>
      </c>
      <c r="C301" s="178" t="s">
        <v>355</v>
      </c>
      <c r="D301" s="178" t="s">
        <v>57</v>
      </c>
      <c r="E301">
        <v>12492.66</v>
      </c>
      <c r="F301">
        <v>1873.9</v>
      </c>
      <c r="G301">
        <v>14366.56</v>
      </c>
    </row>
    <row r="302" spans="1:7" x14ac:dyDescent="0.35">
      <c r="A302" s="178" t="s">
        <v>954</v>
      </c>
      <c r="B302" s="178" t="s">
        <v>955</v>
      </c>
      <c r="C302" s="178" t="s">
        <v>355</v>
      </c>
      <c r="D302" s="178" t="s">
        <v>57</v>
      </c>
      <c r="E302">
        <v>1886</v>
      </c>
      <c r="F302">
        <v>282.89999999999998</v>
      </c>
      <c r="G302">
        <v>2168.9</v>
      </c>
    </row>
    <row r="303" spans="1:7" x14ac:dyDescent="0.35">
      <c r="A303" s="178" t="s">
        <v>657</v>
      </c>
      <c r="B303" s="178" t="s">
        <v>956</v>
      </c>
      <c r="C303" s="178" t="s">
        <v>355</v>
      </c>
      <c r="D303" s="178" t="s">
        <v>957</v>
      </c>
      <c r="E303">
        <v>4269.8</v>
      </c>
      <c r="F303">
        <v>640.47</v>
      </c>
      <c r="G303">
        <v>4910.2700000000004</v>
      </c>
    </row>
    <row r="304" spans="1:7" x14ac:dyDescent="0.35">
      <c r="A304" s="178" t="s">
        <v>532</v>
      </c>
      <c r="B304" s="178" t="s">
        <v>958</v>
      </c>
      <c r="C304" s="178" t="s">
        <v>355</v>
      </c>
      <c r="D304" s="178" t="s">
        <v>57</v>
      </c>
      <c r="E304">
        <v>692.9</v>
      </c>
      <c r="F304">
        <v>103.94</v>
      </c>
      <c r="G304">
        <v>796.84</v>
      </c>
    </row>
    <row r="305" spans="1:7" x14ac:dyDescent="0.35">
      <c r="A305" s="178" t="s">
        <v>802</v>
      </c>
      <c r="B305" s="178" t="s">
        <v>959</v>
      </c>
      <c r="C305" s="178" t="s">
        <v>355</v>
      </c>
      <c r="D305" s="178" t="s">
        <v>57</v>
      </c>
      <c r="E305">
        <v>1691</v>
      </c>
      <c r="F305">
        <v>253.65</v>
      </c>
      <c r="G305">
        <v>1944.65</v>
      </c>
    </row>
    <row r="306" spans="1:7" x14ac:dyDescent="0.35">
      <c r="A306" s="178" t="s">
        <v>960</v>
      </c>
      <c r="B306" s="178" t="s">
        <v>961</v>
      </c>
      <c r="C306" s="178" t="s">
        <v>355</v>
      </c>
      <c r="D306" s="178" t="s">
        <v>57</v>
      </c>
      <c r="E306">
        <v>1640.1</v>
      </c>
      <c r="F306">
        <v>246.02</v>
      </c>
      <c r="G306">
        <v>1886.12</v>
      </c>
    </row>
    <row r="307" spans="1:7" x14ac:dyDescent="0.35">
      <c r="A307" s="178" t="s">
        <v>962</v>
      </c>
      <c r="B307" s="178" t="s">
        <v>963</v>
      </c>
      <c r="C307" s="178" t="s">
        <v>355</v>
      </c>
      <c r="D307" s="178" t="s">
        <v>57</v>
      </c>
      <c r="E307">
        <v>2163.6999999999998</v>
      </c>
      <c r="F307">
        <v>324.56</v>
      </c>
      <c r="G307">
        <v>2488.2600000000002</v>
      </c>
    </row>
    <row r="308" spans="1:7" x14ac:dyDescent="0.35">
      <c r="A308" s="178" t="s">
        <v>490</v>
      </c>
      <c r="B308" s="178" t="s">
        <v>964</v>
      </c>
      <c r="C308" s="178" t="s">
        <v>355</v>
      </c>
      <c r="D308" s="178" t="s">
        <v>57</v>
      </c>
      <c r="E308">
        <v>1551.35</v>
      </c>
      <c r="F308">
        <v>232.7</v>
      </c>
      <c r="G308">
        <v>1784.05</v>
      </c>
    </row>
    <row r="309" spans="1:7" x14ac:dyDescent="0.35">
      <c r="A309" s="178" t="s">
        <v>332</v>
      </c>
      <c r="B309" s="178" t="s">
        <v>965</v>
      </c>
      <c r="C309" s="178" t="s">
        <v>355</v>
      </c>
      <c r="D309" s="178" t="s">
        <v>57</v>
      </c>
      <c r="E309">
        <v>13992</v>
      </c>
      <c r="F309">
        <v>2098.8000000000002</v>
      </c>
      <c r="G309">
        <v>16090.8</v>
      </c>
    </row>
    <row r="310" spans="1:7" x14ac:dyDescent="0.35">
      <c r="A310" s="178" t="s">
        <v>332</v>
      </c>
      <c r="B310" s="178" t="s">
        <v>966</v>
      </c>
      <c r="C310" s="178" t="s">
        <v>355</v>
      </c>
      <c r="D310" s="178" t="s">
        <v>57</v>
      </c>
      <c r="E310">
        <v>837.4</v>
      </c>
      <c r="F310">
        <v>125.61</v>
      </c>
      <c r="G310">
        <v>963.01</v>
      </c>
    </row>
    <row r="311" spans="1:7" x14ac:dyDescent="0.35">
      <c r="A311" s="178" t="s">
        <v>967</v>
      </c>
      <c r="B311" s="178" t="s">
        <v>968</v>
      </c>
      <c r="C311" s="178" t="s">
        <v>321</v>
      </c>
      <c r="D311" s="178" t="s">
        <v>969</v>
      </c>
      <c r="E311">
        <v>15790.95</v>
      </c>
      <c r="F311" s="178" t="s">
        <v>57</v>
      </c>
      <c r="G311">
        <v>15790.95</v>
      </c>
    </row>
    <row r="312" spans="1:7" x14ac:dyDescent="0.35">
      <c r="A312" s="178" t="s">
        <v>388</v>
      </c>
      <c r="B312" s="178" t="s">
        <v>970</v>
      </c>
      <c r="C312" s="178" t="s">
        <v>355</v>
      </c>
      <c r="D312" s="178" t="s">
        <v>57</v>
      </c>
      <c r="E312">
        <v>612</v>
      </c>
      <c r="F312">
        <v>91.8</v>
      </c>
      <c r="G312">
        <v>703.8</v>
      </c>
    </row>
    <row r="313" spans="1:7" x14ac:dyDescent="0.35">
      <c r="A313" s="178" t="s">
        <v>971</v>
      </c>
      <c r="B313" s="178" t="s">
        <v>972</v>
      </c>
      <c r="C313" s="178" t="s">
        <v>355</v>
      </c>
      <c r="D313" s="178" t="s">
        <v>57</v>
      </c>
      <c r="E313">
        <v>912.31</v>
      </c>
      <c r="F313">
        <v>136.84</v>
      </c>
      <c r="G313">
        <v>1049.1500000000001</v>
      </c>
    </row>
    <row r="314" spans="1:7" x14ac:dyDescent="0.35">
      <c r="A314" s="178" t="s">
        <v>372</v>
      </c>
      <c r="B314" s="178" t="s">
        <v>973</v>
      </c>
      <c r="C314" s="178" t="s">
        <v>355</v>
      </c>
      <c r="D314" s="178" t="s">
        <v>57</v>
      </c>
      <c r="E314">
        <v>3495.35</v>
      </c>
      <c r="F314">
        <v>524.29999999999995</v>
      </c>
      <c r="G314">
        <v>4019.65</v>
      </c>
    </row>
    <row r="315" spans="1:7" x14ac:dyDescent="0.35">
      <c r="A315" s="178" t="s">
        <v>974</v>
      </c>
      <c r="B315" s="178" t="s">
        <v>975</v>
      </c>
      <c r="C315" s="178" t="s">
        <v>355</v>
      </c>
      <c r="D315" s="178" t="s">
        <v>57</v>
      </c>
      <c r="E315">
        <v>2081.7399999999998</v>
      </c>
      <c r="F315">
        <v>312.26</v>
      </c>
      <c r="G315">
        <v>2394</v>
      </c>
    </row>
    <row r="316" spans="1:7" x14ac:dyDescent="0.35">
      <c r="A316" s="178" t="s">
        <v>454</v>
      </c>
      <c r="B316" s="178" t="s">
        <v>976</v>
      </c>
      <c r="C316" s="178" t="s">
        <v>355</v>
      </c>
      <c r="D316" s="178" t="s">
        <v>57</v>
      </c>
      <c r="E316">
        <v>420</v>
      </c>
      <c r="F316">
        <v>63</v>
      </c>
      <c r="G316">
        <v>483</v>
      </c>
    </row>
    <row r="317" spans="1:7" x14ac:dyDescent="0.35">
      <c r="A317" s="178" t="s">
        <v>977</v>
      </c>
      <c r="B317" s="178" t="s">
        <v>978</v>
      </c>
      <c r="C317" s="178" t="s">
        <v>355</v>
      </c>
      <c r="D317" s="178" t="s">
        <v>979</v>
      </c>
      <c r="E317">
        <v>1062.6500000000001</v>
      </c>
      <c r="F317">
        <v>159.4</v>
      </c>
      <c r="G317">
        <v>1222.05</v>
      </c>
    </row>
    <row r="318" spans="1:7" x14ac:dyDescent="0.35">
      <c r="A318" s="178" t="s">
        <v>980</v>
      </c>
      <c r="B318" s="178" t="s">
        <v>981</v>
      </c>
      <c r="C318" s="178" t="s">
        <v>355</v>
      </c>
      <c r="D318">
        <v>73792</v>
      </c>
      <c r="E318">
        <v>1591.2</v>
      </c>
      <c r="F318">
        <v>238.68</v>
      </c>
      <c r="G318">
        <v>1829.88</v>
      </c>
    </row>
    <row r="319" spans="1:7" x14ac:dyDescent="0.35">
      <c r="A319" s="178" t="s">
        <v>397</v>
      </c>
      <c r="B319" s="178" t="s">
        <v>982</v>
      </c>
      <c r="C319" s="178" t="s">
        <v>355</v>
      </c>
      <c r="D319" s="178" t="s">
        <v>57</v>
      </c>
      <c r="E319">
        <v>8902.5</v>
      </c>
      <c r="F319">
        <v>1335.38</v>
      </c>
      <c r="G319">
        <v>10237.879999999999</v>
      </c>
    </row>
    <row r="320" spans="1:7" x14ac:dyDescent="0.35">
      <c r="A320" s="178" t="s">
        <v>639</v>
      </c>
      <c r="B320" s="178" t="s">
        <v>983</v>
      </c>
      <c r="C320" s="178" t="s">
        <v>379</v>
      </c>
      <c r="D320" s="178" t="s">
        <v>984</v>
      </c>
      <c r="E320">
        <v>17677.8</v>
      </c>
      <c r="F320">
        <v>2651.67</v>
      </c>
      <c r="G320">
        <v>20329.47</v>
      </c>
    </row>
    <row r="321" spans="1:7" x14ac:dyDescent="0.35">
      <c r="A321" s="178" t="s">
        <v>746</v>
      </c>
      <c r="B321" s="178" t="s">
        <v>985</v>
      </c>
      <c r="C321" s="178" t="s">
        <v>355</v>
      </c>
      <c r="D321" s="178" t="s">
        <v>986</v>
      </c>
      <c r="E321">
        <v>3250</v>
      </c>
      <c r="F321">
        <v>487.5</v>
      </c>
      <c r="G321">
        <v>3737.5</v>
      </c>
    </row>
    <row r="322" spans="1:7" x14ac:dyDescent="0.35">
      <c r="A322" s="178" t="s">
        <v>987</v>
      </c>
      <c r="B322" s="178" t="s">
        <v>988</v>
      </c>
      <c r="C322" s="178" t="s">
        <v>355</v>
      </c>
      <c r="D322" s="178" t="s">
        <v>57</v>
      </c>
      <c r="E322">
        <v>1455.5</v>
      </c>
      <c r="F322">
        <v>218.33</v>
      </c>
      <c r="G322">
        <v>1673.83</v>
      </c>
    </row>
    <row r="323" spans="1:7" x14ac:dyDescent="0.35">
      <c r="A323" s="178" t="s">
        <v>989</v>
      </c>
      <c r="B323" s="178" t="s">
        <v>990</v>
      </c>
      <c r="C323" s="178" t="s">
        <v>355</v>
      </c>
      <c r="D323" s="178" t="s">
        <v>57</v>
      </c>
      <c r="E323">
        <v>1082.3</v>
      </c>
      <c r="F323">
        <v>162.35</v>
      </c>
      <c r="G323">
        <v>1244.6500000000001</v>
      </c>
    </row>
    <row r="324" spans="1:7" x14ac:dyDescent="0.35">
      <c r="A324" s="178" t="s">
        <v>425</v>
      </c>
      <c r="B324" s="178" t="s">
        <v>991</v>
      </c>
      <c r="C324" s="178" t="s">
        <v>379</v>
      </c>
      <c r="D324" s="178" t="s">
        <v>992</v>
      </c>
      <c r="E324">
        <v>16192.8</v>
      </c>
      <c r="F324">
        <v>2428.92</v>
      </c>
      <c r="G324">
        <v>18621.72</v>
      </c>
    </row>
    <row r="325" spans="1:7" x14ac:dyDescent="0.35">
      <c r="A325" s="178" t="s">
        <v>993</v>
      </c>
      <c r="B325" s="178" t="s">
        <v>994</v>
      </c>
      <c r="C325" s="178" t="s">
        <v>379</v>
      </c>
      <c r="D325">
        <v>37697</v>
      </c>
      <c r="E325">
        <v>15307.5</v>
      </c>
      <c r="F325">
        <v>2296.13</v>
      </c>
      <c r="G325">
        <v>17603.63</v>
      </c>
    </row>
    <row r="326" spans="1:7" x14ac:dyDescent="0.35">
      <c r="A326" s="178" t="s">
        <v>535</v>
      </c>
      <c r="B326" s="178" t="s">
        <v>995</v>
      </c>
      <c r="C326" s="178" t="s">
        <v>379</v>
      </c>
      <c r="D326" s="178" t="s">
        <v>57</v>
      </c>
      <c r="E326">
        <v>5167.5</v>
      </c>
      <c r="F326">
        <v>775.13</v>
      </c>
      <c r="G326">
        <v>5942.63</v>
      </c>
    </row>
    <row r="327" spans="1:7" x14ac:dyDescent="0.35">
      <c r="A327" s="178" t="s">
        <v>996</v>
      </c>
      <c r="B327" s="178" t="s">
        <v>997</v>
      </c>
      <c r="C327" s="178" t="s">
        <v>379</v>
      </c>
      <c r="D327" s="178" t="s">
        <v>998</v>
      </c>
      <c r="E327">
        <v>783.2</v>
      </c>
      <c r="F327">
        <v>117.48</v>
      </c>
      <c r="G327">
        <v>900.68</v>
      </c>
    </row>
    <row r="328" spans="1:7" x14ac:dyDescent="0.35">
      <c r="A328" s="178" t="s">
        <v>329</v>
      </c>
      <c r="B328" s="178" t="s">
        <v>999</v>
      </c>
      <c r="C328" s="178" t="s">
        <v>379</v>
      </c>
      <c r="D328" s="178" t="s">
        <v>57</v>
      </c>
      <c r="E328">
        <v>693.45</v>
      </c>
      <c r="F328">
        <v>104.02</v>
      </c>
      <c r="G328">
        <v>797.47</v>
      </c>
    </row>
    <row r="329" spans="1:7" x14ac:dyDescent="0.35">
      <c r="A329" s="178" t="s">
        <v>679</v>
      </c>
      <c r="B329" s="178" t="s">
        <v>1000</v>
      </c>
      <c r="C329" s="178" t="s">
        <v>379</v>
      </c>
      <c r="D329" s="178" t="s">
        <v>57</v>
      </c>
      <c r="E329">
        <v>600</v>
      </c>
      <c r="F329">
        <v>90</v>
      </c>
      <c r="G329">
        <v>690</v>
      </c>
    </row>
    <row r="330" spans="1:7" x14ac:dyDescent="0.35">
      <c r="A330" s="178" t="s">
        <v>380</v>
      </c>
      <c r="B330" s="178" t="s">
        <v>1001</v>
      </c>
      <c r="C330" s="178" t="s">
        <v>379</v>
      </c>
      <c r="D330" s="178" t="s">
        <v>57</v>
      </c>
      <c r="E330">
        <v>5176.7</v>
      </c>
      <c r="F330">
        <v>776.51</v>
      </c>
      <c r="G330">
        <v>5953.21</v>
      </c>
    </row>
    <row r="331" spans="1:7" x14ac:dyDescent="0.35">
      <c r="A331" s="178" t="s">
        <v>383</v>
      </c>
      <c r="B331" s="178" t="s">
        <v>1002</v>
      </c>
      <c r="C331" s="178" t="s">
        <v>379</v>
      </c>
      <c r="D331" s="178" t="s">
        <v>57</v>
      </c>
      <c r="E331">
        <v>5867.35</v>
      </c>
      <c r="F331">
        <v>880.11</v>
      </c>
      <c r="G331">
        <v>6747.46</v>
      </c>
    </row>
    <row r="332" spans="1:7" x14ac:dyDescent="0.35">
      <c r="A332" s="178" t="s">
        <v>916</v>
      </c>
      <c r="B332" s="178" t="s">
        <v>1003</v>
      </c>
      <c r="C332" s="178" t="s">
        <v>379</v>
      </c>
      <c r="D332" s="178" t="s">
        <v>57</v>
      </c>
      <c r="E332">
        <v>1925</v>
      </c>
      <c r="F332">
        <v>288.75</v>
      </c>
      <c r="G332">
        <v>2213.75</v>
      </c>
    </row>
    <row r="333" spans="1:7" x14ac:dyDescent="0.35">
      <c r="A333" s="178" t="s">
        <v>1004</v>
      </c>
      <c r="B333" s="178" t="s">
        <v>1005</v>
      </c>
      <c r="C333" s="178" t="s">
        <v>379</v>
      </c>
      <c r="D333" s="178" t="s">
        <v>57</v>
      </c>
      <c r="E333">
        <v>5507.35</v>
      </c>
      <c r="F333">
        <v>826.1</v>
      </c>
      <c r="G333">
        <v>6333.45</v>
      </c>
    </row>
    <row r="334" spans="1:7" x14ac:dyDescent="0.35">
      <c r="A334" s="178" t="s">
        <v>549</v>
      </c>
      <c r="B334" s="178" t="s">
        <v>1006</v>
      </c>
      <c r="C334" s="178" t="s">
        <v>379</v>
      </c>
      <c r="D334" s="178" t="s">
        <v>1007</v>
      </c>
      <c r="E334">
        <v>8958.4</v>
      </c>
      <c r="F334">
        <v>1343.77</v>
      </c>
      <c r="G334">
        <v>10302.17</v>
      </c>
    </row>
    <row r="335" spans="1:7" x14ac:dyDescent="0.35">
      <c r="A335" s="178" t="s">
        <v>363</v>
      </c>
      <c r="B335" s="178" t="s">
        <v>1008</v>
      </c>
      <c r="C335" s="178" t="s">
        <v>379</v>
      </c>
      <c r="D335" s="178" t="s">
        <v>57</v>
      </c>
      <c r="E335">
        <v>49707.5</v>
      </c>
      <c r="F335">
        <v>7456.12</v>
      </c>
      <c r="G335">
        <v>57163.62</v>
      </c>
    </row>
    <row r="336" spans="1:7" x14ac:dyDescent="0.35">
      <c r="A336" s="178" t="s">
        <v>1009</v>
      </c>
      <c r="B336" s="178" t="s">
        <v>1010</v>
      </c>
      <c r="C336" s="178" t="s">
        <v>379</v>
      </c>
      <c r="D336" s="178" t="s">
        <v>1011</v>
      </c>
      <c r="E336">
        <v>7050</v>
      </c>
      <c r="F336">
        <v>1057.5</v>
      </c>
      <c r="G336">
        <v>8107.5</v>
      </c>
    </row>
    <row r="337" spans="1:7" x14ac:dyDescent="0.35">
      <c r="A337" s="178" t="s">
        <v>549</v>
      </c>
      <c r="B337" s="178" t="s">
        <v>1012</v>
      </c>
      <c r="C337" s="178" t="s">
        <v>379</v>
      </c>
      <c r="D337" s="178" t="s">
        <v>1007</v>
      </c>
      <c r="E337">
        <v>7917.5</v>
      </c>
      <c r="F337">
        <v>1187.6300000000001</v>
      </c>
      <c r="G337">
        <v>9105.1299999999992</v>
      </c>
    </row>
    <row r="338" spans="1:7" x14ac:dyDescent="0.35">
      <c r="A338" s="178" t="s">
        <v>1013</v>
      </c>
      <c r="B338" s="178" t="s">
        <v>1014</v>
      </c>
      <c r="C338" s="178" t="s">
        <v>379</v>
      </c>
      <c r="D338" s="178" t="s">
        <v>57</v>
      </c>
      <c r="E338">
        <v>1751.8</v>
      </c>
      <c r="F338">
        <v>262.77</v>
      </c>
      <c r="G338">
        <v>2014.57</v>
      </c>
    </row>
    <row r="339" spans="1:7" x14ac:dyDescent="0.35">
      <c r="A339" s="178" t="s">
        <v>681</v>
      </c>
      <c r="B339" s="178" t="s">
        <v>1015</v>
      </c>
      <c r="C339" s="178" t="s">
        <v>379</v>
      </c>
      <c r="D339" s="178" t="s">
        <v>57</v>
      </c>
      <c r="E339">
        <v>7934.4</v>
      </c>
      <c r="F339">
        <v>1190.1600000000001</v>
      </c>
      <c r="G339">
        <v>9124.56</v>
      </c>
    </row>
    <row r="340" spans="1:7" x14ac:dyDescent="0.35">
      <c r="A340" s="178" t="s">
        <v>802</v>
      </c>
      <c r="B340" s="178" t="s">
        <v>1016</v>
      </c>
      <c r="C340" s="178" t="s">
        <v>379</v>
      </c>
      <c r="D340" s="178" t="s">
        <v>57</v>
      </c>
      <c r="E340">
        <v>920.2</v>
      </c>
      <c r="F340">
        <v>138.03</v>
      </c>
      <c r="G340">
        <v>1058.23</v>
      </c>
    </row>
    <row r="341" spans="1:7" x14ac:dyDescent="0.35">
      <c r="A341" s="178" t="s">
        <v>1017</v>
      </c>
      <c r="B341" s="178" t="s">
        <v>1018</v>
      </c>
      <c r="C341" s="178" t="s">
        <v>379</v>
      </c>
      <c r="D341" s="178" t="s">
        <v>57</v>
      </c>
      <c r="E341">
        <v>854.9</v>
      </c>
      <c r="F341">
        <v>128.24</v>
      </c>
      <c r="G341">
        <v>983.14</v>
      </c>
    </row>
    <row r="342" spans="1:7" x14ac:dyDescent="0.35">
      <c r="A342" s="178" t="s">
        <v>1019</v>
      </c>
      <c r="B342" s="178" t="s">
        <v>1020</v>
      </c>
      <c r="C342" s="178" t="s">
        <v>379</v>
      </c>
      <c r="D342" s="178" t="s">
        <v>57</v>
      </c>
      <c r="E342">
        <v>922.25</v>
      </c>
      <c r="F342">
        <v>138.34</v>
      </c>
      <c r="G342">
        <v>1060.5899999999999</v>
      </c>
    </row>
    <row r="343" spans="1:7" x14ac:dyDescent="0.35">
      <c r="A343" s="178" t="s">
        <v>683</v>
      </c>
      <c r="B343" s="178" t="s">
        <v>1021</v>
      </c>
      <c r="C343" s="178" t="s">
        <v>379</v>
      </c>
      <c r="D343" s="178" t="s">
        <v>57</v>
      </c>
      <c r="E343">
        <v>946.2</v>
      </c>
      <c r="F343">
        <v>141.93</v>
      </c>
      <c r="G343">
        <v>1088.1300000000001</v>
      </c>
    </row>
    <row r="344" spans="1:7" x14ac:dyDescent="0.35">
      <c r="A344" s="178" t="s">
        <v>1022</v>
      </c>
      <c r="B344" s="178" t="s">
        <v>1023</v>
      </c>
      <c r="C344" s="178" t="s">
        <v>379</v>
      </c>
      <c r="D344" s="178" t="s">
        <v>57</v>
      </c>
      <c r="E344">
        <v>1478.25</v>
      </c>
      <c r="F344">
        <v>221.74</v>
      </c>
      <c r="G344">
        <v>1699.99</v>
      </c>
    </row>
    <row r="345" spans="1:7" x14ac:dyDescent="0.35">
      <c r="A345" s="178" t="s">
        <v>987</v>
      </c>
      <c r="B345" s="178" t="s">
        <v>1024</v>
      </c>
      <c r="C345" s="178" t="s">
        <v>379</v>
      </c>
      <c r="D345" s="178" t="s">
        <v>57</v>
      </c>
      <c r="E345">
        <v>18000</v>
      </c>
      <c r="F345">
        <v>2700</v>
      </c>
      <c r="G345">
        <v>20700</v>
      </c>
    </row>
    <row r="346" spans="1:7" x14ac:dyDescent="0.35">
      <c r="A346" s="178" t="s">
        <v>706</v>
      </c>
      <c r="B346" s="178" t="s">
        <v>1025</v>
      </c>
      <c r="C346" s="178" t="s">
        <v>379</v>
      </c>
      <c r="D346" s="178" t="s">
        <v>57</v>
      </c>
      <c r="E346">
        <v>660.65</v>
      </c>
      <c r="F346">
        <v>99.1</v>
      </c>
      <c r="G346">
        <v>759.75</v>
      </c>
    </row>
    <row r="347" spans="1:7" x14ac:dyDescent="0.35">
      <c r="A347" s="178" t="s">
        <v>1026</v>
      </c>
      <c r="B347" s="178" t="s">
        <v>1027</v>
      </c>
      <c r="C347" s="178" t="s">
        <v>379</v>
      </c>
      <c r="D347" s="178" t="s">
        <v>57</v>
      </c>
      <c r="E347">
        <v>1434.45</v>
      </c>
      <c r="F347">
        <v>215.17</v>
      </c>
      <c r="G347">
        <v>1649.62</v>
      </c>
    </row>
    <row r="348" spans="1:7" x14ac:dyDescent="0.35">
      <c r="A348" s="178" t="s">
        <v>1028</v>
      </c>
      <c r="B348" s="178" t="s">
        <v>1029</v>
      </c>
      <c r="C348" s="178" t="s">
        <v>379</v>
      </c>
      <c r="D348" s="178" t="s">
        <v>57</v>
      </c>
      <c r="E348">
        <v>6374.1</v>
      </c>
      <c r="F348">
        <v>956.12</v>
      </c>
      <c r="G348">
        <v>7330.22</v>
      </c>
    </row>
    <row r="349" spans="1:7" x14ac:dyDescent="0.35">
      <c r="A349" s="178" t="s">
        <v>403</v>
      </c>
      <c r="B349" s="178" t="s">
        <v>1030</v>
      </c>
      <c r="C349" s="178" t="s">
        <v>379</v>
      </c>
      <c r="D349" s="178" t="s">
        <v>57</v>
      </c>
      <c r="E349">
        <v>2118.75</v>
      </c>
      <c r="F349">
        <v>317.82</v>
      </c>
      <c r="G349">
        <v>2436.5700000000002</v>
      </c>
    </row>
    <row r="350" spans="1:7" x14ac:dyDescent="0.35">
      <c r="A350" s="178" t="s">
        <v>1031</v>
      </c>
      <c r="B350" s="178" t="s">
        <v>1032</v>
      </c>
      <c r="C350" s="178" t="s">
        <v>379</v>
      </c>
      <c r="D350" s="178" t="s">
        <v>57</v>
      </c>
      <c r="E350">
        <v>1689.95</v>
      </c>
      <c r="F350">
        <v>253.49</v>
      </c>
      <c r="G350">
        <v>1943.44</v>
      </c>
    </row>
    <row r="351" spans="1:7" x14ac:dyDescent="0.35">
      <c r="A351" s="178" t="s">
        <v>1033</v>
      </c>
      <c r="B351" s="178" t="s">
        <v>1034</v>
      </c>
      <c r="C351" s="178" t="s">
        <v>379</v>
      </c>
      <c r="D351" s="178" t="s">
        <v>57</v>
      </c>
      <c r="E351">
        <v>1398.1</v>
      </c>
      <c r="F351">
        <v>209.72</v>
      </c>
      <c r="G351">
        <v>1607.82</v>
      </c>
    </row>
    <row r="352" spans="1:7" x14ac:dyDescent="0.35">
      <c r="A352" s="178" t="s">
        <v>1035</v>
      </c>
      <c r="B352" s="178" t="s">
        <v>1036</v>
      </c>
      <c r="C352" s="178" t="s">
        <v>379</v>
      </c>
      <c r="D352" s="178" t="s">
        <v>57</v>
      </c>
      <c r="E352">
        <v>2333.3000000000002</v>
      </c>
      <c r="F352">
        <v>350</v>
      </c>
      <c r="G352">
        <v>2683.3</v>
      </c>
    </row>
    <row r="353" spans="1:7" x14ac:dyDescent="0.35">
      <c r="A353" s="178" t="s">
        <v>1037</v>
      </c>
      <c r="B353" s="178" t="s">
        <v>1038</v>
      </c>
      <c r="C353" s="178" t="s">
        <v>379</v>
      </c>
      <c r="D353" s="178" t="s">
        <v>57</v>
      </c>
      <c r="E353">
        <v>2110.4</v>
      </c>
      <c r="F353">
        <v>316.56</v>
      </c>
      <c r="G353">
        <v>2426.96</v>
      </c>
    </row>
    <row r="354" spans="1:7" x14ac:dyDescent="0.35">
      <c r="A354" s="178" t="s">
        <v>724</v>
      </c>
      <c r="B354" s="178" t="s">
        <v>1039</v>
      </c>
      <c r="C354" s="178" t="s">
        <v>379</v>
      </c>
      <c r="D354" s="178" t="s">
        <v>57</v>
      </c>
      <c r="E354">
        <v>1446.5</v>
      </c>
      <c r="F354">
        <v>216.98</v>
      </c>
      <c r="G354">
        <v>1663.48</v>
      </c>
    </row>
    <row r="355" spans="1:7" x14ac:dyDescent="0.35">
      <c r="A355" s="178" t="s">
        <v>419</v>
      </c>
      <c r="B355" s="178" t="s">
        <v>1040</v>
      </c>
      <c r="C355" s="178" t="s">
        <v>379</v>
      </c>
      <c r="D355" s="178" t="s">
        <v>57</v>
      </c>
      <c r="E355">
        <v>2072.4499999999998</v>
      </c>
      <c r="F355">
        <v>310.87</v>
      </c>
      <c r="G355">
        <v>2383.3200000000002</v>
      </c>
    </row>
    <row r="356" spans="1:7" x14ac:dyDescent="0.35">
      <c r="A356" s="178" t="s">
        <v>1041</v>
      </c>
      <c r="B356" s="178" t="s">
        <v>1042</v>
      </c>
      <c r="C356" s="178" t="s">
        <v>379</v>
      </c>
      <c r="D356" s="178" t="s">
        <v>57</v>
      </c>
      <c r="E356">
        <v>1463.65</v>
      </c>
      <c r="F356">
        <v>219.55</v>
      </c>
      <c r="G356">
        <v>1683.2</v>
      </c>
    </row>
    <row r="357" spans="1:7" x14ac:dyDescent="0.35">
      <c r="A357" s="178" t="s">
        <v>1043</v>
      </c>
      <c r="B357" s="178" t="s">
        <v>1044</v>
      </c>
      <c r="C357" s="178" t="s">
        <v>379</v>
      </c>
      <c r="D357" s="178" t="s">
        <v>57</v>
      </c>
      <c r="E357">
        <v>3015.7</v>
      </c>
      <c r="F357">
        <v>452.36</v>
      </c>
      <c r="G357">
        <v>3468.06</v>
      </c>
    </row>
    <row r="358" spans="1:7" x14ac:dyDescent="0.35">
      <c r="A358" s="178" t="s">
        <v>377</v>
      </c>
      <c r="B358" s="178" t="s">
        <v>1045</v>
      </c>
      <c r="C358" s="178" t="s">
        <v>379</v>
      </c>
      <c r="D358" s="178" t="s">
        <v>1046</v>
      </c>
      <c r="E358">
        <v>1456.65</v>
      </c>
      <c r="F358">
        <v>218.5</v>
      </c>
      <c r="G358">
        <v>1675.15</v>
      </c>
    </row>
    <row r="359" spans="1:7" x14ac:dyDescent="0.35">
      <c r="A359" s="178" t="s">
        <v>1047</v>
      </c>
      <c r="B359" s="178" t="s">
        <v>1048</v>
      </c>
      <c r="C359" s="178" t="s">
        <v>379</v>
      </c>
      <c r="D359" s="178" t="s">
        <v>57</v>
      </c>
      <c r="E359">
        <v>1616.4</v>
      </c>
      <c r="F359">
        <v>242.46</v>
      </c>
      <c r="G359">
        <v>1858.86</v>
      </c>
    </row>
    <row r="360" spans="1:7" x14ac:dyDescent="0.35">
      <c r="A360" s="178" t="s">
        <v>1049</v>
      </c>
      <c r="B360" s="178" t="s">
        <v>1050</v>
      </c>
      <c r="C360" s="178" t="s">
        <v>379</v>
      </c>
      <c r="D360" s="178" t="s">
        <v>57</v>
      </c>
      <c r="E360">
        <v>60770.5</v>
      </c>
      <c r="F360">
        <v>9115.57</v>
      </c>
      <c r="G360">
        <v>69886.070000000007</v>
      </c>
    </row>
    <row r="361" spans="1:7" x14ac:dyDescent="0.35">
      <c r="A361" s="178" t="s">
        <v>1051</v>
      </c>
      <c r="B361" s="178" t="s">
        <v>1052</v>
      </c>
      <c r="C361" s="178" t="s">
        <v>379</v>
      </c>
      <c r="D361" s="178" t="s">
        <v>57</v>
      </c>
      <c r="E361">
        <v>3984.32</v>
      </c>
      <c r="F361">
        <v>597.65</v>
      </c>
      <c r="G361">
        <v>4581.97</v>
      </c>
    </row>
    <row r="362" spans="1:7" x14ac:dyDescent="0.35">
      <c r="A362" s="178" t="s">
        <v>1053</v>
      </c>
      <c r="B362" s="178" t="s">
        <v>1054</v>
      </c>
      <c r="C362" s="178" t="s">
        <v>379</v>
      </c>
      <c r="D362" s="178" t="s">
        <v>57</v>
      </c>
      <c r="E362">
        <v>3017.5</v>
      </c>
      <c r="F362">
        <v>452.63</v>
      </c>
      <c r="G362">
        <v>3470.13</v>
      </c>
    </row>
    <row r="363" spans="1:7" x14ac:dyDescent="0.35">
      <c r="A363" s="178" t="s">
        <v>949</v>
      </c>
      <c r="B363" s="178" t="s">
        <v>1055</v>
      </c>
      <c r="C363" s="178" t="s">
        <v>379</v>
      </c>
      <c r="D363" s="178" t="s">
        <v>57</v>
      </c>
      <c r="E363">
        <v>7143.8</v>
      </c>
      <c r="F363">
        <v>1071.57</v>
      </c>
      <c r="G363">
        <v>8215.3700000000008</v>
      </c>
    </row>
    <row r="364" spans="1:7" x14ac:dyDescent="0.35">
      <c r="A364" s="178" t="s">
        <v>490</v>
      </c>
      <c r="B364" s="178" t="s">
        <v>1056</v>
      </c>
      <c r="C364" s="178" t="s">
        <v>379</v>
      </c>
      <c r="D364" s="178" t="s">
        <v>1057</v>
      </c>
      <c r="E364">
        <v>5816.7</v>
      </c>
      <c r="F364">
        <v>872.51</v>
      </c>
      <c r="G364">
        <v>6689.21</v>
      </c>
    </row>
    <row r="365" spans="1:7" x14ac:dyDescent="0.35">
      <c r="A365" s="178" t="s">
        <v>388</v>
      </c>
      <c r="B365" s="178" t="s">
        <v>1058</v>
      </c>
      <c r="C365" s="178" t="s">
        <v>379</v>
      </c>
      <c r="D365" s="178" t="s">
        <v>57</v>
      </c>
      <c r="E365">
        <v>581.35</v>
      </c>
      <c r="F365">
        <v>87.2</v>
      </c>
      <c r="G365">
        <v>668.55</v>
      </c>
    </row>
    <row r="366" spans="1:7" x14ac:dyDescent="0.35">
      <c r="A366" s="178" t="s">
        <v>1059</v>
      </c>
      <c r="B366" s="178" t="s">
        <v>1060</v>
      </c>
      <c r="C366" s="178" t="s">
        <v>379</v>
      </c>
      <c r="D366" s="178" t="s">
        <v>57</v>
      </c>
      <c r="E366">
        <v>7077</v>
      </c>
      <c r="F366">
        <v>1061.55</v>
      </c>
      <c r="G366">
        <v>8138.55</v>
      </c>
    </row>
    <row r="367" spans="1:7" x14ac:dyDescent="0.35">
      <c r="A367" s="178" t="s">
        <v>1061</v>
      </c>
      <c r="B367" s="178" t="s">
        <v>1062</v>
      </c>
      <c r="C367" s="178" t="s">
        <v>379</v>
      </c>
      <c r="D367" s="178" t="s">
        <v>57</v>
      </c>
      <c r="E367">
        <v>5787.87</v>
      </c>
      <c r="F367">
        <v>868.18</v>
      </c>
      <c r="G367">
        <v>6656.05</v>
      </c>
    </row>
    <row r="368" spans="1:7" x14ac:dyDescent="0.35">
      <c r="A368" s="178" t="s">
        <v>1063</v>
      </c>
      <c r="B368" s="178" t="s">
        <v>1064</v>
      </c>
      <c r="C368" s="178" t="s">
        <v>379</v>
      </c>
      <c r="D368" s="178" t="s">
        <v>1065</v>
      </c>
      <c r="E368">
        <v>4984.8999999999996</v>
      </c>
      <c r="F368">
        <v>747.74</v>
      </c>
      <c r="G368">
        <v>5732.64</v>
      </c>
    </row>
    <row r="369" spans="1:7" x14ac:dyDescent="0.35">
      <c r="A369" s="178" t="s">
        <v>1051</v>
      </c>
      <c r="B369" s="178" t="s">
        <v>1066</v>
      </c>
      <c r="C369" s="178" t="s">
        <v>379</v>
      </c>
      <c r="D369" s="178" t="s">
        <v>57</v>
      </c>
      <c r="E369">
        <v>2751.82</v>
      </c>
      <c r="F369">
        <v>412.77</v>
      </c>
      <c r="G369">
        <v>3164.59</v>
      </c>
    </row>
    <row r="370" spans="1:7" x14ac:dyDescent="0.35">
      <c r="A370" s="178" t="s">
        <v>673</v>
      </c>
      <c r="B370" s="178" t="s">
        <v>1067</v>
      </c>
      <c r="C370" s="178" t="s">
        <v>379</v>
      </c>
      <c r="D370" s="178" t="s">
        <v>57</v>
      </c>
      <c r="E370">
        <v>799.8</v>
      </c>
      <c r="F370">
        <v>119.97</v>
      </c>
      <c r="G370">
        <v>919.77</v>
      </c>
    </row>
    <row r="371" spans="1:7" x14ac:dyDescent="0.35">
      <c r="A371" s="178" t="s">
        <v>1068</v>
      </c>
      <c r="B371" s="178" t="s">
        <v>1069</v>
      </c>
      <c r="C371" s="178" t="s">
        <v>379</v>
      </c>
      <c r="D371" s="178" t="s">
        <v>57</v>
      </c>
      <c r="E371">
        <v>1212.45</v>
      </c>
      <c r="F371">
        <v>181.87</v>
      </c>
      <c r="G371">
        <v>1394.32</v>
      </c>
    </row>
    <row r="372" spans="1:7" x14ac:dyDescent="0.35">
      <c r="A372" s="178" t="s">
        <v>1070</v>
      </c>
      <c r="B372" s="178" t="s">
        <v>1071</v>
      </c>
      <c r="C372" s="178" t="s">
        <v>379</v>
      </c>
      <c r="D372" s="178" t="s">
        <v>57</v>
      </c>
      <c r="E372">
        <v>5792.4</v>
      </c>
      <c r="F372">
        <v>868.86</v>
      </c>
      <c r="G372">
        <v>6661.26</v>
      </c>
    </row>
    <row r="373" spans="1:7" x14ac:dyDescent="0.35">
      <c r="A373" s="178" t="s">
        <v>397</v>
      </c>
      <c r="B373" s="178" t="s">
        <v>1072</v>
      </c>
      <c r="C373" s="178" t="s">
        <v>379</v>
      </c>
      <c r="D373" s="178" t="s">
        <v>57</v>
      </c>
      <c r="E373">
        <v>3056.25</v>
      </c>
      <c r="F373">
        <v>458.44</v>
      </c>
      <c r="G373">
        <v>3514.69</v>
      </c>
    </row>
    <row r="374" spans="1:7" x14ac:dyDescent="0.35">
      <c r="A374" s="178" t="s">
        <v>400</v>
      </c>
      <c r="B374" s="178" t="s">
        <v>1073</v>
      </c>
      <c r="C374" s="178" t="s">
        <v>379</v>
      </c>
      <c r="D374" s="178" t="s">
        <v>57</v>
      </c>
      <c r="E374">
        <v>1828.5</v>
      </c>
      <c r="F374">
        <v>274.27999999999997</v>
      </c>
      <c r="G374">
        <v>2102.7800000000002</v>
      </c>
    </row>
    <row r="375" spans="1:7" x14ac:dyDescent="0.35">
      <c r="A375" s="178" t="s">
        <v>357</v>
      </c>
      <c r="B375" s="178" t="s">
        <v>1074</v>
      </c>
      <c r="C375" s="178" t="s">
        <v>386</v>
      </c>
      <c r="D375" s="178" t="s">
        <v>57</v>
      </c>
      <c r="E375">
        <v>8190.6</v>
      </c>
      <c r="F375">
        <v>1228.5899999999999</v>
      </c>
      <c r="G375">
        <v>9419.19</v>
      </c>
    </row>
    <row r="376" spans="1:7" x14ac:dyDescent="0.35">
      <c r="A376" s="178" t="s">
        <v>1075</v>
      </c>
      <c r="B376" s="178" t="s">
        <v>1076</v>
      </c>
      <c r="C376" s="178" t="s">
        <v>386</v>
      </c>
      <c r="D376" s="178" t="s">
        <v>1077</v>
      </c>
      <c r="E376">
        <v>3207.8</v>
      </c>
      <c r="F376">
        <v>481.18</v>
      </c>
      <c r="G376">
        <v>3688.98</v>
      </c>
    </row>
    <row r="377" spans="1:7" x14ac:dyDescent="0.35">
      <c r="A377" s="178" t="s">
        <v>1078</v>
      </c>
      <c r="B377" s="178" t="s">
        <v>1079</v>
      </c>
      <c r="C377" s="178" t="s">
        <v>386</v>
      </c>
      <c r="D377" s="178" t="s">
        <v>57</v>
      </c>
      <c r="E377">
        <v>1281.4000000000001</v>
      </c>
      <c r="F377">
        <v>192.22</v>
      </c>
      <c r="G377">
        <v>1473.62</v>
      </c>
    </row>
    <row r="378" spans="1:7" x14ac:dyDescent="0.35">
      <c r="A378" s="178" t="s">
        <v>1080</v>
      </c>
      <c r="B378" s="178" t="s">
        <v>1081</v>
      </c>
      <c r="C378" s="178" t="s">
        <v>386</v>
      </c>
      <c r="D378" s="178" t="s">
        <v>57</v>
      </c>
      <c r="E378">
        <v>2757.1</v>
      </c>
      <c r="F378">
        <v>413.57</v>
      </c>
      <c r="G378">
        <v>3170.67</v>
      </c>
    </row>
    <row r="379" spans="1:7" x14ac:dyDescent="0.35">
      <c r="A379" s="178" t="s">
        <v>679</v>
      </c>
      <c r="B379" s="178" t="s">
        <v>1082</v>
      </c>
      <c r="C379" s="178" t="s">
        <v>386</v>
      </c>
      <c r="D379" s="178" t="s">
        <v>57</v>
      </c>
      <c r="E379">
        <v>5449.05</v>
      </c>
      <c r="F379">
        <v>817.36</v>
      </c>
      <c r="G379">
        <v>6266.41</v>
      </c>
    </row>
    <row r="380" spans="1:7" x14ac:dyDescent="0.35">
      <c r="A380" s="178" t="s">
        <v>1083</v>
      </c>
      <c r="B380" s="178" t="s">
        <v>1084</v>
      </c>
      <c r="C380" s="178" t="s">
        <v>386</v>
      </c>
      <c r="D380" s="178" t="s">
        <v>57</v>
      </c>
      <c r="E380">
        <v>2617.1999999999998</v>
      </c>
      <c r="F380">
        <v>392.58</v>
      </c>
      <c r="G380">
        <v>3009.78</v>
      </c>
    </row>
    <row r="381" spans="1:7" x14ac:dyDescent="0.35">
      <c r="A381" s="178" t="s">
        <v>1085</v>
      </c>
      <c r="B381" s="178" t="s">
        <v>1086</v>
      </c>
      <c r="C381" s="178" t="s">
        <v>386</v>
      </c>
      <c r="D381" s="178" t="s">
        <v>1087</v>
      </c>
      <c r="E381">
        <v>2626.4</v>
      </c>
      <c r="F381">
        <v>393.96</v>
      </c>
      <c r="G381">
        <v>3020.36</v>
      </c>
    </row>
    <row r="382" spans="1:7" x14ac:dyDescent="0.35">
      <c r="A382" s="178" t="s">
        <v>1088</v>
      </c>
      <c r="B382" s="178" t="s">
        <v>1089</v>
      </c>
      <c r="C382" s="178" t="s">
        <v>386</v>
      </c>
      <c r="D382" s="178" t="s">
        <v>57</v>
      </c>
      <c r="E382">
        <v>3131.97</v>
      </c>
      <c r="F382">
        <v>469.8</v>
      </c>
      <c r="G382">
        <v>3601.77</v>
      </c>
    </row>
    <row r="383" spans="1:7" x14ac:dyDescent="0.35">
      <c r="A383" s="178" t="s">
        <v>1090</v>
      </c>
      <c r="B383" s="178" t="s">
        <v>1091</v>
      </c>
      <c r="C383" s="178" t="s">
        <v>386</v>
      </c>
      <c r="D383" s="178" t="s">
        <v>1092</v>
      </c>
      <c r="E383">
        <v>2394.9499999999998</v>
      </c>
      <c r="F383">
        <v>359.24</v>
      </c>
      <c r="G383">
        <v>2754.19</v>
      </c>
    </row>
    <row r="384" spans="1:7" x14ac:dyDescent="0.35">
      <c r="A384" s="178" t="s">
        <v>425</v>
      </c>
      <c r="B384" s="178" t="s">
        <v>1093</v>
      </c>
      <c r="C384" s="178" t="s">
        <v>386</v>
      </c>
      <c r="D384" s="178" t="s">
        <v>1094</v>
      </c>
      <c r="E384">
        <v>10422.9</v>
      </c>
      <c r="F384">
        <v>1563.44</v>
      </c>
      <c r="G384">
        <v>11986.34</v>
      </c>
    </row>
    <row r="385" spans="1:7" x14ac:dyDescent="0.35">
      <c r="A385" s="178" t="s">
        <v>578</v>
      </c>
      <c r="B385" s="178" t="s">
        <v>1095</v>
      </c>
      <c r="C385" s="178" t="s">
        <v>386</v>
      </c>
      <c r="D385" s="178" t="s">
        <v>1096</v>
      </c>
      <c r="E385">
        <v>1027.5</v>
      </c>
      <c r="F385">
        <v>150.27000000000001</v>
      </c>
      <c r="G385">
        <v>1177.77</v>
      </c>
    </row>
    <row r="386" spans="1:7" x14ac:dyDescent="0.35">
      <c r="A386" s="178" t="s">
        <v>652</v>
      </c>
      <c r="B386" s="178" t="s">
        <v>1097</v>
      </c>
      <c r="C386" s="178" t="s">
        <v>386</v>
      </c>
      <c r="D386" s="178" t="s">
        <v>57</v>
      </c>
      <c r="E386">
        <v>395</v>
      </c>
      <c r="F386">
        <v>59.25</v>
      </c>
      <c r="G386">
        <v>454.25</v>
      </c>
    </row>
    <row r="387" spans="1:7" x14ac:dyDescent="0.35">
      <c r="A387" s="178" t="s">
        <v>478</v>
      </c>
      <c r="B387" s="178" t="s">
        <v>1098</v>
      </c>
      <c r="C387" s="178" t="s">
        <v>386</v>
      </c>
      <c r="D387" s="178" t="s">
        <v>57</v>
      </c>
      <c r="E387">
        <v>2910.4</v>
      </c>
      <c r="F387">
        <v>436.56</v>
      </c>
      <c r="G387">
        <v>3346.96</v>
      </c>
    </row>
    <row r="388" spans="1:7" x14ac:dyDescent="0.35">
      <c r="A388" s="178" t="s">
        <v>353</v>
      </c>
      <c r="B388" s="178" t="s">
        <v>1099</v>
      </c>
      <c r="C388" s="178" t="s">
        <v>386</v>
      </c>
      <c r="D388" s="178" t="s">
        <v>57</v>
      </c>
      <c r="E388">
        <v>7719.7</v>
      </c>
      <c r="F388">
        <v>1157.96</v>
      </c>
      <c r="G388">
        <v>8877.66</v>
      </c>
    </row>
    <row r="389" spans="1:7" x14ac:dyDescent="0.35">
      <c r="A389" s="178" t="s">
        <v>1100</v>
      </c>
      <c r="B389" s="178" t="s">
        <v>1101</v>
      </c>
      <c r="C389" s="178" t="s">
        <v>386</v>
      </c>
      <c r="D389" s="178" t="s">
        <v>57</v>
      </c>
      <c r="E389">
        <v>2788.6</v>
      </c>
      <c r="F389">
        <v>418.29</v>
      </c>
      <c r="G389">
        <v>3206.89</v>
      </c>
    </row>
    <row r="390" spans="1:7" x14ac:dyDescent="0.35">
      <c r="A390" s="178" t="s">
        <v>1102</v>
      </c>
      <c r="B390" s="178" t="s">
        <v>1103</v>
      </c>
      <c r="C390" s="178" t="s">
        <v>386</v>
      </c>
      <c r="D390" s="178" t="s">
        <v>57</v>
      </c>
      <c r="E390">
        <v>5390.7</v>
      </c>
      <c r="F390">
        <v>808.61</v>
      </c>
      <c r="G390">
        <v>6199.31</v>
      </c>
    </row>
    <row r="391" spans="1:7" x14ac:dyDescent="0.35">
      <c r="A391" s="178" t="s">
        <v>1004</v>
      </c>
      <c r="B391" s="178" t="s">
        <v>1104</v>
      </c>
      <c r="C391" s="178" t="s">
        <v>386</v>
      </c>
      <c r="D391" s="178" t="s">
        <v>57</v>
      </c>
      <c r="E391">
        <v>4964</v>
      </c>
      <c r="F391">
        <v>744.6</v>
      </c>
      <c r="G391">
        <v>5708.6</v>
      </c>
    </row>
    <row r="392" spans="1:7" x14ac:dyDescent="0.35">
      <c r="A392" s="178" t="s">
        <v>1105</v>
      </c>
      <c r="B392" s="178" t="s">
        <v>1106</v>
      </c>
      <c r="C392" s="178" t="s">
        <v>386</v>
      </c>
      <c r="D392" s="178" t="s">
        <v>57</v>
      </c>
      <c r="E392">
        <v>1728.34</v>
      </c>
      <c r="F392">
        <v>259.25</v>
      </c>
      <c r="G392">
        <v>1987.59</v>
      </c>
    </row>
    <row r="393" spans="1:7" x14ac:dyDescent="0.35">
      <c r="A393" s="178" t="s">
        <v>1078</v>
      </c>
      <c r="B393" s="178" t="s">
        <v>1107</v>
      </c>
      <c r="C393" s="178" t="s">
        <v>386</v>
      </c>
      <c r="D393" s="178" t="s">
        <v>57</v>
      </c>
      <c r="E393">
        <v>951.95</v>
      </c>
      <c r="F393">
        <v>142.79</v>
      </c>
      <c r="G393">
        <v>1094.74</v>
      </c>
    </row>
    <row r="394" spans="1:7" x14ac:dyDescent="0.35">
      <c r="A394" s="178" t="s">
        <v>451</v>
      </c>
      <c r="B394" s="178" t="s">
        <v>1108</v>
      </c>
      <c r="C394" s="178" t="s">
        <v>386</v>
      </c>
      <c r="D394">
        <v>35822</v>
      </c>
      <c r="E394">
        <v>890.1</v>
      </c>
      <c r="F394">
        <v>133.52000000000001</v>
      </c>
      <c r="G394">
        <v>1023.62</v>
      </c>
    </row>
    <row r="395" spans="1:7" x14ac:dyDescent="0.35">
      <c r="A395" s="178" t="s">
        <v>451</v>
      </c>
      <c r="B395" s="178" t="s">
        <v>1109</v>
      </c>
      <c r="C395" s="178" t="s">
        <v>386</v>
      </c>
      <c r="D395">
        <v>35823</v>
      </c>
      <c r="E395">
        <v>9732</v>
      </c>
      <c r="F395">
        <v>1459.8</v>
      </c>
      <c r="G395">
        <v>11191.8</v>
      </c>
    </row>
    <row r="396" spans="1:7" x14ac:dyDescent="0.35">
      <c r="A396" s="178" t="s">
        <v>1110</v>
      </c>
      <c r="B396" s="178" t="s">
        <v>1111</v>
      </c>
      <c r="C396" s="178" t="s">
        <v>386</v>
      </c>
      <c r="D396" s="178" t="s">
        <v>57</v>
      </c>
      <c r="E396">
        <v>1542.9</v>
      </c>
      <c r="F396">
        <v>231.44</v>
      </c>
      <c r="G396">
        <v>1774.34</v>
      </c>
    </row>
    <row r="397" spans="1:7" x14ac:dyDescent="0.35">
      <c r="A397" s="178" t="s">
        <v>409</v>
      </c>
      <c r="B397" s="178" t="s">
        <v>1112</v>
      </c>
      <c r="C397" s="178" t="s">
        <v>386</v>
      </c>
      <c r="D397" s="178" t="s">
        <v>57</v>
      </c>
      <c r="E397">
        <v>1444.85</v>
      </c>
      <c r="F397">
        <v>216.73</v>
      </c>
      <c r="G397">
        <v>1661.58</v>
      </c>
    </row>
    <row r="398" spans="1:7" x14ac:dyDescent="0.35">
      <c r="A398" s="178" t="s">
        <v>1113</v>
      </c>
      <c r="B398" s="178" t="s">
        <v>1114</v>
      </c>
      <c r="C398" s="178" t="s">
        <v>386</v>
      </c>
      <c r="D398" s="178" t="s">
        <v>57</v>
      </c>
      <c r="E398">
        <v>2615.1999999999998</v>
      </c>
      <c r="F398">
        <v>392.28</v>
      </c>
      <c r="G398">
        <v>3007.48</v>
      </c>
    </row>
    <row r="399" spans="1:7" x14ac:dyDescent="0.35">
      <c r="A399" s="178" t="s">
        <v>1115</v>
      </c>
      <c r="B399" s="178" t="s">
        <v>1116</v>
      </c>
      <c r="C399" s="178" t="s">
        <v>386</v>
      </c>
      <c r="D399" s="178" t="s">
        <v>57</v>
      </c>
      <c r="E399">
        <v>2648.75</v>
      </c>
      <c r="F399">
        <v>397.31</v>
      </c>
      <c r="G399">
        <v>3046.06</v>
      </c>
    </row>
    <row r="400" spans="1:7" x14ac:dyDescent="0.35">
      <c r="A400" s="178" t="s">
        <v>391</v>
      </c>
      <c r="B400" s="178" t="s">
        <v>1117</v>
      </c>
      <c r="C400" s="178" t="s">
        <v>386</v>
      </c>
      <c r="D400" s="178" t="s">
        <v>57</v>
      </c>
      <c r="E400">
        <v>8081</v>
      </c>
      <c r="F400">
        <v>1212.1500000000001</v>
      </c>
      <c r="G400">
        <v>9293.15</v>
      </c>
    </row>
    <row r="401" spans="1:7" x14ac:dyDescent="0.35">
      <c r="A401" s="178" t="s">
        <v>1118</v>
      </c>
      <c r="B401" s="178" t="s">
        <v>1119</v>
      </c>
      <c r="C401" s="178" t="s">
        <v>386</v>
      </c>
      <c r="D401" s="178" t="s">
        <v>57</v>
      </c>
      <c r="E401">
        <v>1652.4</v>
      </c>
      <c r="F401">
        <v>247.86</v>
      </c>
      <c r="G401">
        <v>1900.26</v>
      </c>
    </row>
    <row r="402" spans="1:7" x14ac:dyDescent="0.35">
      <c r="A402" s="178" t="s">
        <v>391</v>
      </c>
      <c r="B402" s="178" t="s">
        <v>1120</v>
      </c>
      <c r="C402" s="178" t="s">
        <v>386</v>
      </c>
      <c r="D402" s="178" t="s">
        <v>1121</v>
      </c>
      <c r="E402">
        <v>7768</v>
      </c>
      <c r="F402">
        <v>1165.2</v>
      </c>
      <c r="G402">
        <v>8933.2000000000007</v>
      </c>
    </row>
    <row r="403" spans="1:7" x14ac:dyDescent="0.35">
      <c r="A403" s="178" t="s">
        <v>394</v>
      </c>
      <c r="B403" s="178" t="s">
        <v>1122</v>
      </c>
      <c r="C403" s="178" t="s">
        <v>386</v>
      </c>
      <c r="D403" s="178" t="s">
        <v>57</v>
      </c>
      <c r="E403">
        <v>1639.5</v>
      </c>
      <c r="F403">
        <v>245.93</v>
      </c>
      <c r="G403">
        <v>1885.43</v>
      </c>
    </row>
    <row r="404" spans="1:7" x14ac:dyDescent="0.35">
      <c r="A404" s="178" t="s">
        <v>1123</v>
      </c>
      <c r="B404" s="178" t="s">
        <v>1124</v>
      </c>
      <c r="C404" s="178" t="s">
        <v>386</v>
      </c>
      <c r="D404" s="178" t="s">
        <v>57</v>
      </c>
      <c r="E404">
        <v>1286.5999999999999</v>
      </c>
      <c r="F404">
        <v>192.99</v>
      </c>
      <c r="G404">
        <v>1479.59</v>
      </c>
    </row>
    <row r="405" spans="1:7" x14ac:dyDescent="0.35">
      <c r="A405" s="178" t="s">
        <v>1125</v>
      </c>
      <c r="B405" s="178" t="s">
        <v>1126</v>
      </c>
      <c r="C405" s="178" t="s">
        <v>386</v>
      </c>
      <c r="D405" s="178" t="s">
        <v>57</v>
      </c>
      <c r="E405">
        <v>4347.8500000000004</v>
      </c>
      <c r="F405">
        <v>652.17999999999995</v>
      </c>
      <c r="G405">
        <v>5000.03</v>
      </c>
    </row>
    <row r="406" spans="1:7" x14ac:dyDescent="0.35">
      <c r="A406" s="178" t="s">
        <v>750</v>
      </c>
      <c r="B406" s="178" t="s">
        <v>1127</v>
      </c>
      <c r="C406" s="178" t="s">
        <v>386</v>
      </c>
      <c r="D406" s="178" t="s">
        <v>57</v>
      </c>
      <c r="E406">
        <v>2475.9</v>
      </c>
      <c r="F406">
        <v>371.39</v>
      </c>
      <c r="G406">
        <v>2847.29</v>
      </c>
    </row>
    <row r="407" spans="1:7" x14ac:dyDescent="0.35">
      <c r="A407" s="178" t="s">
        <v>616</v>
      </c>
      <c r="B407" s="178" t="s">
        <v>1128</v>
      </c>
      <c r="C407" s="178" t="s">
        <v>386</v>
      </c>
      <c r="D407" s="178" t="s">
        <v>57</v>
      </c>
      <c r="E407">
        <v>27693</v>
      </c>
      <c r="F407">
        <v>4153.95</v>
      </c>
      <c r="G407">
        <v>31846.95</v>
      </c>
    </row>
    <row r="408" spans="1:7" x14ac:dyDescent="0.35">
      <c r="A408" s="178" t="s">
        <v>454</v>
      </c>
      <c r="B408" s="178" t="s">
        <v>1129</v>
      </c>
      <c r="C408" s="178" t="s">
        <v>386</v>
      </c>
      <c r="D408" s="178" t="s">
        <v>1130</v>
      </c>
      <c r="E408">
        <v>1230.4000000000001</v>
      </c>
      <c r="F408">
        <v>184.56</v>
      </c>
      <c r="G408">
        <v>1414.96</v>
      </c>
    </row>
    <row r="409" spans="1:7" x14ac:dyDescent="0.35">
      <c r="A409" s="178" t="s">
        <v>496</v>
      </c>
      <c r="B409" s="178" t="s">
        <v>1131</v>
      </c>
      <c r="C409" s="178" t="s">
        <v>386</v>
      </c>
      <c r="D409" s="178" t="s">
        <v>1132</v>
      </c>
      <c r="E409">
        <v>2023.2</v>
      </c>
      <c r="F409">
        <v>303.48</v>
      </c>
      <c r="G409">
        <v>2326.6799999999998</v>
      </c>
    </row>
    <row r="410" spans="1:7" x14ac:dyDescent="0.35">
      <c r="A410" s="178" t="s">
        <v>913</v>
      </c>
      <c r="B410" s="178" t="s">
        <v>1133</v>
      </c>
      <c r="C410" s="178" t="s">
        <v>641</v>
      </c>
      <c r="D410" s="178" t="s">
        <v>1134</v>
      </c>
      <c r="E410">
        <v>3037.55</v>
      </c>
      <c r="F410">
        <v>455.63</v>
      </c>
      <c r="G410">
        <v>3493.18</v>
      </c>
    </row>
    <row r="411" spans="1:7" x14ac:dyDescent="0.35">
      <c r="A411" s="178" t="s">
        <v>980</v>
      </c>
      <c r="B411" s="178" t="s">
        <v>1135</v>
      </c>
      <c r="C411" s="178" t="s">
        <v>386</v>
      </c>
      <c r="D411" s="178" t="s">
        <v>57</v>
      </c>
      <c r="E411">
        <v>17261.400000000001</v>
      </c>
      <c r="F411">
        <v>2589.21</v>
      </c>
      <c r="G411">
        <v>19850.61</v>
      </c>
    </row>
    <row r="412" spans="1:7" x14ac:dyDescent="0.35">
      <c r="A412" s="178" t="s">
        <v>496</v>
      </c>
      <c r="B412" s="178" t="s">
        <v>1136</v>
      </c>
      <c r="C412" s="178" t="s">
        <v>386</v>
      </c>
      <c r="D412" s="178" t="s">
        <v>1137</v>
      </c>
      <c r="E412">
        <v>1505.9</v>
      </c>
      <c r="F412">
        <v>225.89</v>
      </c>
      <c r="G412">
        <v>1731.79</v>
      </c>
    </row>
    <row r="413" spans="1:7" x14ac:dyDescent="0.35">
      <c r="A413" s="178" t="s">
        <v>913</v>
      </c>
      <c r="B413" s="178" t="s">
        <v>1138</v>
      </c>
      <c r="C413" s="178" t="s">
        <v>386</v>
      </c>
      <c r="D413" s="178" t="s">
        <v>1139</v>
      </c>
      <c r="E413">
        <v>2462.4</v>
      </c>
      <c r="F413">
        <v>369.36</v>
      </c>
      <c r="G413">
        <v>2831.76</v>
      </c>
    </row>
    <row r="414" spans="1:7" x14ac:dyDescent="0.35">
      <c r="A414" s="178" t="s">
        <v>1140</v>
      </c>
      <c r="B414" s="178" t="s">
        <v>1141</v>
      </c>
      <c r="C414" s="178" t="s">
        <v>386</v>
      </c>
      <c r="D414" s="178" t="s">
        <v>57</v>
      </c>
      <c r="E414">
        <v>7072</v>
      </c>
      <c r="F414">
        <v>1060.8</v>
      </c>
      <c r="G414">
        <v>8132.8</v>
      </c>
    </row>
    <row r="415" spans="1:7" x14ac:dyDescent="0.35">
      <c r="A415" s="178" t="s">
        <v>484</v>
      </c>
      <c r="B415" s="178" t="s">
        <v>1142</v>
      </c>
      <c r="C415" s="178" t="s">
        <v>386</v>
      </c>
      <c r="D415" s="178" t="s">
        <v>57</v>
      </c>
      <c r="E415">
        <v>4602.3500000000004</v>
      </c>
      <c r="F415">
        <v>690.35</v>
      </c>
      <c r="G415">
        <v>5292.7</v>
      </c>
    </row>
    <row r="416" spans="1:7" x14ac:dyDescent="0.35">
      <c r="A416" s="178" t="s">
        <v>372</v>
      </c>
      <c r="B416" s="178" t="s">
        <v>1143</v>
      </c>
      <c r="C416" s="178" t="s">
        <v>386</v>
      </c>
      <c r="D416" s="178" t="s">
        <v>57</v>
      </c>
      <c r="E416">
        <v>16419.400000000001</v>
      </c>
      <c r="F416">
        <v>2462.91</v>
      </c>
      <c r="G416">
        <v>18882.310000000001</v>
      </c>
    </row>
    <row r="417" spans="1:7" x14ac:dyDescent="0.35">
      <c r="A417" s="178" t="s">
        <v>960</v>
      </c>
      <c r="B417" s="178" t="s">
        <v>1144</v>
      </c>
      <c r="C417" s="178" t="s">
        <v>386</v>
      </c>
      <c r="D417" s="178" t="s">
        <v>57</v>
      </c>
      <c r="E417">
        <v>838.5</v>
      </c>
      <c r="F417">
        <v>125.78</v>
      </c>
      <c r="G417">
        <v>964.28</v>
      </c>
    </row>
    <row r="418" spans="1:7" x14ac:dyDescent="0.35">
      <c r="A418" s="178" t="s">
        <v>490</v>
      </c>
      <c r="B418" s="178" t="s">
        <v>1145</v>
      </c>
      <c r="C418" s="178" t="s">
        <v>386</v>
      </c>
      <c r="D418" s="178" t="s">
        <v>1146</v>
      </c>
      <c r="E418">
        <v>935</v>
      </c>
      <c r="F418">
        <v>140.25</v>
      </c>
      <c r="G418">
        <v>1075.25</v>
      </c>
    </row>
    <row r="419" spans="1:7" x14ac:dyDescent="0.35">
      <c r="A419" s="178" t="s">
        <v>1147</v>
      </c>
      <c r="B419" s="178" t="s">
        <v>1148</v>
      </c>
      <c r="C419" s="178" t="s">
        <v>386</v>
      </c>
      <c r="D419" s="178" t="s">
        <v>57</v>
      </c>
      <c r="E419">
        <v>3508.54</v>
      </c>
      <c r="F419">
        <v>526.28</v>
      </c>
      <c r="G419">
        <v>4034.82</v>
      </c>
    </row>
    <row r="420" spans="1:7" x14ac:dyDescent="0.35">
      <c r="A420" s="178" t="s">
        <v>347</v>
      </c>
      <c r="B420" s="178" t="s">
        <v>1149</v>
      </c>
      <c r="C420" s="178" t="s">
        <v>386</v>
      </c>
      <c r="D420" s="178" t="s">
        <v>57</v>
      </c>
      <c r="E420">
        <v>1480</v>
      </c>
      <c r="F420">
        <v>222</v>
      </c>
      <c r="G420">
        <v>1702</v>
      </c>
    </row>
    <row r="421" spans="1:7" x14ac:dyDescent="0.35">
      <c r="A421" s="178" t="s">
        <v>1017</v>
      </c>
      <c r="B421" s="178" t="s">
        <v>1150</v>
      </c>
      <c r="C421" s="178" t="s">
        <v>386</v>
      </c>
      <c r="D421" s="178" t="s">
        <v>57</v>
      </c>
      <c r="E421">
        <v>809.25</v>
      </c>
      <c r="F421">
        <v>121.39</v>
      </c>
      <c r="G421">
        <v>930.64</v>
      </c>
    </row>
    <row r="422" spans="1:7" x14ac:dyDescent="0.35">
      <c r="A422" s="178" t="s">
        <v>1151</v>
      </c>
      <c r="B422" s="178" t="s">
        <v>1152</v>
      </c>
      <c r="C422" s="178" t="s">
        <v>386</v>
      </c>
      <c r="D422" s="178" t="s">
        <v>57</v>
      </c>
      <c r="E422">
        <v>3042</v>
      </c>
      <c r="F422">
        <v>456.3</v>
      </c>
      <c r="G422">
        <v>3498.3</v>
      </c>
    </row>
    <row r="423" spans="1:7" x14ac:dyDescent="0.35">
      <c r="A423" s="178" t="s">
        <v>496</v>
      </c>
      <c r="B423" s="178" t="s">
        <v>1153</v>
      </c>
      <c r="C423" s="178" t="s">
        <v>386</v>
      </c>
      <c r="D423" s="178" t="s">
        <v>57</v>
      </c>
      <c r="E423">
        <v>771.9</v>
      </c>
      <c r="F423">
        <v>115.79</v>
      </c>
      <c r="G423">
        <v>887.69</v>
      </c>
    </row>
    <row r="424" spans="1:7" x14ac:dyDescent="0.35">
      <c r="A424" s="178" t="s">
        <v>532</v>
      </c>
      <c r="B424" s="178" t="s">
        <v>1154</v>
      </c>
      <c r="C424" s="178" t="s">
        <v>386</v>
      </c>
      <c r="D424" s="178" t="s">
        <v>57</v>
      </c>
      <c r="E424">
        <v>8109.35</v>
      </c>
      <c r="F424">
        <v>1216.4000000000001</v>
      </c>
      <c r="G424">
        <v>9325.75</v>
      </c>
    </row>
    <row r="425" spans="1:7" x14ac:dyDescent="0.35">
      <c r="A425" s="178" t="s">
        <v>1155</v>
      </c>
      <c r="B425" s="178" t="s">
        <v>1156</v>
      </c>
      <c r="C425" s="178" t="s">
        <v>386</v>
      </c>
      <c r="D425" s="178" t="s">
        <v>57</v>
      </c>
      <c r="E425">
        <v>5840</v>
      </c>
      <c r="F425">
        <v>876.01</v>
      </c>
      <c r="G425">
        <v>6716.01</v>
      </c>
    </row>
    <row r="426" spans="1:7" x14ac:dyDescent="0.35">
      <c r="A426" s="178" t="s">
        <v>1157</v>
      </c>
      <c r="B426" s="178" t="s">
        <v>1158</v>
      </c>
      <c r="C426" s="178" t="s">
        <v>416</v>
      </c>
      <c r="D426" s="178" t="s">
        <v>1159</v>
      </c>
      <c r="E426">
        <v>3220</v>
      </c>
      <c r="F426">
        <v>483</v>
      </c>
      <c r="G426">
        <v>3703</v>
      </c>
    </row>
    <row r="427" spans="1:7" x14ac:dyDescent="0.35">
      <c r="A427" s="178" t="s">
        <v>540</v>
      </c>
      <c r="B427" s="178" t="s">
        <v>1160</v>
      </c>
      <c r="C427" s="178" t="s">
        <v>416</v>
      </c>
      <c r="D427" s="178" t="s">
        <v>57</v>
      </c>
      <c r="E427">
        <v>1179.9000000000001</v>
      </c>
      <c r="F427">
        <v>176.99</v>
      </c>
      <c r="G427">
        <v>1356.89</v>
      </c>
    </row>
    <row r="428" spans="1:7" x14ac:dyDescent="0.35">
      <c r="A428" s="178" t="s">
        <v>1161</v>
      </c>
      <c r="B428" s="178" t="s">
        <v>1162</v>
      </c>
      <c r="C428" s="178" t="s">
        <v>416</v>
      </c>
      <c r="D428">
        <v>9989</v>
      </c>
      <c r="E428">
        <v>5787.15</v>
      </c>
      <c r="F428">
        <v>868.07</v>
      </c>
      <c r="G428">
        <v>6655.22</v>
      </c>
    </row>
    <row r="429" spans="1:7" x14ac:dyDescent="0.35">
      <c r="A429" s="178" t="s">
        <v>513</v>
      </c>
      <c r="B429" s="178" t="s">
        <v>1163</v>
      </c>
      <c r="C429" s="178" t="s">
        <v>416</v>
      </c>
      <c r="D429" s="178" t="s">
        <v>57</v>
      </c>
      <c r="E429">
        <v>3167.1</v>
      </c>
      <c r="F429">
        <v>475.07</v>
      </c>
      <c r="G429">
        <v>3642.17</v>
      </c>
    </row>
    <row r="430" spans="1:7" x14ac:dyDescent="0.35">
      <c r="A430" s="178" t="s">
        <v>1164</v>
      </c>
      <c r="B430" s="178" t="s">
        <v>1165</v>
      </c>
      <c r="C430" s="178" t="s">
        <v>416</v>
      </c>
      <c r="D430" s="178" t="s">
        <v>57</v>
      </c>
      <c r="E430">
        <v>692.3</v>
      </c>
      <c r="F430">
        <v>103.85</v>
      </c>
      <c r="G430">
        <v>796.15</v>
      </c>
    </row>
    <row r="431" spans="1:7" x14ac:dyDescent="0.35">
      <c r="A431" s="178" t="s">
        <v>400</v>
      </c>
      <c r="B431" s="178" t="s">
        <v>1166</v>
      </c>
      <c r="C431" s="178" t="s">
        <v>416</v>
      </c>
      <c r="D431" s="178" t="s">
        <v>57</v>
      </c>
      <c r="E431">
        <v>2745.5</v>
      </c>
      <c r="F431">
        <v>411.83</v>
      </c>
      <c r="G431">
        <v>3157.33</v>
      </c>
    </row>
    <row r="432" spans="1:7" x14ac:dyDescent="0.35">
      <c r="A432" s="178" t="s">
        <v>451</v>
      </c>
      <c r="B432" s="178" t="s">
        <v>1167</v>
      </c>
      <c r="C432" s="178" t="s">
        <v>416</v>
      </c>
      <c r="D432">
        <v>35857</v>
      </c>
      <c r="E432">
        <v>4742.6000000000004</v>
      </c>
      <c r="F432">
        <v>711.39</v>
      </c>
      <c r="G432">
        <v>5453.99</v>
      </c>
    </row>
    <row r="433" spans="1:7" x14ac:dyDescent="0.35">
      <c r="A433" s="178" t="s">
        <v>451</v>
      </c>
      <c r="B433" s="178" t="s">
        <v>1168</v>
      </c>
      <c r="C433" s="178" t="s">
        <v>416</v>
      </c>
      <c r="D433">
        <v>35865</v>
      </c>
      <c r="E433">
        <v>7010.5</v>
      </c>
      <c r="F433">
        <v>1051.58</v>
      </c>
      <c r="G433">
        <v>8062.08</v>
      </c>
    </row>
    <row r="434" spans="1:7" x14ac:dyDescent="0.35">
      <c r="A434" s="178" t="s">
        <v>637</v>
      </c>
      <c r="B434" s="178" t="s">
        <v>1169</v>
      </c>
      <c r="C434" s="178" t="s">
        <v>416</v>
      </c>
      <c r="D434" s="178" t="s">
        <v>57</v>
      </c>
      <c r="E434">
        <v>9228.75</v>
      </c>
      <c r="F434">
        <v>1384.31</v>
      </c>
      <c r="G434">
        <v>10613.06</v>
      </c>
    </row>
    <row r="435" spans="1:7" x14ac:dyDescent="0.35">
      <c r="A435" s="178" t="s">
        <v>802</v>
      </c>
      <c r="B435" s="178" t="s">
        <v>1170</v>
      </c>
      <c r="C435" s="178" t="s">
        <v>416</v>
      </c>
      <c r="D435" s="178" t="s">
        <v>57</v>
      </c>
      <c r="E435">
        <v>1440.5</v>
      </c>
      <c r="F435">
        <v>216.08</v>
      </c>
      <c r="G435">
        <v>1656.58</v>
      </c>
    </row>
    <row r="436" spans="1:7" x14ac:dyDescent="0.35">
      <c r="A436" s="178" t="s">
        <v>1171</v>
      </c>
      <c r="B436" s="178" t="s">
        <v>1172</v>
      </c>
      <c r="C436" s="178" t="s">
        <v>416</v>
      </c>
      <c r="D436" s="178" t="s">
        <v>57</v>
      </c>
      <c r="E436">
        <v>24198.799999999999</v>
      </c>
      <c r="F436">
        <v>3629.82</v>
      </c>
      <c r="G436">
        <v>27828.62</v>
      </c>
    </row>
    <row r="437" spans="1:7" x14ac:dyDescent="0.35">
      <c r="A437" s="178" t="s">
        <v>454</v>
      </c>
      <c r="B437" s="178" t="s">
        <v>1173</v>
      </c>
      <c r="C437" s="178" t="s">
        <v>416</v>
      </c>
      <c r="D437" s="178" t="s">
        <v>1174</v>
      </c>
      <c r="E437">
        <v>2704.65</v>
      </c>
      <c r="F437">
        <v>405.7</v>
      </c>
      <c r="G437">
        <v>3110.35</v>
      </c>
    </row>
    <row r="438" spans="1:7" x14ac:dyDescent="0.35">
      <c r="A438" s="178" t="s">
        <v>670</v>
      </c>
      <c r="B438" s="178" t="s">
        <v>1175</v>
      </c>
      <c r="C438" s="178" t="s">
        <v>416</v>
      </c>
      <c r="D438" s="178" t="s">
        <v>672</v>
      </c>
      <c r="E438">
        <v>7022.5</v>
      </c>
      <c r="F438">
        <v>1053.3800000000001</v>
      </c>
      <c r="G438">
        <v>8075.88</v>
      </c>
    </row>
    <row r="439" spans="1:7" x14ac:dyDescent="0.35">
      <c r="A439" s="178" t="s">
        <v>1176</v>
      </c>
      <c r="B439" s="178" t="s">
        <v>1177</v>
      </c>
      <c r="C439" s="178" t="s">
        <v>416</v>
      </c>
      <c r="D439" s="178" t="s">
        <v>57</v>
      </c>
      <c r="E439">
        <v>591.85</v>
      </c>
      <c r="F439">
        <v>88.78</v>
      </c>
      <c r="G439">
        <v>680.63</v>
      </c>
    </row>
    <row r="440" spans="1:7" x14ac:dyDescent="0.35">
      <c r="A440" s="178" t="s">
        <v>451</v>
      </c>
      <c r="B440" s="178" t="s">
        <v>1178</v>
      </c>
      <c r="C440" s="178" t="s">
        <v>416</v>
      </c>
      <c r="D440">
        <v>35892</v>
      </c>
      <c r="E440">
        <v>2725.5</v>
      </c>
      <c r="F440">
        <v>408.83</v>
      </c>
      <c r="G440">
        <v>3134.33</v>
      </c>
    </row>
    <row r="441" spans="1:7" x14ac:dyDescent="0.35">
      <c r="A441" s="178" t="s">
        <v>1179</v>
      </c>
      <c r="B441" s="178" t="s">
        <v>1180</v>
      </c>
      <c r="C441" s="178" t="s">
        <v>416</v>
      </c>
      <c r="D441" s="178" t="s">
        <v>57</v>
      </c>
      <c r="E441">
        <v>9957.2000000000007</v>
      </c>
      <c r="F441">
        <v>1493.58</v>
      </c>
      <c r="G441">
        <v>11450.78</v>
      </c>
    </row>
    <row r="442" spans="1:7" x14ac:dyDescent="0.35">
      <c r="A442" s="178" t="s">
        <v>1181</v>
      </c>
      <c r="B442" s="178" t="s">
        <v>1182</v>
      </c>
      <c r="C442" s="178" t="s">
        <v>416</v>
      </c>
      <c r="D442" s="178" t="s">
        <v>57</v>
      </c>
      <c r="E442">
        <v>868.6</v>
      </c>
      <c r="F442">
        <v>130.29</v>
      </c>
      <c r="G442">
        <v>998.89</v>
      </c>
    </row>
    <row r="443" spans="1:7" x14ac:dyDescent="0.35">
      <c r="A443" s="178" t="s">
        <v>451</v>
      </c>
      <c r="B443" s="178" t="s">
        <v>1183</v>
      </c>
      <c r="C443" s="178" t="s">
        <v>416</v>
      </c>
      <c r="D443">
        <v>35891</v>
      </c>
      <c r="E443">
        <v>4176</v>
      </c>
      <c r="F443">
        <v>626.4</v>
      </c>
      <c r="G443">
        <v>4802.3999999999996</v>
      </c>
    </row>
    <row r="444" spans="1:7" x14ac:dyDescent="0.35">
      <c r="A444" s="178" t="s">
        <v>898</v>
      </c>
      <c r="B444" s="178" t="s">
        <v>1184</v>
      </c>
      <c r="C444" s="178" t="s">
        <v>416</v>
      </c>
      <c r="D444" s="178" t="s">
        <v>57</v>
      </c>
      <c r="E444">
        <v>1162.2</v>
      </c>
      <c r="F444">
        <v>174.33</v>
      </c>
      <c r="G444">
        <v>1336.53</v>
      </c>
    </row>
    <row r="445" spans="1:7" x14ac:dyDescent="0.35">
      <c r="A445" s="178" t="s">
        <v>679</v>
      </c>
      <c r="B445" s="178" t="s">
        <v>1185</v>
      </c>
      <c r="C445" s="178" t="s">
        <v>416</v>
      </c>
      <c r="D445" s="178" t="s">
        <v>57</v>
      </c>
      <c r="E445">
        <v>7091.95</v>
      </c>
      <c r="F445">
        <v>1063.79</v>
      </c>
      <c r="G445">
        <v>8155.74</v>
      </c>
    </row>
    <row r="446" spans="1:7" x14ac:dyDescent="0.35">
      <c r="A446" s="178" t="s">
        <v>451</v>
      </c>
      <c r="B446" s="178" t="s">
        <v>1186</v>
      </c>
      <c r="C446" s="178" t="s">
        <v>416</v>
      </c>
      <c r="D446">
        <v>35895</v>
      </c>
      <c r="E446">
        <v>8959.2000000000007</v>
      </c>
      <c r="F446">
        <v>1343.88</v>
      </c>
      <c r="G446">
        <v>10303.08</v>
      </c>
    </row>
    <row r="447" spans="1:7" x14ac:dyDescent="0.35">
      <c r="A447" s="178" t="s">
        <v>1187</v>
      </c>
      <c r="B447" s="178" t="s">
        <v>1188</v>
      </c>
      <c r="C447" s="178" t="s">
        <v>416</v>
      </c>
      <c r="D447" s="178" t="s">
        <v>57</v>
      </c>
      <c r="E447">
        <v>14800.2</v>
      </c>
      <c r="F447">
        <v>2220.04</v>
      </c>
      <c r="G447">
        <v>17020.240000000002</v>
      </c>
    </row>
    <row r="448" spans="1:7" x14ac:dyDescent="0.35">
      <c r="A448" s="178" t="s">
        <v>639</v>
      </c>
      <c r="B448" s="178" t="s">
        <v>1189</v>
      </c>
      <c r="C448" s="178" t="s">
        <v>416</v>
      </c>
      <c r="D448" s="178" t="s">
        <v>1190</v>
      </c>
      <c r="E448">
        <v>8734.7999999999993</v>
      </c>
      <c r="F448">
        <v>1310.22</v>
      </c>
      <c r="G448">
        <v>10045.02</v>
      </c>
    </row>
    <row r="449" spans="1:7" x14ac:dyDescent="0.35">
      <c r="A449" s="178" t="s">
        <v>523</v>
      </c>
      <c r="B449" s="178" t="s">
        <v>1191</v>
      </c>
      <c r="C449" s="178" t="s">
        <v>416</v>
      </c>
      <c r="D449" s="178" t="s">
        <v>57</v>
      </c>
      <c r="E449">
        <v>2218.8000000000002</v>
      </c>
      <c r="F449">
        <v>332.82</v>
      </c>
      <c r="G449">
        <v>2551.62</v>
      </c>
    </row>
    <row r="450" spans="1:7" x14ac:dyDescent="0.35">
      <c r="A450" s="178" t="s">
        <v>372</v>
      </c>
      <c r="B450" s="178" t="s">
        <v>1192</v>
      </c>
      <c r="C450" s="178" t="s">
        <v>416</v>
      </c>
      <c r="D450" s="178" t="s">
        <v>57</v>
      </c>
      <c r="E450">
        <v>5421.9</v>
      </c>
      <c r="F450">
        <v>813.29</v>
      </c>
      <c r="G450">
        <v>6235.19</v>
      </c>
    </row>
    <row r="451" spans="1:7" x14ac:dyDescent="0.35">
      <c r="A451" s="178" t="s">
        <v>1193</v>
      </c>
      <c r="B451" s="178" t="s">
        <v>1194</v>
      </c>
      <c r="C451" s="178" t="s">
        <v>416</v>
      </c>
      <c r="D451" s="178" t="s">
        <v>1195</v>
      </c>
      <c r="E451">
        <v>1365.85</v>
      </c>
      <c r="F451">
        <v>204.88</v>
      </c>
      <c r="G451">
        <v>1570.73</v>
      </c>
    </row>
    <row r="452" spans="1:7" x14ac:dyDescent="0.35">
      <c r="A452" s="178" t="s">
        <v>451</v>
      </c>
      <c r="B452" s="178" t="s">
        <v>1196</v>
      </c>
      <c r="C452" s="178" t="s">
        <v>416</v>
      </c>
      <c r="D452">
        <v>35900</v>
      </c>
      <c r="E452">
        <v>8572.2000000000007</v>
      </c>
      <c r="F452">
        <v>1285.83</v>
      </c>
      <c r="G452">
        <v>9858.0300000000007</v>
      </c>
    </row>
    <row r="453" spans="1:7" x14ac:dyDescent="0.35">
      <c r="A453" s="178" t="s">
        <v>893</v>
      </c>
      <c r="B453" s="178" t="s">
        <v>1197</v>
      </c>
      <c r="C453" s="178" t="s">
        <v>416</v>
      </c>
      <c r="D453" s="178" t="s">
        <v>57</v>
      </c>
      <c r="E453">
        <v>1289.75</v>
      </c>
      <c r="F453">
        <v>193.46</v>
      </c>
      <c r="G453">
        <v>1483.21</v>
      </c>
    </row>
    <row r="454" spans="1:7" x14ac:dyDescent="0.35">
      <c r="A454" s="178" t="s">
        <v>1123</v>
      </c>
      <c r="B454" s="178" t="s">
        <v>1198</v>
      </c>
      <c r="C454" s="178" t="s">
        <v>416</v>
      </c>
      <c r="D454" s="178" t="s">
        <v>57</v>
      </c>
      <c r="E454">
        <v>2257.5</v>
      </c>
      <c r="F454">
        <v>338.63</v>
      </c>
      <c r="G454">
        <v>2596.13</v>
      </c>
    </row>
    <row r="455" spans="1:7" x14ac:dyDescent="0.35">
      <c r="A455" s="178" t="s">
        <v>532</v>
      </c>
      <c r="B455" s="178" t="s">
        <v>1199</v>
      </c>
      <c r="C455" s="178" t="s">
        <v>416</v>
      </c>
      <c r="D455" s="178" t="s">
        <v>57</v>
      </c>
      <c r="E455">
        <v>680.6</v>
      </c>
      <c r="F455">
        <v>102.09</v>
      </c>
      <c r="G455">
        <v>782.69</v>
      </c>
    </row>
    <row r="456" spans="1:7" x14ac:dyDescent="0.35">
      <c r="A456" s="178" t="s">
        <v>1200</v>
      </c>
      <c r="B456" s="178" t="s">
        <v>1201</v>
      </c>
      <c r="C456" s="178" t="s">
        <v>416</v>
      </c>
      <c r="D456" s="178" t="s">
        <v>57</v>
      </c>
      <c r="E456">
        <v>10280</v>
      </c>
      <c r="F456">
        <v>1542</v>
      </c>
      <c r="G456">
        <v>11822</v>
      </c>
    </row>
    <row r="457" spans="1:7" x14ac:dyDescent="0.35">
      <c r="A457" s="178" t="s">
        <v>464</v>
      </c>
      <c r="B457" s="178" t="s">
        <v>1202</v>
      </c>
      <c r="C457" s="178" t="s">
        <v>416</v>
      </c>
      <c r="D457" s="178" t="s">
        <v>57</v>
      </c>
      <c r="E457">
        <v>2315.6</v>
      </c>
      <c r="F457">
        <v>347.34</v>
      </c>
      <c r="G457">
        <v>2662.94</v>
      </c>
    </row>
    <row r="458" spans="1:7" x14ac:dyDescent="0.35">
      <c r="A458" s="178" t="s">
        <v>451</v>
      </c>
      <c r="B458" s="178" t="s">
        <v>1203</v>
      </c>
      <c r="C458" s="178" t="s">
        <v>416</v>
      </c>
      <c r="D458">
        <v>35907</v>
      </c>
      <c r="E458">
        <v>5731.2</v>
      </c>
      <c r="F458">
        <v>859.68</v>
      </c>
      <c r="G458">
        <v>6590.88</v>
      </c>
    </row>
    <row r="459" spans="1:7" x14ac:dyDescent="0.35">
      <c r="A459" s="178" t="s">
        <v>1204</v>
      </c>
      <c r="B459" s="178" t="s">
        <v>1205</v>
      </c>
      <c r="C459" s="178" t="s">
        <v>416</v>
      </c>
      <c r="D459" s="178" t="s">
        <v>57</v>
      </c>
      <c r="E459">
        <v>2194.1999999999998</v>
      </c>
      <c r="F459">
        <v>329.13</v>
      </c>
      <c r="G459">
        <v>2523.33</v>
      </c>
    </row>
    <row r="460" spans="1:7" x14ac:dyDescent="0.35">
      <c r="A460" s="178" t="s">
        <v>451</v>
      </c>
      <c r="B460" s="178" t="s">
        <v>1206</v>
      </c>
      <c r="C460" s="178" t="s">
        <v>416</v>
      </c>
      <c r="D460">
        <v>35903</v>
      </c>
      <c r="E460">
        <v>998.4</v>
      </c>
      <c r="F460">
        <v>149.76</v>
      </c>
      <c r="G460">
        <v>1148.1600000000001</v>
      </c>
    </row>
    <row r="461" spans="1:7" x14ac:dyDescent="0.35">
      <c r="A461" s="178" t="s">
        <v>1207</v>
      </c>
      <c r="B461" s="178" t="s">
        <v>1208</v>
      </c>
      <c r="C461" s="178" t="s">
        <v>416</v>
      </c>
      <c r="D461" s="178" t="s">
        <v>57</v>
      </c>
      <c r="E461">
        <v>1254.4000000000001</v>
      </c>
      <c r="F461">
        <v>188.16</v>
      </c>
      <c r="G461">
        <v>1442.56</v>
      </c>
    </row>
    <row r="462" spans="1:7" x14ac:dyDescent="0.35">
      <c r="A462" s="178" t="s">
        <v>722</v>
      </c>
      <c r="B462" s="178" t="s">
        <v>1209</v>
      </c>
      <c r="C462" s="178" t="s">
        <v>416</v>
      </c>
      <c r="D462" s="178" t="s">
        <v>57</v>
      </c>
      <c r="E462">
        <v>3231.4</v>
      </c>
      <c r="F462">
        <v>484.71</v>
      </c>
      <c r="G462">
        <v>3716.11</v>
      </c>
    </row>
    <row r="463" spans="1:7" x14ac:dyDescent="0.35">
      <c r="A463" s="178" t="s">
        <v>1140</v>
      </c>
      <c r="B463" s="178" t="s">
        <v>1210</v>
      </c>
      <c r="C463" s="178" t="s">
        <v>416</v>
      </c>
      <c r="D463" s="178" t="s">
        <v>57</v>
      </c>
      <c r="E463">
        <v>3042</v>
      </c>
      <c r="F463">
        <v>456.3</v>
      </c>
      <c r="G463">
        <v>3498.3</v>
      </c>
    </row>
    <row r="464" spans="1:7" x14ac:dyDescent="0.35">
      <c r="A464" s="178" t="s">
        <v>1211</v>
      </c>
      <c r="B464" s="178" t="s">
        <v>1212</v>
      </c>
      <c r="C464" s="178" t="s">
        <v>416</v>
      </c>
      <c r="D464" s="178" t="s">
        <v>57</v>
      </c>
      <c r="E464">
        <v>9168.6</v>
      </c>
      <c r="F464">
        <v>1375.29</v>
      </c>
      <c r="G464">
        <v>10543.89</v>
      </c>
    </row>
    <row r="465" spans="1:7" x14ac:dyDescent="0.35">
      <c r="A465" s="178" t="s">
        <v>949</v>
      </c>
      <c r="B465" s="178" t="s">
        <v>1213</v>
      </c>
      <c r="C465" s="178" t="s">
        <v>416</v>
      </c>
      <c r="D465" s="178" t="s">
        <v>57</v>
      </c>
      <c r="E465">
        <v>3364.9</v>
      </c>
      <c r="F465">
        <v>504.74</v>
      </c>
      <c r="G465">
        <v>3869.64</v>
      </c>
    </row>
    <row r="466" spans="1:7" x14ac:dyDescent="0.35">
      <c r="A466" s="178" t="s">
        <v>447</v>
      </c>
      <c r="B466" s="178" t="s">
        <v>1214</v>
      </c>
      <c r="C466" s="178" t="s">
        <v>416</v>
      </c>
      <c r="D466" s="178" t="s">
        <v>57</v>
      </c>
      <c r="E466">
        <v>12900</v>
      </c>
      <c r="F466">
        <v>1935</v>
      </c>
      <c r="G466">
        <v>14835</v>
      </c>
    </row>
    <row r="467" spans="1:7" x14ac:dyDescent="0.35">
      <c r="A467" s="178" t="s">
        <v>451</v>
      </c>
      <c r="B467" s="178" t="s">
        <v>1215</v>
      </c>
      <c r="C467" s="178" t="s">
        <v>416</v>
      </c>
      <c r="D467">
        <v>35909</v>
      </c>
      <c r="E467">
        <v>7402.2</v>
      </c>
      <c r="F467">
        <v>1110.33</v>
      </c>
      <c r="G467">
        <v>8512.5300000000007</v>
      </c>
    </row>
    <row r="468" spans="1:7" x14ac:dyDescent="0.35">
      <c r="A468" s="178" t="s">
        <v>451</v>
      </c>
      <c r="B468" s="178" t="s">
        <v>1216</v>
      </c>
      <c r="C468" s="178" t="s">
        <v>416</v>
      </c>
      <c r="D468">
        <v>35908</v>
      </c>
      <c r="E468">
        <v>8287.2000000000007</v>
      </c>
      <c r="F468">
        <v>1243.08</v>
      </c>
      <c r="G468">
        <v>9530.2800000000007</v>
      </c>
    </row>
    <row r="469" spans="1:7" x14ac:dyDescent="0.35">
      <c r="A469" s="178" t="s">
        <v>1217</v>
      </c>
      <c r="B469" s="178" t="s">
        <v>1218</v>
      </c>
      <c r="C469" s="178" t="s">
        <v>416</v>
      </c>
      <c r="D469" s="178" t="s">
        <v>57</v>
      </c>
      <c r="E469">
        <v>1386.87</v>
      </c>
      <c r="F469">
        <v>208.03</v>
      </c>
      <c r="G469">
        <v>1594.9</v>
      </c>
    </row>
    <row r="470" spans="1:7" x14ac:dyDescent="0.35">
      <c r="A470" s="178" t="s">
        <v>388</v>
      </c>
      <c r="B470" s="178" t="s">
        <v>1219</v>
      </c>
      <c r="C470" s="178" t="s">
        <v>416</v>
      </c>
      <c r="D470" s="178" t="s">
        <v>57</v>
      </c>
      <c r="E470">
        <v>13147.9</v>
      </c>
      <c r="F470">
        <v>1972.24</v>
      </c>
      <c r="G470">
        <v>15120.14</v>
      </c>
    </row>
    <row r="471" spans="1:7" x14ac:dyDescent="0.35">
      <c r="A471" s="178" t="s">
        <v>451</v>
      </c>
      <c r="B471" s="178" t="s">
        <v>1220</v>
      </c>
      <c r="C471" s="178" t="s">
        <v>416</v>
      </c>
      <c r="D471">
        <v>35913</v>
      </c>
      <c r="E471">
        <v>5863.2</v>
      </c>
      <c r="F471">
        <v>879.48</v>
      </c>
      <c r="G471">
        <v>6742.68</v>
      </c>
    </row>
    <row r="472" spans="1:7" x14ac:dyDescent="0.35">
      <c r="A472" s="178" t="s">
        <v>451</v>
      </c>
      <c r="B472" s="178" t="s">
        <v>1221</v>
      </c>
      <c r="C472" s="178" t="s">
        <v>416</v>
      </c>
      <c r="D472">
        <v>35920</v>
      </c>
      <c r="E472">
        <v>2663.5</v>
      </c>
      <c r="F472">
        <v>399.53</v>
      </c>
      <c r="G472">
        <v>3063.03</v>
      </c>
    </row>
    <row r="473" spans="1:7" x14ac:dyDescent="0.35">
      <c r="A473" s="178" t="s">
        <v>383</v>
      </c>
      <c r="B473" s="178" t="s">
        <v>1222</v>
      </c>
      <c r="C473" s="178" t="s">
        <v>416</v>
      </c>
      <c r="D473" s="178" t="s">
        <v>57</v>
      </c>
      <c r="E473">
        <v>1877.45</v>
      </c>
      <c r="F473">
        <v>281.62</v>
      </c>
      <c r="G473">
        <v>2159.0700000000002</v>
      </c>
    </row>
    <row r="474" spans="1:7" x14ac:dyDescent="0.35">
      <c r="A474" s="178" t="s">
        <v>793</v>
      </c>
      <c r="B474" s="178" t="s">
        <v>1223</v>
      </c>
      <c r="C474" s="178" t="s">
        <v>416</v>
      </c>
      <c r="D474" s="178" t="s">
        <v>57</v>
      </c>
      <c r="E474">
        <v>2300</v>
      </c>
      <c r="F474">
        <v>345</v>
      </c>
      <c r="G474">
        <v>2645</v>
      </c>
    </row>
    <row r="475" spans="1:7" x14ac:dyDescent="0.35">
      <c r="A475" s="178" t="s">
        <v>1224</v>
      </c>
      <c r="B475" s="178" t="s">
        <v>1225</v>
      </c>
      <c r="C475" s="178" t="s">
        <v>416</v>
      </c>
      <c r="D475" s="178" t="s">
        <v>57</v>
      </c>
      <c r="E475">
        <v>4234.6000000000004</v>
      </c>
      <c r="F475">
        <v>635.19000000000005</v>
      </c>
      <c r="G475">
        <v>4869.79</v>
      </c>
    </row>
    <row r="476" spans="1:7" x14ac:dyDescent="0.35">
      <c r="A476" s="178" t="s">
        <v>388</v>
      </c>
      <c r="B476" s="178" t="s">
        <v>1226</v>
      </c>
      <c r="C476" s="178" t="s">
        <v>416</v>
      </c>
      <c r="D476" s="178" t="s">
        <v>57</v>
      </c>
      <c r="E476">
        <v>4504</v>
      </c>
      <c r="F476">
        <v>675.6</v>
      </c>
      <c r="G476">
        <v>5179.6000000000004</v>
      </c>
    </row>
    <row r="477" spans="1:7" x14ac:dyDescent="0.35">
      <c r="A477" s="178" t="s">
        <v>425</v>
      </c>
      <c r="B477" s="178" t="s">
        <v>1227</v>
      </c>
      <c r="C477" s="178" t="s">
        <v>416</v>
      </c>
      <c r="D477" s="178" t="s">
        <v>1228</v>
      </c>
      <c r="E477">
        <v>10126.9</v>
      </c>
      <c r="F477">
        <v>1519.04</v>
      </c>
      <c r="G477">
        <v>11645.94</v>
      </c>
    </row>
    <row r="478" spans="1:7" x14ac:dyDescent="0.35">
      <c r="A478" s="178" t="s">
        <v>1171</v>
      </c>
      <c r="B478" s="178" t="s">
        <v>1229</v>
      </c>
      <c r="C478" s="178" t="s">
        <v>416</v>
      </c>
      <c r="D478" s="178" t="s">
        <v>57</v>
      </c>
      <c r="E478">
        <v>3150</v>
      </c>
      <c r="F478">
        <v>472.5</v>
      </c>
      <c r="G478">
        <v>3622.5</v>
      </c>
    </row>
    <row r="479" spans="1:7" x14ac:dyDescent="0.35">
      <c r="A479" s="178" t="s">
        <v>713</v>
      </c>
      <c r="B479" s="178" t="s">
        <v>1230</v>
      </c>
      <c r="C479" s="178" t="s">
        <v>416</v>
      </c>
      <c r="D479" s="178" t="s">
        <v>57</v>
      </c>
      <c r="E479">
        <v>6805.85</v>
      </c>
      <c r="F479">
        <v>1020.89</v>
      </c>
      <c r="G479">
        <v>7826.74</v>
      </c>
    </row>
    <row r="480" spans="1:7" x14ac:dyDescent="0.35">
      <c r="A480" s="178" t="s">
        <v>1231</v>
      </c>
      <c r="B480" s="178" t="s">
        <v>1232</v>
      </c>
      <c r="C480" s="178" t="s">
        <v>416</v>
      </c>
      <c r="D480" s="178" t="s">
        <v>57</v>
      </c>
      <c r="E480">
        <v>639.9</v>
      </c>
      <c r="F480">
        <v>95.99</v>
      </c>
      <c r="G480">
        <v>735.89</v>
      </c>
    </row>
    <row r="481" spans="1:7" x14ac:dyDescent="0.35">
      <c r="A481" s="178" t="s">
        <v>347</v>
      </c>
      <c r="B481" s="178" t="s">
        <v>1233</v>
      </c>
      <c r="C481" s="178" t="s">
        <v>416</v>
      </c>
      <c r="D481" s="178" t="s">
        <v>57</v>
      </c>
      <c r="E481">
        <v>17230.900000000001</v>
      </c>
      <c r="F481">
        <v>2584.64</v>
      </c>
      <c r="G481">
        <v>19815.54</v>
      </c>
    </row>
    <row r="482" spans="1:7" x14ac:dyDescent="0.35">
      <c r="A482" s="178" t="s">
        <v>1234</v>
      </c>
      <c r="B482" s="178" t="s">
        <v>1235</v>
      </c>
      <c r="C482" s="178" t="s">
        <v>416</v>
      </c>
      <c r="D482" s="178" t="s">
        <v>57</v>
      </c>
      <c r="E482">
        <v>2475.0500000000002</v>
      </c>
      <c r="F482">
        <v>371.26</v>
      </c>
      <c r="G482">
        <v>2846.31</v>
      </c>
    </row>
    <row r="483" spans="1:7" x14ac:dyDescent="0.35">
      <c r="A483" s="178" t="s">
        <v>454</v>
      </c>
      <c r="B483" s="178" t="s">
        <v>1236</v>
      </c>
      <c r="C483" s="178" t="s">
        <v>416</v>
      </c>
      <c r="D483" s="178" t="s">
        <v>57</v>
      </c>
      <c r="E483">
        <v>6267.8</v>
      </c>
      <c r="F483">
        <v>940.17</v>
      </c>
      <c r="G483">
        <v>7207.97</v>
      </c>
    </row>
    <row r="484" spans="1:7" x14ac:dyDescent="0.35">
      <c r="A484" s="178" t="s">
        <v>1237</v>
      </c>
      <c r="B484" s="178" t="s">
        <v>1238</v>
      </c>
      <c r="C484" s="178" t="s">
        <v>416</v>
      </c>
      <c r="D484" s="178" t="s">
        <v>57</v>
      </c>
      <c r="E484">
        <v>679.4</v>
      </c>
      <c r="F484">
        <v>101.91</v>
      </c>
      <c r="G484">
        <v>781.31</v>
      </c>
    </row>
    <row r="485" spans="1:7" x14ac:dyDescent="0.35">
      <c r="A485" s="178" t="s">
        <v>1239</v>
      </c>
      <c r="B485" s="178" t="s">
        <v>1240</v>
      </c>
      <c r="C485" s="178" t="s">
        <v>416</v>
      </c>
      <c r="D485" s="178" t="s">
        <v>57</v>
      </c>
      <c r="E485">
        <v>1627.75</v>
      </c>
      <c r="F485">
        <v>244.16</v>
      </c>
      <c r="G485">
        <v>1871.91</v>
      </c>
    </row>
    <row r="486" spans="1:7" x14ac:dyDescent="0.35">
      <c r="A486" s="178" t="s">
        <v>454</v>
      </c>
      <c r="B486" s="178" t="s">
        <v>1241</v>
      </c>
      <c r="C486" s="178" t="s">
        <v>416</v>
      </c>
      <c r="D486" s="178" t="s">
        <v>57</v>
      </c>
      <c r="E486">
        <v>243.48</v>
      </c>
      <c r="F486">
        <v>36.520000000000003</v>
      </c>
      <c r="G486">
        <v>280</v>
      </c>
    </row>
    <row r="487" spans="1:7" x14ac:dyDescent="0.35">
      <c r="A487" s="178" t="s">
        <v>1242</v>
      </c>
      <c r="B487" s="178" t="s">
        <v>1243</v>
      </c>
      <c r="C487" s="178" t="s">
        <v>416</v>
      </c>
      <c r="D487" s="178" t="s">
        <v>57</v>
      </c>
      <c r="E487">
        <v>6693.2</v>
      </c>
      <c r="F487">
        <v>1004</v>
      </c>
      <c r="G487">
        <v>7697.2</v>
      </c>
    </row>
    <row r="488" spans="1:7" x14ac:dyDescent="0.35">
      <c r="A488" s="178" t="s">
        <v>729</v>
      </c>
      <c r="B488" s="178" t="s">
        <v>1244</v>
      </c>
      <c r="C488" s="178" t="s">
        <v>416</v>
      </c>
      <c r="D488" s="178" t="s">
        <v>57</v>
      </c>
      <c r="E488">
        <v>1421.25</v>
      </c>
      <c r="F488">
        <v>213.19</v>
      </c>
      <c r="G488">
        <v>1634.44</v>
      </c>
    </row>
    <row r="489" spans="1:7" x14ac:dyDescent="0.35">
      <c r="A489" s="178" t="s">
        <v>709</v>
      </c>
      <c r="B489" s="178" t="s">
        <v>1245</v>
      </c>
      <c r="C489" s="178" t="s">
        <v>416</v>
      </c>
      <c r="D489" s="178" t="s">
        <v>57</v>
      </c>
      <c r="E489">
        <v>3769.1</v>
      </c>
      <c r="F489">
        <v>565.37</v>
      </c>
      <c r="G489">
        <v>4334.47</v>
      </c>
    </row>
    <row r="490" spans="1:7" x14ac:dyDescent="0.35">
      <c r="A490" s="178" t="s">
        <v>962</v>
      </c>
      <c r="B490" s="178" t="s">
        <v>1246</v>
      </c>
      <c r="C490" s="178" t="s">
        <v>416</v>
      </c>
      <c r="D490" s="178" t="s">
        <v>57</v>
      </c>
      <c r="E490">
        <v>1442</v>
      </c>
      <c r="F490">
        <v>216.3</v>
      </c>
      <c r="G490">
        <v>1658.3</v>
      </c>
    </row>
    <row r="491" spans="1:7" x14ac:dyDescent="0.35">
      <c r="A491" s="178" t="s">
        <v>627</v>
      </c>
      <c r="B491" s="178" t="s">
        <v>1247</v>
      </c>
      <c r="C491" s="178" t="s">
        <v>416</v>
      </c>
      <c r="D491" s="178" t="s">
        <v>57</v>
      </c>
      <c r="E491">
        <v>4050.85</v>
      </c>
      <c r="F491">
        <v>607.63</v>
      </c>
      <c r="G491">
        <v>4658.4799999999996</v>
      </c>
    </row>
    <row r="492" spans="1:7" x14ac:dyDescent="0.35">
      <c r="A492" s="178" t="s">
        <v>315</v>
      </c>
      <c r="B492" s="178" t="s">
        <v>1248</v>
      </c>
      <c r="C492" s="178" t="s">
        <v>416</v>
      </c>
      <c r="D492" s="178" t="s">
        <v>57</v>
      </c>
      <c r="E492">
        <v>4784</v>
      </c>
      <c r="F492">
        <v>717.6</v>
      </c>
      <c r="G492">
        <v>5501.6</v>
      </c>
    </row>
    <row r="493" spans="1:7" x14ac:dyDescent="0.35">
      <c r="A493" s="178" t="s">
        <v>1249</v>
      </c>
      <c r="B493" s="178" t="s">
        <v>1250</v>
      </c>
      <c r="C493" s="178" t="s">
        <v>416</v>
      </c>
      <c r="D493" s="178" t="s">
        <v>57</v>
      </c>
      <c r="E493">
        <v>5520.97</v>
      </c>
      <c r="F493">
        <v>828.15</v>
      </c>
      <c r="G493">
        <v>6349.12</v>
      </c>
    </row>
    <row r="494" spans="1:7" x14ac:dyDescent="0.35">
      <c r="A494" s="178" t="s">
        <v>1251</v>
      </c>
      <c r="B494" s="178" t="s">
        <v>1252</v>
      </c>
      <c r="C494" s="178" t="s">
        <v>416</v>
      </c>
      <c r="D494" s="178" t="s">
        <v>57</v>
      </c>
      <c r="E494">
        <v>1389.85</v>
      </c>
      <c r="F494">
        <v>208.48</v>
      </c>
      <c r="G494">
        <v>1598.33</v>
      </c>
    </row>
    <row r="495" spans="1:7" x14ac:dyDescent="0.35">
      <c r="A495" s="178" t="s">
        <v>624</v>
      </c>
      <c r="B495" s="178" t="s">
        <v>1253</v>
      </c>
      <c r="C495" s="178" t="s">
        <v>416</v>
      </c>
      <c r="D495" s="178" t="s">
        <v>57</v>
      </c>
      <c r="E495">
        <v>24810.3</v>
      </c>
      <c r="F495">
        <v>3721.54</v>
      </c>
      <c r="G495">
        <v>28531.84</v>
      </c>
    </row>
    <row r="496" spans="1:7" x14ac:dyDescent="0.35">
      <c r="A496" s="178" t="s">
        <v>1254</v>
      </c>
      <c r="B496" s="178" t="s">
        <v>1255</v>
      </c>
      <c r="C496" s="178" t="s">
        <v>416</v>
      </c>
      <c r="D496" s="178" t="s">
        <v>57</v>
      </c>
      <c r="E496">
        <v>636.4</v>
      </c>
      <c r="F496">
        <v>95.46</v>
      </c>
      <c r="G496">
        <v>731.86</v>
      </c>
    </row>
    <row r="497" spans="1:7" x14ac:dyDescent="0.35">
      <c r="A497" s="178" t="s">
        <v>1256</v>
      </c>
      <c r="B497" s="178" t="s">
        <v>1257</v>
      </c>
      <c r="C497" s="178" t="s">
        <v>416</v>
      </c>
      <c r="D497" s="178" t="s">
        <v>57</v>
      </c>
      <c r="E497">
        <v>1367.6</v>
      </c>
      <c r="F497">
        <v>205.15</v>
      </c>
      <c r="G497">
        <v>1572.75</v>
      </c>
    </row>
    <row r="498" spans="1:7" x14ac:dyDescent="0.35">
      <c r="A498" s="178" t="s">
        <v>1258</v>
      </c>
      <c r="B498" s="178" t="s">
        <v>1259</v>
      </c>
      <c r="C498" s="178" t="s">
        <v>416</v>
      </c>
      <c r="D498" s="178" t="s">
        <v>57</v>
      </c>
      <c r="E498">
        <v>519.83000000000004</v>
      </c>
      <c r="F498">
        <v>77.98</v>
      </c>
      <c r="G498">
        <v>597.80999999999995</v>
      </c>
    </row>
    <row r="499" spans="1:7" x14ac:dyDescent="0.35">
      <c r="A499" s="178" t="s">
        <v>591</v>
      </c>
      <c r="B499" s="178" t="s">
        <v>1260</v>
      </c>
      <c r="C499" s="178" t="s">
        <v>416</v>
      </c>
      <c r="D499" s="178" t="s">
        <v>57</v>
      </c>
      <c r="E499">
        <v>7699.37</v>
      </c>
      <c r="F499">
        <v>1154.9100000000001</v>
      </c>
      <c r="G499">
        <v>8854.2800000000007</v>
      </c>
    </row>
    <row r="500" spans="1:7" x14ac:dyDescent="0.35">
      <c r="A500" s="178" t="s">
        <v>454</v>
      </c>
      <c r="B500" s="178" t="s">
        <v>1261</v>
      </c>
      <c r="C500" s="178" t="s">
        <v>416</v>
      </c>
      <c r="D500" s="178" t="s">
        <v>57</v>
      </c>
      <c r="E500">
        <v>3913.04</v>
      </c>
      <c r="F500">
        <v>586.96</v>
      </c>
      <c r="G500">
        <v>4500</v>
      </c>
    </row>
    <row r="501" spans="1:7" x14ac:dyDescent="0.35">
      <c r="A501" s="178" t="s">
        <v>1262</v>
      </c>
      <c r="B501" s="178" t="s">
        <v>1263</v>
      </c>
      <c r="C501" s="178" t="s">
        <v>416</v>
      </c>
      <c r="D501" s="178" t="s">
        <v>57</v>
      </c>
      <c r="E501">
        <v>3716</v>
      </c>
      <c r="F501">
        <v>557.41999999999996</v>
      </c>
      <c r="G501">
        <v>4273.42</v>
      </c>
    </row>
    <row r="502" spans="1:7" x14ac:dyDescent="0.35">
      <c r="A502" s="178" t="s">
        <v>332</v>
      </c>
      <c r="B502" s="178" t="s">
        <v>1264</v>
      </c>
      <c r="C502" s="178" t="s">
        <v>416</v>
      </c>
      <c r="D502" s="178" t="s">
        <v>57</v>
      </c>
      <c r="E502">
        <v>2742.55</v>
      </c>
      <c r="F502">
        <v>411.39</v>
      </c>
      <c r="G502">
        <v>3153.94</v>
      </c>
    </row>
    <row r="503" spans="1:7" x14ac:dyDescent="0.35">
      <c r="A503" s="178" t="s">
        <v>1265</v>
      </c>
      <c r="B503" s="178" t="s">
        <v>1266</v>
      </c>
      <c r="C503" s="178" t="s">
        <v>429</v>
      </c>
      <c r="D503" s="178" t="s">
        <v>1267</v>
      </c>
      <c r="E503">
        <v>8468.2000000000007</v>
      </c>
      <c r="F503">
        <v>1270.23</v>
      </c>
      <c r="G503">
        <v>9738.43</v>
      </c>
    </row>
    <row r="504" spans="1:7" x14ac:dyDescent="0.35">
      <c r="A504" s="178" t="s">
        <v>918</v>
      </c>
      <c r="B504" s="178" t="s">
        <v>1268</v>
      </c>
      <c r="C504" s="178" t="s">
        <v>429</v>
      </c>
      <c r="D504" s="178" t="s">
        <v>57</v>
      </c>
      <c r="E504">
        <v>11301.4</v>
      </c>
      <c r="F504">
        <v>1695.21</v>
      </c>
      <c r="G504">
        <v>12996.61</v>
      </c>
    </row>
    <row r="505" spans="1:7" x14ac:dyDescent="0.35">
      <c r="A505" s="178" t="s">
        <v>920</v>
      </c>
      <c r="B505" s="178" t="s">
        <v>1269</v>
      </c>
      <c r="C505" s="178" t="s">
        <v>429</v>
      </c>
      <c r="D505" s="178" t="s">
        <v>1270</v>
      </c>
      <c r="E505">
        <v>811.75</v>
      </c>
      <c r="F505">
        <v>121.76</v>
      </c>
      <c r="G505">
        <v>933.51</v>
      </c>
    </row>
    <row r="506" spans="1:7" x14ac:dyDescent="0.35">
      <c r="A506" s="178" t="s">
        <v>924</v>
      </c>
      <c r="B506" s="178" t="s">
        <v>1271</v>
      </c>
      <c r="C506" s="178" t="s">
        <v>429</v>
      </c>
      <c r="D506" s="178" t="s">
        <v>57</v>
      </c>
      <c r="E506">
        <v>8457.5</v>
      </c>
      <c r="F506">
        <v>1268.6300000000001</v>
      </c>
      <c r="G506">
        <v>9726.1299999999992</v>
      </c>
    </row>
    <row r="507" spans="1:7" x14ac:dyDescent="0.35">
      <c r="A507" s="178" t="s">
        <v>750</v>
      </c>
      <c r="B507" s="178" t="s">
        <v>1272</v>
      </c>
      <c r="C507" s="178" t="s">
        <v>429</v>
      </c>
      <c r="D507" s="178" t="s">
        <v>57</v>
      </c>
      <c r="E507">
        <v>4979</v>
      </c>
      <c r="F507">
        <v>746.85</v>
      </c>
      <c r="G507">
        <v>5725.85</v>
      </c>
    </row>
    <row r="508" spans="1:7" x14ac:dyDescent="0.35">
      <c r="A508" s="178" t="s">
        <v>1273</v>
      </c>
      <c r="B508" s="178" t="s">
        <v>1274</v>
      </c>
      <c r="C508" s="178" t="s">
        <v>429</v>
      </c>
      <c r="D508" s="178" t="s">
        <v>1275</v>
      </c>
      <c r="E508">
        <v>850.5</v>
      </c>
      <c r="F508">
        <v>127.58</v>
      </c>
      <c r="G508">
        <v>978.08</v>
      </c>
    </row>
    <row r="509" spans="1:7" x14ac:dyDescent="0.35">
      <c r="A509" s="178" t="s">
        <v>1276</v>
      </c>
      <c r="B509" s="178" t="s">
        <v>1277</v>
      </c>
      <c r="C509" s="178" t="s">
        <v>429</v>
      </c>
      <c r="D509" s="178" t="s">
        <v>1278</v>
      </c>
      <c r="E509">
        <v>4580.6000000000004</v>
      </c>
      <c r="F509">
        <v>687.09</v>
      </c>
      <c r="G509">
        <v>5267.69</v>
      </c>
    </row>
    <row r="510" spans="1:7" x14ac:dyDescent="0.35">
      <c r="A510" s="178" t="s">
        <v>1279</v>
      </c>
      <c r="B510" s="178" t="s">
        <v>1280</v>
      </c>
      <c r="C510" s="178" t="s">
        <v>429</v>
      </c>
      <c r="D510" s="178" t="s">
        <v>57</v>
      </c>
      <c r="E510">
        <v>1490.4</v>
      </c>
      <c r="F510">
        <v>223.56</v>
      </c>
      <c r="G510">
        <v>1713.96</v>
      </c>
    </row>
    <row r="511" spans="1:7" x14ac:dyDescent="0.35">
      <c r="A511" s="178" t="s">
        <v>540</v>
      </c>
      <c r="B511" s="178" t="s">
        <v>1281</v>
      </c>
      <c r="C511" s="178" t="s">
        <v>429</v>
      </c>
      <c r="D511" s="178" t="s">
        <v>57</v>
      </c>
      <c r="E511">
        <v>1215</v>
      </c>
      <c r="F511">
        <v>182.25</v>
      </c>
      <c r="G511">
        <v>1397.25</v>
      </c>
    </row>
    <row r="512" spans="1:7" x14ac:dyDescent="0.35">
      <c r="A512" s="178" t="s">
        <v>350</v>
      </c>
      <c r="B512" s="178" t="s">
        <v>1282</v>
      </c>
      <c r="C512" s="178" t="s">
        <v>429</v>
      </c>
      <c r="D512" s="178" t="s">
        <v>1283</v>
      </c>
      <c r="E512">
        <v>1604</v>
      </c>
      <c r="F512">
        <v>240.6</v>
      </c>
      <c r="G512">
        <v>1844.6</v>
      </c>
    </row>
    <row r="513" spans="1:7" x14ac:dyDescent="0.35">
      <c r="A513" s="178" t="s">
        <v>679</v>
      </c>
      <c r="B513" s="178" t="s">
        <v>1284</v>
      </c>
      <c r="C513" s="178" t="s">
        <v>429</v>
      </c>
      <c r="D513" s="178" t="s">
        <v>57</v>
      </c>
      <c r="E513">
        <v>1327.7</v>
      </c>
      <c r="F513">
        <v>199.16</v>
      </c>
      <c r="G513">
        <v>1526.86</v>
      </c>
    </row>
    <row r="514" spans="1:7" x14ac:dyDescent="0.35">
      <c r="A514" s="178" t="s">
        <v>471</v>
      </c>
      <c r="B514" s="178" t="s">
        <v>1285</v>
      </c>
      <c r="C514" s="178" t="s">
        <v>429</v>
      </c>
      <c r="D514" s="178" t="s">
        <v>57</v>
      </c>
      <c r="E514">
        <v>3916.45</v>
      </c>
      <c r="F514">
        <v>587.47</v>
      </c>
      <c r="G514">
        <v>4503.92</v>
      </c>
    </row>
    <row r="515" spans="1:7" x14ac:dyDescent="0.35">
      <c r="A515" s="178" t="s">
        <v>1286</v>
      </c>
      <c r="B515" s="178" t="s">
        <v>1287</v>
      </c>
      <c r="C515" s="178" t="s">
        <v>429</v>
      </c>
      <c r="D515" s="178" t="s">
        <v>57</v>
      </c>
      <c r="E515">
        <v>10757.1</v>
      </c>
      <c r="F515">
        <v>1613.57</v>
      </c>
      <c r="G515">
        <v>12370.67</v>
      </c>
    </row>
    <row r="516" spans="1:7" x14ac:dyDescent="0.35">
      <c r="A516" s="178" t="s">
        <v>568</v>
      </c>
      <c r="B516" s="178" t="s">
        <v>1288</v>
      </c>
      <c r="C516" s="178" t="s">
        <v>429</v>
      </c>
      <c r="D516" s="178" t="s">
        <v>1289</v>
      </c>
      <c r="E516">
        <v>8310.25</v>
      </c>
      <c r="F516">
        <v>1246.55</v>
      </c>
      <c r="G516">
        <v>9556.7999999999993</v>
      </c>
    </row>
    <row r="517" spans="1:7" x14ac:dyDescent="0.35">
      <c r="A517" s="178" t="s">
        <v>1290</v>
      </c>
      <c r="B517" s="178" t="s">
        <v>1291</v>
      </c>
      <c r="C517" s="178" t="s">
        <v>429</v>
      </c>
      <c r="D517" s="178" t="s">
        <v>57</v>
      </c>
      <c r="E517">
        <v>4128.6499999999996</v>
      </c>
      <c r="F517">
        <v>619.29999999999995</v>
      </c>
      <c r="G517">
        <v>4747.95</v>
      </c>
    </row>
    <row r="518" spans="1:7" x14ac:dyDescent="0.35">
      <c r="A518" s="178" t="s">
        <v>357</v>
      </c>
      <c r="B518" s="178" t="s">
        <v>1292</v>
      </c>
      <c r="C518" s="178" t="s">
        <v>429</v>
      </c>
      <c r="D518" s="178" t="s">
        <v>57</v>
      </c>
      <c r="E518">
        <v>907.2</v>
      </c>
      <c r="F518">
        <v>136.08000000000001</v>
      </c>
      <c r="G518">
        <v>1043.28</v>
      </c>
    </row>
    <row r="519" spans="1:7" x14ac:dyDescent="0.35">
      <c r="A519" s="178" t="s">
        <v>566</v>
      </c>
      <c r="B519" s="178" t="s">
        <v>1293</v>
      </c>
      <c r="C519" s="178" t="s">
        <v>429</v>
      </c>
      <c r="D519" s="178" t="s">
        <v>57</v>
      </c>
      <c r="E519">
        <v>28099.35</v>
      </c>
      <c r="F519">
        <v>4214.91</v>
      </c>
      <c r="G519">
        <v>32314.26</v>
      </c>
    </row>
    <row r="520" spans="1:7" x14ac:dyDescent="0.35">
      <c r="A520" s="178" t="s">
        <v>866</v>
      </c>
      <c r="B520" s="178" t="s">
        <v>1294</v>
      </c>
      <c r="C520" s="178" t="s">
        <v>429</v>
      </c>
      <c r="D520" s="178" t="s">
        <v>57</v>
      </c>
      <c r="E520">
        <v>1807.1</v>
      </c>
      <c r="F520">
        <v>271.07</v>
      </c>
      <c r="G520">
        <v>2078.17</v>
      </c>
    </row>
    <row r="521" spans="1:7" x14ac:dyDescent="0.35">
      <c r="A521" s="178" t="s">
        <v>397</v>
      </c>
      <c r="B521" s="178" t="s">
        <v>1295</v>
      </c>
      <c r="C521" s="178" t="s">
        <v>429</v>
      </c>
      <c r="D521" s="178" t="s">
        <v>57</v>
      </c>
      <c r="E521">
        <v>2827.5</v>
      </c>
      <c r="F521">
        <v>424.13</v>
      </c>
      <c r="G521">
        <v>3251.63</v>
      </c>
    </row>
    <row r="522" spans="1:7" x14ac:dyDescent="0.35">
      <c r="A522" s="178" t="s">
        <v>1296</v>
      </c>
      <c r="B522" s="178" t="s">
        <v>1297</v>
      </c>
      <c r="C522" s="178" t="s">
        <v>429</v>
      </c>
      <c r="D522" s="178" t="s">
        <v>1298</v>
      </c>
      <c r="E522">
        <v>10935.2</v>
      </c>
      <c r="F522">
        <v>1640.28</v>
      </c>
      <c r="G522">
        <v>12575.48</v>
      </c>
    </row>
    <row r="523" spans="1:7" x14ac:dyDescent="0.35">
      <c r="A523" s="178" t="s">
        <v>681</v>
      </c>
      <c r="B523" s="178" t="s">
        <v>1299</v>
      </c>
      <c r="C523" s="178" t="s">
        <v>429</v>
      </c>
      <c r="D523" s="178" t="s">
        <v>57</v>
      </c>
      <c r="E523">
        <v>27205.15</v>
      </c>
      <c r="F523">
        <v>4080.77</v>
      </c>
      <c r="G523">
        <v>31285.919999999998</v>
      </c>
    </row>
    <row r="524" spans="1:7" x14ac:dyDescent="0.35">
      <c r="A524" s="178" t="s">
        <v>1300</v>
      </c>
      <c r="B524" s="178" t="s">
        <v>1301</v>
      </c>
      <c r="C524" s="178" t="s">
        <v>429</v>
      </c>
      <c r="D524" s="178" t="s">
        <v>1302</v>
      </c>
      <c r="E524">
        <v>1822.5</v>
      </c>
      <c r="F524">
        <v>273.38</v>
      </c>
      <c r="G524">
        <v>2095.88</v>
      </c>
    </row>
    <row r="525" spans="1:7" x14ac:dyDescent="0.35">
      <c r="A525" s="178" t="s">
        <v>1303</v>
      </c>
      <c r="B525" s="178" t="s">
        <v>1304</v>
      </c>
      <c r="C525" s="178" t="s">
        <v>429</v>
      </c>
      <c r="D525" s="178" t="s">
        <v>57</v>
      </c>
      <c r="E525">
        <v>2109.5</v>
      </c>
      <c r="F525">
        <v>316.43</v>
      </c>
      <c r="G525">
        <v>2425.9299999999998</v>
      </c>
    </row>
    <row r="526" spans="1:7" x14ac:dyDescent="0.35">
      <c r="A526" s="178" t="s">
        <v>1305</v>
      </c>
      <c r="B526" s="178" t="s">
        <v>1306</v>
      </c>
      <c r="C526" s="178" t="s">
        <v>429</v>
      </c>
      <c r="D526" s="178" t="s">
        <v>1307</v>
      </c>
      <c r="E526">
        <v>4223.05</v>
      </c>
      <c r="F526">
        <v>633.46</v>
      </c>
      <c r="G526">
        <v>4856.51</v>
      </c>
    </row>
    <row r="527" spans="1:7" x14ac:dyDescent="0.35">
      <c r="A527" s="178" t="s">
        <v>833</v>
      </c>
      <c r="B527" s="178" t="s">
        <v>1308</v>
      </c>
      <c r="C527" s="178" t="s">
        <v>429</v>
      </c>
      <c r="D527" s="178" t="s">
        <v>57</v>
      </c>
      <c r="E527">
        <v>1601.9</v>
      </c>
      <c r="F527">
        <v>240.29</v>
      </c>
      <c r="G527">
        <v>1842.19</v>
      </c>
    </row>
    <row r="528" spans="1:7" x14ac:dyDescent="0.35">
      <c r="A528" s="178" t="s">
        <v>434</v>
      </c>
      <c r="B528" s="178" t="s">
        <v>1309</v>
      </c>
      <c r="C528" s="178" t="s">
        <v>429</v>
      </c>
      <c r="D528" s="178" t="s">
        <v>57</v>
      </c>
      <c r="E528">
        <v>2107</v>
      </c>
      <c r="F528">
        <v>316.06</v>
      </c>
      <c r="G528">
        <v>2423.06</v>
      </c>
    </row>
    <row r="529" spans="1:7" x14ac:dyDescent="0.35">
      <c r="A529" s="178" t="s">
        <v>839</v>
      </c>
      <c r="B529" s="178" t="s">
        <v>1310</v>
      </c>
      <c r="C529" s="178" t="s">
        <v>429</v>
      </c>
      <c r="D529" s="178" t="s">
        <v>57</v>
      </c>
      <c r="E529">
        <v>2382.6</v>
      </c>
      <c r="F529">
        <v>357.39</v>
      </c>
      <c r="G529">
        <v>2739.99</v>
      </c>
    </row>
    <row r="530" spans="1:7" x14ac:dyDescent="0.35">
      <c r="A530" s="178" t="s">
        <v>1311</v>
      </c>
      <c r="B530" s="178" t="s">
        <v>1312</v>
      </c>
      <c r="C530" s="178" t="s">
        <v>429</v>
      </c>
      <c r="D530" s="178" t="s">
        <v>57</v>
      </c>
      <c r="E530">
        <v>8928</v>
      </c>
      <c r="F530">
        <v>1339.2</v>
      </c>
      <c r="G530">
        <v>10267.200000000001</v>
      </c>
    </row>
    <row r="531" spans="1:7" x14ac:dyDescent="0.35">
      <c r="A531" s="178" t="s">
        <v>1313</v>
      </c>
      <c r="B531" s="178" t="s">
        <v>1314</v>
      </c>
      <c r="C531" s="178" t="s">
        <v>429</v>
      </c>
      <c r="D531" s="178" t="s">
        <v>1315</v>
      </c>
      <c r="E531">
        <v>3353.55</v>
      </c>
      <c r="F531">
        <v>503.03</v>
      </c>
      <c r="G531">
        <v>3856.58</v>
      </c>
    </row>
    <row r="532" spans="1:7" x14ac:dyDescent="0.35">
      <c r="A532" s="178" t="s">
        <v>1316</v>
      </c>
      <c r="B532" s="178" t="s">
        <v>1317</v>
      </c>
      <c r="C532" s="178" t="s">
        <v>429</v>
      </c>
      <c r="D532" s="178" t="s">
        <v>1318</v>
      </c>
      <c r="E532">
        <v>11894.4</v>
      </c>
      <c r="F532">
        <v>1784.16</v>
      </c>
      <c r="G532">
        <v>13678.56</v>
      </c>
    </row>
    <row r="533" spans="1:7" x14ac:dyDescent="0.35">
      <c r="A533" s="178" t="s">
        <v>1319</v>
      </c>
      <c r="B533" s="178" t="s">
        <v>1320</v>
      </c>
      <c r="C533" s="178" t="s">
        <v>429</v>
      </c>
      <c r="D533" s="178" t="s">
        <v>57</v>
      </c>
      <c r="E533">
        <v>14758.4</v>
      </c>
      <c r="F533">
        <v>2213.7600000000002</v>
      </c>
      <c r="G533">
        <v>16972.16</v>
      </c>
    </row>
    <row r="534" spans="1:7" x14ac:dyDescent="0.35">
      <c r="A534" s="178" t="s">
        <v>1321</v>
      </c>
      <c r="B534" s="178" t="s">
        <v>1322</v>
      </c>
      <c r="C534" s="178" t="s">
        <v>429</v>
      </c>
      <c r="D534" s="178" t="s">
        <v>1323</v>
      </c>
      <c r="E534">
        <v>1404.15</v>
      </c>
      <c r="F534">
        <v>210.62</v>
      </c>
      <c r="G534">
        <v>1614.77</v>
      </c>
    </row>
    <row r="535" spans="1:7" x14ac:dyDescent="0.35">
      <c r="A535" s="178" t="s">
        <v>344</v>
      </c>
      <c r="B535" s="178" t="s">
        <v>1324</v>
      </c>
      <c r="C535" s="178" t="s">
        <v>429</v>
      </c>
      <c r="D535" s="178" t="s">
        <v>57</v>
      </c>
      <c r="E535">
        <v>3079.2</v>
      </c>
      <c r="F535">
        <v>461.88</v>
      </c>
      <c r="G535">
        <v>3541.08</v>
      </c>
    </row>
    <row r="536" spans="1:7" x14ac:dyDescent="0.35">
      <c r="A536" s="178" t="s">
        <v>451</v>
      </c>
      <c r="B536" s="178" t="s">
        <v>1325</v>
      </c>
      <c r="C536" s="178" t="s">
        <v>429</v>
      </c>
      <c r="D536">
        <v>35989</v>
      </c>
      <c r="E536">
        <v>5568.5</v>
      </c>
      <c r="F536">
        <v>835.28</v>
      </c>
      <c r="G536">
        <v>6403.78</v>
      </c>
    </row>
    <row r="537" spans="1:7" x14ac:dyDescent="0.35">
      <c r="A537" s="178" t="s">
        <v>442</v>
      </c>
      <c r="B537" s="178" t="s">
        <v>1326</v>
      </c>
      <c r="C537" s="178" t="s">
        <v>429</v>
      </c>
      <c r="D537" s="178" t="s">
        <v>57</v>
      </c>
      <c r="E537">
        <v>604.35</v>
      </c>
      <c r="F537">
        <v>90.65</v>
      </c>
      <c r="G537">
        <v>695</v>
      </c>
    </row>
    <row r="538" spans="1:7" x14ac:dyDescent="0.35">
      <c r="A538" s="178" t="s">
        <v>400</v>
      </c>
      <c r="B538" s="178" t="s">
        <v>1327</v>
      </c>
      <c r="C538" s="178" t="s">
        <v>429</v>
      </c>
      <c r="D538" s="178" t="s">
        <v>57</v>
      </c>
      <c r="E538">
        <v>3455.25</v>
      </c>
      <c r="F538">
        <v>518.29</v>
      </c>
      <c r="G538">
        <v>3973.54</v>
      </c>
    </row>
    <row r="539" spans="1:7" x14ac:dyDescent="0.35">
      <c r="A539" s="178" t="s">
        <v>388</v>
      </c>
      <c r="B539" s="178" t="s">
        <v>1328</v>
      </c>
      <c r="C539" s="178" t="s">
        <v>429</v>
      </c>
      <c r="D539" s="178" t="s">
        <v>57</v>
      </c>
      <c r="E539">
        <v>4696.8</v>
      </c>
      <c r="F539">
        <v>704.52</v>
      </c>
      <c r="G539">
        <v>5401.32</v>
      </c>
    </row>
    <row r="540" spans="1:7" x14ac:dyDescent="0.35">
      <c r="A540" s="178" t="s">
        <v>1329</v>
      </c>
      <c r="B540" s="178" t="s">
        <v>1330</v>
      </c>
      <c r="C540" s="178" t="s">
        <v>429</v>
      </c>
      <c r="D540" s="178" t="s">
        <v>57</v>
      </c>
      <c r="E540">
        <v>4246.6000000000004</v>
      </c>
      <c r="F540">
        <v>636.99</v>
      </c>
      <c r="G540">
        <v>4883.59</v>
      </c>
    </row>
    <row r="541" spans="1:7" x14ac:dyDescent="0.35">
      <c r="A541" s="178" t="s">
        <v>1331</v>
      </c>
      <c r="B541" s="178" t="s">
        <v>1332</v>
      </c>
      <c r="C541" s="178" t="s">
        <v>429</v>
      </c>
      <c r="D541" s="178" t="s">
        <v>57</v>
      </c>
      <c r="E541">
        <v>7000</v>
      </c>
      <c r="F541">
        <v>1050</v>
      </c>
      <c r="G541">
        <v>8050</v>
      </c>
    </row>
    <row r="542" spans="1:7" x14ac:dyDescent="0.35">
      <c r="A542" s="178" t="s">
        <v>1041</v>
      </c>
      <c r="B542" s="178" t="s">
        <v>1333</v>
      </c>
      <c r="C542" s="178" t="s">
        <v>429</v>
      </c>
      <c r="D542" s="178" t="s">
        <v>57</v>
      </c>
      <c r="E542">
        <v>1225.8499999999999</v>
      </c>
      <c r="F542">
        <v>183.88</v>
      </c>
      <c r="G542">
        <v>1409.73</v>
      </c>
    </row>
    <row r="543" spans="1:7" x14ac:dyDescent="0.35">
      <c r="A543" s="178" t="s">
        <v>388</v>
      </c>
      <c r="B543" s="178" t="s">
        <v>1334</v>
      </c>
      <c r="C543" s="178" t="s">
        <v>429</v>
      </c>
      <c r="D543" s="178" t="s">
        <v>57</v>
      </c>
      <c r="E543">
        <v>12726.14</v>
      </c>
      <c r="F543">
        <v>1908.92</v>
      </c>
      <c r="G543">
        <v>14635.06</v>
      </c>
    </row>
    <row r="544" spans="1:7" x14ac:dyDescent="0.35">
      <c r="A544" s="178" t="s">
        <v>1335</v>
      </c>
      <c r="B544" s="178" t="s">
        <v>1336</v>
      </c>
      <c r="C544" s="178" t="s">
        <v>429</v>
      </c>
      <c r="D544" s="178" t="s">
        <v>1337</v>
      </c>
      <c r="E544">
        <v>6776</v>
      </c>
      <c r="F544">
        <v>1016.4</v>
      </c>
      <c r="G544">
        <v>7792.4</v>
      </c>
    </row>
    <row r="545" spans="1:7" x14ac:dyDescent="0.35">
      <c r="A545" s="178" t="s">
        <v>980</v>
      </c>
      <c r="B545" s="178" t="s">
        <v>1338</v>
      </c>
      <c r="C545" s="178" t="s">
        <v>429</v>
      </c>
      <c r="D545" s="178" t="s">
        <v>1339</v>
      </c>
      <c r="E545">
        <v>1177.05</v>
      </c>
      <c r="F545">
        <v>176.56</v>
      </c>
      <c r="G545">
        <v>1353.61</v>
      </c>
    </row>
    <row r="546" spans="1:7" x14ac:dyDescent="0.35">
      <c r="A546" s="178" t="s">
        <v>454</v>
      </c>
      <c r="B546" s="178" t="s">
        <v>1340</v>
      </c>
      <c r="C546" s="178" t="s">
        <v>429</v>
      </c>
      <c r="D546" s="178" t="s">
        <v>57</v>
      </c>
      <c r="E546">
        <v>18000</v>
      </c>
      <c r="F546">
        <v>2700</v>
      </c>
      <c r="G546">
        <v>20700</v>
      </c>
    </row>
    <row r="547" spans="1:7" x14ac:dyDescent="0.35">
      <c r="A547" s="178" t="s">
        <v>1059</v>
      </c>
      <c r="B547" s="178" t="s">
        <v>1341</v>
      </c>
      <c r="C547" s="178" t="s">
        <v>429</v>
      </c>
      <c r="D547" s="178" t="s">
        <v>57</v>
      </c>
      <c r="E547">
        <v>1580</v>
      </c>
      <c r="F547">
        <v>237</v>
      </c>
      <c r="G547">
        <v>1817</v>
      </c>
    </row>
    <row r="548" spans="1:7" x14ac:dyDescent="0.35">
      <c r="A548" s="178" t="s">
        <v>1342</v>
      </c>
      <c r="B548" s="178" t="s">
        <v>1343</v>
      </c>
      <c r="C548" s="178" t="s">
        <v>429</v>
      </c>
      <c r="D548" s="178" t="s">
        <v>57</v>
      </c>
      <c r="E548">
        <v>1193.7</v>
      </c>
      <c r="F548">
        <v>179.06</v>
      </c>
      <c r="G548">
        <v>1372.76</v>
      </c>
    </row>
    <row r="549" spans="1:7" x14ac:dyDescent="0.35">
      <c r="A549" s="178" t="s">
        <v>1344</v>
      </c>
      <c r="B549" s="178" t="s">
        <v>1345</v>
      </c>
      <c r="C549" s="178" t="s">
        <v>429</v>
      </c>
      <c r="D549" s="178" t="s">
        <v>57</v>
      </c>
      <c r="E549">
        <v>1239.5</v>
      </c>
      <c r="F549">
        <v>185.93</v>
      </c>
      <c r="G549">
        <v>1425.43</v>
      </c>
    </row>
    <row r="550" spans="1:7" x14ac:dyDescent="0.35">
      <c r="A550" s="178" t="s">
        <v>868</v>
      </c>
      <c r="B550" s="178" t="s">
        <v>1346</v>
      </c>
      <c r="C550" s="178" t="s">
        <v>429</v>
      </c>
      <c r="D550" s="178" t="s">
        <v>57</v>
      </c>
      <c r="E550">
        <v>15093</v>
      </c>
      <c r="F550">
        <v>2263.96</v>
      </c>
      <c r="G550">
        <v>17356.96</v>
      </c>
    </row>
    <row r="551" spans="1:7" x14ac:dyDescent="0.35">
      <c r="A551" s="178" t="s">
        <v>1347</v>
      </c>
      <c r="B551" s="178" t="s">
        <v>1348</v>
      </c>
      <c r="C551" s="178" t="s">
        <v>429</v>
      </c>
      <c r="D551" s="178" t="s">
        <v>57</v>
      </c>
      <c r="E551">
        <v>977.5</v>
      </c>
      <c r="F551">
        <v>146.63</v>
      </c>
      <c r="G551">
        <v>1124.1300000000001</v>
      </c>
    </row>
    <row r="552" spans="1:7" x14ac:dyDescent="0.35">
      <c r="A552" s="178" t="s">
        <v>949</v>
      </c>
      <c r="B552" s="178" t="s">
        <v>1349</v>
      </c>
      <c r="C552" s="178" t="s">
        <v>429</v>
      </c>
      <c r="D552" s="178" t="s">
        <v>57</v>
      </c>
      <c r="E552">
        <v>7185.2</v>
      </c>
      <c r="F552">
        <v>1077.79</v>
      </c>
      <c r="G552">
        <v>8262.99</v>
      </c>
    </row>
    <row r="553" spans="1:7" x14ac:dyDescent="0.35">
      <c r="A553" s="178" t="s">
        <v>736</v>
      </c>
      <c r="B553" s="178" t="s">
        <v>1350</v>
      </c>
      <c r="C553" s="178" t="s">
        <v>429</v>
      </c>
      <c r="D553" s="178" t="s">
        <v>57</v>
      </c>
      <c r="E553">
        <v>1668.4</v>
      </c>
      <c r="F553">
        <v>250.26</v>
      </c>
      <c r="G553">
        <v>1918.66</v>
      </c>
    </row>
    <row r="554" spans="1:7" x14ac:dyDescent="0.35">
      <c r="A554" s="178" t="s">
        <v>866</v>
      </c>
      <c r="B554" s="178" t="s">
        <v>1351</v>
      </c>
      <c r="C554" s="178" t="s">
        <v>429</v>
      </c>
      <c r="D554" s="178" t="s">
        <v>1352</v>
      </c>
      <c r="E554">
        <v>3250</v>
      </c>
      <c r="F554">
        <v>487.5</v>
      </c>
      <c r="G554">
        <v>3737.5</v>
      </c>
    </row>
    <row r="555" spans="1:7" x14ac:dyDescent="0.35">
      <c r="A555" s="178" t="s">
        <v>1353</v>
      </c>
      <c r="B555" s="178" t="s">
        <v>1354</v>
      </c>
      <c r="C555" s="178" t="s">
        <v>429</v>
      </c>
      <c r="D555" s="178" t="s">
        <v>1355</v>
      </c>
      <c r="E555">
        <v>4566.6000000000004</v>
      </c>
      <c r="F555">
        <v>684.99</v>
      </c>
      <c r="G555">
        <v>5251.59</v>
      </c>
    </row>
    <row r="556" spans="1:7" x14ac:dyDescent="0.35">
      <c r="A556" s="178" t="s">
        <v>372</v>
      </c>
      <c r="B556" s="178" t="s">
        <v>1356</v>
      </c>
      <c r="C556" s="178" t="s">
        <v>429</v>
      </c>
      <c r="D556" s="178" t="s">
        <v>57</v>
      </c>
      <c r="E556">
        <v>47305.15</v>
      </c>
      <c r="F556">
        <v>7095.77</v>
      </c>
      <c r="G556">
        <v>54400.92</v>
      </c>
    </row>
    <row r="557" spans="1:7" x14ac:dyDescent="0.35">
      <c r="A557" s="178" t="s">
        <v>709</v>
      </c>
      <c r="B557" s="178" t="s">
        <v>1357</v>
      </c>
      <c r="C557" s="178" t="s">
        <v>429</v>
      </c>
      <c r="D557" s="178" t="s">
        <v>57</v>
      </c>
      <c r="E557">
        <v>5852.3</v>
      </c>
      <c r="F557">
        <v>877.85</v>
      </c>
      <c r="G557">
        <v>6730.15</v>
      </c>
    </row>
    <row r="558" spans="1:7" x14ac:dyDescent="0.35">
      <c r="A558" s="178" t="s">
        <v>532</v>
      </c>
      <c r="B558" s="178" t="s">
        <v>1358</v>
      </c>
      <c r="C558" s="178" t="s">
        <v>429</v>
      </c>
      <c r="D558" s="178" t="s">
        <v>57</v>
      </c>
      <c r="E558">
        <v>9744.65</v>
      </c>
      <c r="F558">
        <v>1461.7</v>
      </c>
      <c r="G558">
        <v>11206.35</v>
      </c>
    </row>
    <row r="559" spans="1:7" x14ac:dyDescent="0.35">
      <c r="A559" s="178" t="s">
        <v>582</v>
      </c>
      <c r="B559" s="178" t="s">
        <v>1359</v>
      </c>
      <c r="C559" s="178" t="s">
        <v>429</v>
      </c>
      <c r="D559" s="178" t="s">
        <v>57</v>
      </c>
      <c r="E559">
        <v>7817</v>
      </c>
      <c r="F559">
        <v>1172.55</v>
      </c>
      <c r="G559">
        <v>8989.5499999999993</v>
      </c>
    </row>
    <row r="560" spans="1:7" x14ac:dyDescent="0.35">
      <c r="A560" s="178" t="s">
        <v>1360</v>
      </c>
      <c r="B560" s="178" t="s">
        <v>1361</v>
      </c>
      <c r="C560" s="178" t="s">
        <v>429</v>
      </c>
      <c r="D560" s="178" t="s">
        <v>57</v>
      </c>
      <c r="E560">
        <v>9522.15</v>
      </c>
      <c r="F560">
        <v>1428.33</v>
      </c>
      <c r="G560">
        <v>10950.48</v>
      </c>
    </row>
    <row r="561" spans="1:7" x14ac:dyDescent="0.35">
      <c r="A561" s="178" t="s">
        <v>1362</v>
      </c>
      <c r="B561" s="178" t="s">
        <v>1363</v>
      </c>
      <c r="C561" s="178" t="s">
        <v>429</v>
      </c>
      <c r="D561" s="178" t="s">
        <v>57</v>
      </c>
      <c r="E561">
        <v>6217.45</v>
      </c>
      <c r="F561">
        <v>932.62</v>
      </c>
      <c r="G561">
        <v>7150.07</v>
      </c>
    </row>
    <row r="562" spans="1:7" x14ac:dyDescent="0.35">
      <c r="A562" s="178" t="s">
        <v>454</v>
      </c>
      <c r="B562" s="178" t="s">
        <v>1364</v>
      </c>
      <c r="C562" s="178" t="s">
        <v>429</v>
      </c>
      <c r="D562" s="178" t="s">
        <v>57</v>
      </c>
      <c r="E562">
        <v>1150.8</v>
      </c>
      <c r="F562">
        <v>172.62</v>
      </c>
      <c r="G562">
        <v>1323.42</v>
      </c>
    </row>
    <row r="563" spans="1:7" x14ac:dyDescent="0.35">
      <c r="A563" s="178" t="s">
        <v>1365</v>
      </c>
      <c r="B563" s="178" t="s">
        <v>1366</v>
      </c>
      <c r="C563" s="178" t="s">
        <v>429</v>
      </c>
      <c r="D563" s="178" t="s">
        <v>57</v>
      </c>
      <c r="E563">
        <v>1213.8</v>
      </c>
      <c r="F563">
        <v>182.07</v>
      </c>
      <c r="G563">
        <v>1395.87</v>
      </c>
    </row>
    <row r="564" spans="1:7" x14ac:dyDescent="0.35">
      <c r="A564" s="178" t="s">
        <v>980</v>
      </c>
      <c r="B564" s="178" t="s">
        <v>1367</v>
      </c>
      <c r="C564" s="178" t="s">
        <v>429</v>
      </c>
      <c r="D564">
        <v>73714</v>
      </c>
      <c r="E564">
        <v>17647.5</v>
      </c>
      <c r="F564">
        <v>2647.13</v>
      </c>
      <c r="G564">
        <v>20294.63</v>
      </c>
    </row>
    <row r="565" spans="1:7" x14ac:dyDescent="0.35">
      <c r="A565" s="178" t="s">
        <v>1368</v>
      </c>
      <c r="B565" s="178" t="s">
        <v>1369</v>
      </c>
      <c r="C565" s="178" t="s">
        <v>429</v>
      </c>
      <c r="D565" s="178" t="s">
        <v>57</v>
      </c>
      <c r="E565">
        <v>1453.95</v>
      </c>
      <c r="F565">
        <v>218.09</v>
      </c>
      <c r="G565">
        <v>1672.04</v>
      </c>
    </row>
    <row r="566" spans="1:7" x14ac:dyDescent="0.35">
      <c r="A566" s="178" t="s">
        <v>1370</v>
      </c>
      <c r="B566" s="178" t="s">
        <v>1371</v>
      </c>
      <c r="C566" s="178" t="s">
        <v>429</v>
      </c>
      <c r="D566" s="178" t="s">
        <v>1372</v>
      </c>
      <c r="E566">
        <v>3240</v>
      </c>
      <c r="F566">
        <v>486</v>
      </c>
      <c r="G566">
        <v>3726</v>
      </c>
    </row>
    <row r="567" spans="1:7" x14ac:dyDescent="0.35">
      <c r="A567" s="178" t="s">
        <v>332</v>
      </c>
      <c r="B567" s="178" t="s">
        <v>1373</v>
      </c>
      <c r="C567" s="178" t="s">
        <v>429</v>
      </c>
      <c r="D567" s="178" t="s">
        <v>57</v>
      </c>
      <c r="E567">
        <v>6253.8</v>
      </c>
      <c r="F567">
        <v>938.07</v>
      </c>
      <c r="G567">
        <v>7191.87</v>
      </c>
    </row>
    <row r="568" spans="1:7" x14ac:dyDescent="0.35">
      <c r="A568" s="178" t="s">
        <v>335</v>
      </c>
      <c r="B568" s="178" t="s">
        <v>1374</v>
      </c>
      <c r="C568" s="178" t="s">
        <v>429</v>
      </c>
      <c r="D568" s="178" t="s">
        <v>1375</v>
      </c>
      <c r="E568">
        <v>6216</v>
      </c>
      <c r="F568">
        <v>932.4</v>
      </c>
      <c r="G568">
        <v>7148.4</v>
      </c>
    </row>
    <row r="569" spans="1:7" x14ac:dyDescent="0.35">
      <c r="A569" s="178" t="s">
        <v>388</v>
      </c>
      <c r="B569" s="178" t="s">
        <v>1376</v>
      </c>
      <c r="C569" s="178" t="s">
        <v>429</v>
      </c>
      <c r="D569" s="178" t="s">
        <v>57</v>
      </c>
      <c r="E569">
        <v>4292.3999999999996</v>
      </c>
      <c r="F569">
        <v>643.86</v>
      </c>
      <c r="G569">
        <v>4936.26</v>
      </c>
    </row>
    <row r="570" spans="1:7" x14ac:dyDescent="0.35">
      <c r="A570" s="178" t="s">
        <v>490</v>
      </c>
      <c r="B570" s="178" t="s">
        <v>1377</v>
      </c>
      <c r="C570" s="178" t="s">
        <v>429</v>
      </c>
      <c r="D570" s="178" t="s">
        <v>1146</v>
      </c>
      <c r="E570">
        <v>895</v>
      </c>
      <c r="F570">
        <v>134.25</v>
      </c>
      <c r="G570">
        <v>1029.25</v>
      </c>
    </row>
    <row r="571" spans="1:7" x14ac:dyDescent="0.35">
      <c r="A571" s="178" t="s">
        <v>1321</v>
      </c>
      <c r="B571" s="178" t="s">
        <v>1378</v>
      </c>
      <c r="C571" s="178" t="s">
        <v>433</v>
      </c>
      <c r="D571" s="178" t="s">
        <v>57</v>
      </c>
      <c r="E571">
        <v>1775</v>
      </c>
      <c r="F571">
        <v>266.25</v>
      </c>
      <c r="G571">
        <v>2041.25</v>
      </c>
    </row>
    <row r="572" spans="1:7" x14ac:dyDescent="0.35">
      <c r="A572" s="178" t="s">
        <v>681</v>
      </c>
      <c r="B572" s="178" t="s">
        <v>1379</v>
      </c>
      <c r="C572" s="178" t="s">
        <v>433</v>
      </c>
      <c r="D572" s="178" t="s">
        <v>1380</v>
      </c>
      <c r="E572">
        <v>1627.2</v>
      </c>
      <c r="F572">
        <v>244.08</v>
      </c>
      <c r="G572">
        <v>1871.28</v>
      </c>
    </row>
    <row r="573" spans="1:7" x14ac:dyDescent="0.35">
      <c r="A573" s="178" t="s">
        <v>1381</v>
      </c>
      <c r="B573" s="178" t="s">
        <v>1382</v>
      </c>
      <c r="C573" s="178" t="s">
        <v>433</v>
      </c>
      <c r="D573" s="178" t="s">
        <v>57</v>
      </c>
      <c r="E573">
        <v>2401.1999999999998</v>
      </c>
      <c r="F573">
        <v>360.18</v>
      </c>
      <c r="G573">
        <v>2761.38</v>
      </c>
    </row>
    <row r="574" spans="1:7" x14ac:dyDescent="0.35">
      <c r="A574" s="178" t="s">
        <v>1383</v>
      </c>
      <c r="B574" s="178" t="s">
        <v>1384</v>
      </c>
      <c r="C574" s="178" t="s">
        <v>433</v>
      </c>
      <c r="D574" s="178" t="s">
        <v>57</v>
      </c>
      <c r="E574">
        <v>3000</v>
      </c>
      <c r="F574">
        <v>450</v>
      </c>
      <c r="G574">
        <v>3450</v>
      </c>
    </row>
    <row r="575" spans="1:7" x14ac:dyDescent="0.35">
      <c r="A575" s="178" t="s">
        <v>1385</v>
      </c>
      <c r="B575" s="178" t="s">
        <v>1386</v>
      </c>
      <c r="C575" s="178" t="s">
        <v>433</v>
      </c>
      <c r="D575" s="178" t="s">
        <v>57</v>
      </c>
      <c r="E575">
        <v>31235.1</v>
      </c>
      <c r="F575">
        <v>4685.2700000000004</v>
      </c>
      <c r="G575">
        <v>35920.370000000003</v>
      </c>
    </row>
    <row r="576" spans="1:7" x14ac:dyDescent="0.35">
      <c r="A576" s="178" t="s">
        <v>1387</v>
      </c>
      <c r="B576" s="178" t="s">
        <v>1388</v>
      </c>
      <c r="C576" s="178" t="s">
        <v>433</v>
      </c>
      <c r="D576" s="178" t="s">
        <v>57</v>
      </c>
      <c r="E576">
        <v>2052</v>
      </c>
      <c r="F576">
        <v>307.8</v>
      </c>
      <c r="G576">
        <v>2359.8000000000002</v>
      </c>
    </row>
    <row r="577" spans="1:7" x14ac:dyDescent="0.35">
      <c r="A577" s="178" t="s">
        <v>1389</v>
      </c>
      <c r="B577" s="178" t="s">
        <v>1390</v>
      </c>
      <c r="C577" s="178" t="s">
        <v>433</v>
      </c>
      <c r="D577" s="178" t="s">
        <v>1391</v>
      </c>
      <c r="E577">
        <v>29230.65</v>
      </c>
      <c r="F577">
        <v>4384.6099999999997</v>
      </c>
      <c r="G577">
        <v>33615.26</v>
      </c>
    </row>
    <row r="578" spans="1:7" x14ac:dyDescent="0.35">
      <c r="A578" s="178" t="s">
        <v>715</v>
      </c>
      <c r="B578" s="178" t="s">
        <v>1392</v>
      </c>
      <c r="C578" s="178" t="s">
        <v>433</v>
      </c>
      <c r="D578" s="178" t="s">
        <v>57</v>
      </c>
      <c r="E578">
        <v>1579.2</v>
      </c>
      <c r="F578">
        <v>236.88</v>
      </c>
      <c r="G578">
        <v>1816.08</v>
      </c>
    </row>
    <row r="579" spans="1:7" x14ac:dyDescent="0.35">
      <c r="A579" s="178" t="s">
        <v>1393</v>
      </c>
      <c r="B579" s="178" t="s">
        <v>1394</v>
      </c>
      <c r="C579" s="178" t="s">
        <v>433</v>
      </c>
      <c r="D579" s="178" t="s">
        <v>57</v>
      </c>
      <c r="E579">
        <v>2092.5</v>
      </c>
      <c r="F579">
        <v>313.88</v>
      </c>
      <c r="G579">
        <v>2406.38</v>
      </c>
    </row>
    <row r="580" spans="1:7" x14ac:dyDescent="0.35">
      <c r="A580" s="178" t="s">
        <v>1395</v>
      </c>
      <c r="B580" s="178" t="s">
        <v>1396</v>
      </c>
      <c r="C580" s="178" t="s">
        <v>433</v>
      </c>
      <c r="D580" s="178" t="s">
        <v>57</v>
      </c>
      <c r="E580">
        <v>2555</v>
      </c>
      <c r="F580">
        <v>383.25</v>
      </c>
      <c r="G580">
        <v>2938.25</v>
      </c>
    </row>
    <row r="581" spans="1:7" x14ac:dyDescent="0.35">
      <c r="A581" s="178" t="s">
        <v>962</v>
      </c>
      <c r="B581" s="178" t="s">
        <v>1397</v>
      </c>
      <c r="C581" s="178" t="s">
        <v>433</v>
      </c>
      <c r="D581" s="178" t="s">
        <v>57</v>
      </c>
      <c r="E581">
        <v>1153.5999999999999</v>
      </c>
      <c r="F581">
        <v>173.04</v>
      </c>
      <c r="G581">
        <v>1326.64</v>
      </c>
    </row>
    <row r="582" spans="1:7" x14ac:dyDescent="0.35">
      <c r="A582" s="178" t="s">
        <v>1313</v>
      </c>
      <c r="B582" s="178" t="s">
        <v>1398</v>
      </c>
      <c r="C582" s="178" t="s">
        <v>433</v>
      </c>
      <c r="D582" s="178" t="s">
        <v>1399</v>
      </c>
      <c r="E582">
        <v>3108.65</v>
      </c>
      <c r="F582">
        <v>466.3</v>
      </c>
      <c r="G582">
        <v>3574.95</v>
      </c>
    </row>
    <row r="583" spans="1:7" x14ac:dyDescent="0.35">
      <c r="A583" s="178" t="s">
        <v>1400</v>
      </c>
      <c r="B583" s="178" t="s">
        <v>1401</v>
      </c>
      <c r="C583" s="178" t="s">
        <v>433</v>
      </c>
      <c r="D583" s="178" t="s">
        <v>57</v>
      </c>
      <c r="E583">
        <v>774.3</v>
      </c>
      <c r="F583">
        <v>116.15</v>
      </c>
      <c r="G583">
        <v>890.45</v>
      </c>
    </row>
    <row r="584" spans="1:7" x14ac:dyDescent="0.35">
      <c r="A584" s="178" t="s">
        <v>962</v>
      </c>
      <c r="B584" s="178" t="s">
        <v>1402</v>
      </c>
      <c r="C584" s="178" t="s">
        <v>433</v>
      </c>
      <c r="D584" s="178" t="s">
        <v>57</v>
      </c>
      <c r="E584">
        <v>2357.6</v>
      </c>
      <c r="F584">
        <v>353.64</v>
      </c>
      <c r="G584">
        <v>2711.24</v>
      </c>
    </row>
    <row r="585" spans="1:7" x14ac:dyDescent="0.35">
      <c r="A585" s="178" t="s">
        <v>1403</v>
      </c>
      <c r="B585" s="178" t="s">
        <v>1404</v>
      </c>
      <c r="C585" s="178" t="s">
        <v>433</v>
      </c>
      <c r="D585" s="178" t="s">
        <v>942</v>
      </c>
      <c r="E585">
        <v>4484.3999999999996</v>
      </c>
      <c r="F585">
        <v>672.66</v>
      </c>
      <c r="G585">
        <v>5157.0600000000004</v>
      </c>
    </row>
    <row r="586" spans="1:7" x14ac:dyDescent="0.35">
      <c r="A586" s="178" t="s">
        <v>987</v>
      </c>
      <c r="B586" s="178" t="s">
        <v>1405</v>
      </c>
      <c r="C586" s="178" t="s">
        <v>433</v>
      </c>
      <c r="D586" s="178" t="s">
        <v>57</v>
      </c>
      <c r="E586">
        <v>3495</v>
      </c>
      <c r="F586">
        <v>524.25</v>
      </c>
      <c r="G586">
        <v>4019.25</v>
      </c>
    </row>
    <row r="587" spans="1:7" x14ac:dyDescent="0.35">
      <c r="A587" s="178" t="s">
        <v>1406</v>
      </c>
      <c r="B587" s="178" t="s">
        <v>1407</v>
      </c>
      <c r="C587" s="178" t="s">
        <v>433</v>
      </c>
      <c r="D587" s="178" t="s">
        <v>1408</v>
      </c>
      <c r="E587">
        <v>5902.4</v>
      </c>
      <c r="F587">
        <v>885.36</v>
      </c>
      <c r="G587">
        <v>6787.76</v>
      </c>
    </row>
    <row r="588" spans="1:7" x14ac:dyDescent="0.35">
      <c r="A588" s="178" t="s">
        <v>1409</v>
      </c>
      <c r="B588" s="178" t="s">
        <v>1410</v>
      </c>
      <c r="C588" s="178" t="s">
        <v>433</v>
      </c>
      <c r="D588" s="178" t="s">
        <v>1411</v>
      </c>
      <c r="E588">
        <v>3400</v>
      </c>
      <c r="F588">
        <v>510</v>
      </c>
      <c r="G588">
        <v>3910</v>
      </c>
    </row>
    <row r="589" spans="1:7" x14ac:dyDescent="0.35">
      <c r="A589" s="178" t="s">
        <v>616</v>
      </c>
      <c r="B589" s="178" t="s">
        <v>1412</v>
      </c>
      <c r="C589" s="178" t="s">
        <v>433</v>
      </c>
      <c r="D589" s="178" t="s">
        <v>57</v>
      </c>
      <c r="E589">
        <v>2904</v>
      </c>
      <c r="F589">
        <v>435.6</v>
      </c>
      <c r="G589">
        <v>3339.6</v>
      </c>
    </row>
    <row r="590" spans="1:7" x14ac:dyDescent="0.35">
      <c r="A590" s="178" t="s">
        <v>1409</v>
      </c>
      <c r="B590" s="178" t="s">
        <v>1413</v>
      </c>
      <c r="C590" s="178" t="s">
        <v>433</v>
      </c>
      <c r="D590" s="178" t="s">
        <v>1414</v>
      </c>
      <c r="E590">
        <v>2958.55</v>
      </c>
      <c r="F590">
        <v>443.78</v>
      </c>
      <c r="G590">
        <v>3402.33</v>
      </c>
    </row>
    <row r="591" spans="1:7" x14ac:dyDescent="0.35">
      <c r="A591" s="178" t="s">
        <v>898</v>
      </c>
      <c r="B591" s="178" t="s">
        <v>1415</v>
      </c>
      <c r="C591" s="178" t="s">
        <v>433</v>
      </c>
      <c r="D591" s="178" t="s">
        <v>57</v>
      </c>
      <c r="E591">
        <v>9080</v>
      </c>
      <c r="F591">
        <v>1362.01</v>
      </c>
      <c r="G591">
        <v>10442.01</v>
      </c>
    </row>
    <row r="592" spans="1:7" x14ac:dyDescent="0.35">
      <c r="A592" s="178" t="s">
        <v>1416</v>
      </c>
      <c r="B592" s="178" t="s">
        <v>1417</v>
      </c>
      <c r="C592" s="178" t="s">
        <v>433</v>
      </c>
      <c r="D592" s="178" t="s">
        <v>1418</v>
      </c>
      <c r="E592">
        <v>2289</v>
      </c>
      <c r="F592">
        <v>343.35</v>
      </c>
      <c r="G592">
        <v>2632.35</v>
      </c>
    </row>
    <row r="593" spans="1:7" x14ac:dyDescent="0.35">
      <c r="A593" s="178" t="s">
        <v>1409</v>
      </c>
      <c r="B593" s="178" t="s">
        <v>1419</v>
      </c>
      <c r="C593" s="178" t="s">
        <v>433</v>
      </c>
      <c r="D593" s="178" t="s">
        <v>1420</v>
      </c>
      <c r="E593">
        <v>1228.45</v>
      </c>
      <c r="F593">
        <v>184.27</v>
      </c>
      <c r="G593">
        <v>1412.72</v>
      </c>
    </row>
    <row r="594" spans="1:7" x14ac:dyDescent="0.35">
      <c r="A594" s="178" t="s">
        <v>1421</v>
      </c>
      <c r="B594" s="178" t="s">
        <v>1422</v>
      </c>
      <c r="C594" s="178" t="s">
        <v>433</v>
      </c>
      <c r="D594" s="178" t="s">
        <v>57</v>
      </c>
      <c r="E594">
        <v>3546.35</v>
      </c>
      <c r="F594">
        <v>531.96</v>
      </c>
      <c r="G594">
        <v>4078.31</v>
      </c>
    </row>
    <row r="595" spans="1:7" x14ac:dyDescent="0.35">
      <c r="A595" s="178" t="s">
        <v>1409</v>
      </c>
      <c r="B595" s="178" t="s">
        <v>1423</v>
      </c>
      <c r="C595" s="178" t="s">
        <v>433</v>
      </c>
      <c r="D595" s="178" t="s">
        <v>1424</v>
      </c>
      <c r="E595">
        <v>1959.2</v>
      </c>
      <c r="F595">
        <v>293.88</v>
      </c>
      <c r="G595">
        <v>2253.08</v>
      </c>
    </row>
    <row r="596" spans="1:7" x14ac:dyDescent="0.35">
      <c r="A596" s="178" t="s">
        <v>1409</v>
      </c>
      <c r="B596" s="178" t="s">
        <v>1425</v>
      </c>
      <c r="C596" s="178" t="s">
        <v>433</v>
      </c>
      <c r="D596" s="178" t="s">
        <v>1426</v>
      </c>
      <c r="E596">
        <v>837.4</v>
      </c>
      <c r="F596">
        <v>125.61</v>
      </c>
      <c r="G596">
        <v>963.01</v>
      </c>
    </row>
    <row r="597" spans="1:7" x14ac:dyDescent="0.35">
      <c r="A597" s="178" t="s">
        <v>670</v>
      </c>
      <c r="B597" s="178" t="s">
        <v>1427</v>
      </c>
      <c r="C597" s="178" t="s">
        <v>433</v>
      </c>
      <c r="D597" s="178" t="s">
        <v>672</v>
      </c>
      <c r="E597">
        <v>3330.2</v>
      </c>
      <c r="F597">
        <v>499.53</v>
      </c>
      <c r="G597">
        <v>3829.73</v>
      </c>
    </row>
    <row r="598" spans="1:7" x14ac:dyDescent="0.35">
      <c r="A598" s="178" t="s">
        <v>699</v>
      </c>
      <c r="B598" s="178" t="s">
        <v>1428</v>
      </c>
      <c r="C598" s="178" t="s">
        <v>433</v>
      </c>
      <c r="D598" s="178" t="s">
        <v>57</v>
      </c>
      <c r="E598">
        <v>6480.65</v>
      </c>
      <c r="F598">
        <v>972.1</v>
      </c>
      <c r="G598">
        <v>7452.75</v>
      </c>
    </row>
    <row r="599" spans="1:7" x14ac:dyDescent="0.35">
      <c r="A599" s="178" t="s">
        <v>1429</v>
      </c>
      <c r="B599" s="178" t="s">
        <v>1430</v>
      </c>
      <c r="C599" s="178" t="s">
        <v>433</v>
      </c>
      <c r="D599" s="178" t="s">
        <v>57</v>
      </c>
      <c r="E599">
        <v>1697.29</v>
      </c>
      <c r="F599">
        <v>254.6</v>
      </c>
      <c r="G599">
        <v>1951.89</v>
      </c>
    </row>
    <row r="600" spans="1:7" x14ac:dyDescent="0.35">
      <c r="A600" s="178" t="s">
        <v>454</v>
      </c>
      <c r="B600" s="178" t="s">
        <v>1431</v>
      </c>
      <c r="C600" s="178" t="s">
        <v>433</v>
      </c>
      <c r="D600" s="178" t="s">
        <v>57</v>
      </c>
      <c r="E600">
        <v>803.4</v>
      </c>
      <c r="F600">
        <v>120.51</v>
      </c>
      <c r="G600">
        <v>923.91</v>
      </c>
    </row>
    <row r="601" spans="1:7" x14ac:dyDescent="0.35">
      <c r="A601" s="178" t="s">
        <v>1432</v>
      </c>
      <c r="B601" s="178" t="s">
        <v>1433</v>
      </c>
      <c r="C601" s="178" t="s">
        <v>433</v>
      </c>
      <c r="D601" s="178" t="s">
        <v>57</v>
      </c>
      <c r="E601">
        <v>937.4</v>
      </c>
      <c r="F601">
        <v>140.61000000000001</v>
      </c>
      <c r="G601">
        <v>1078.01</v>
      </c>
    </row>
    <row r="602" spans="1:7" x14ac:dyDescent="0.35">
      <c r="A602" s="178" t="s">
        <v>1254</v>
      </c>
      <c r="B602" s="178" t="s">
        <v>1434</v>
      </c>
      <c r="C602" s="178" t="s">
        <v>433</v>
      </c>
      <c r="D602" s="178" t="s">
        <v>57</v>
      </c>
      <c r="E602">
        <v>705.6</v>
      </c>
      <c r="F602">
        <v>105.84</v>
      </c>
      <c r="G602">
        <v>811.44</v>
      </c>
    </row>
    <row r="603" spans="1:7" x14ac:dyDescent="0.35">
      <c r="A603" s="178" t="s">
        <v>802</v>
      </c>
      <c r="B603" s="178" t="s">
        <v>1435</v>
      </c>
      <c r="C603" s="178" t="s">
        <v>433</v>
      </c>
      <c r="D603" s="178" t="s">
        <v>57</v>
      </c>
      <c r="E603">
        <v>649.29999999999995</v>
      </c>
      <c r="F603">
        <v>97.4</v>
      </c>
      <c r="G603">
        <v>746.7</v>
      </c>
    </row>
    <row r="604" spans="1:7" x14ac:dyDescent="0.35">
      <c r="A604" s="178" t="s">
        <v>1436</v>
      </c>
      <c r="B604" s="178" t="s">
        <v>1437</v>
      </c>
      <c r="C604" s="178" t="s">
        <v>433</v>
      </c>
      <c r="D604" s="178" t="s">
        <v>1438</v>
      </c>
      <c r="E604">
        <v>1287.5999999999999</v>
      </c>
      <c r="F604">
        <v>193.15</v>
      </c>
      <c r="G604">
        <v>1480.75</v>
      </c>
    </row>
    <row r="605" spans="1:7" x14ac:dyDescent="0.35">
      <c r="A605" s="178" t="s">
        <v>750</v>
      </c>
      <c r="B605" s="178" t="s">
        <v>1439</v>
      </c>
      <c r="C605" s="178" t="s">
        <v>433</v>
      </c>
      <c r="D605" s="178" t="s">
        <v>57</v>
      </c>
      <c r="E605">
        <v>11009.7</v>
      </c>
      <c r="F605">
        <v>1651.46</v>
      </c>
      <c r="G605">
        <v>12661.16</v>
      </c>
    </row>
    <row r="606" spans="1:7" x14ac:dyDescent="0.35">
      <c r="A606" s="178" t="s">
        <v>683</v>
      </c>
      <c r="B606" s="178" t="s">
        <v>1440</v>
      </c>
      <c r="C606" s="178" t="s">
        <v>433</v>
      </c>
      <c r="D606" s="178" t="s">
        <v>57</v>
      </c>
      <c r="E606">
        <v>639.1</v>
      </c>
      <c r="F606">
        <v>95.87</v>
      </c>
      <c r="G606">
        <v>734.97</v>
      </c>
    </row>
    <row r="607" spans="1:7" x14ac:dyDescent="0.35">
      <c r="A607" s="178" t="s">
        <v>798</v>
      </c>
      <c r="B607" s="178" t="s">
        <v>1441</v>
      </c>
      <c r="C607" s="178" t="s">
        <v>433</v>
      </c>
      <c r="D607" s="178" t="s">
        <v>57</v>
      </c>
      <c r="E607">
        <v>1479.75</v>
      </c>
      <c r="F607">
        <v>221.96</v>
      </c>
      <c r="G607">
        <v>1701.71</v>
      </c>
    </row>
    <row r="608" spans="1:7" x14ac:dyDescent="0.35">
      <c r="A608" s="178" t="s">
        <v>1102</v>
      </c>
      <c r="B608" s="178" t="s">
        <v>1442</v>
      </c>
      <c r="C608" s="178" t="s">
        <v>433</v>
      </c>
      <c r="D608" s="178" t="s">
        <v>57</v>
      </c>
      <c r="E608">
        <v>24349.599999999999</v>
      </c>
      <c r="F608">
        <v>3652.44</v>
      </c>
      <c r="G608">
        <v>28002.04</v>
      </c>
    </row>
    <row r="609" spans="1:7" x14ac:dyDescent="0.35">
      <c r="A609" s="178" t="s">
        <v>353</v>
      </c>
      <c r="B609" s="178" t="s">
        <v>1443</v>
      </c>
      <c r="C609" s="178" t="s">
        <v>433</v>
      </c>
      <c r="D609" s="178" t="s">
        <v>57</v>
      </c>
      <c r="E609">
        <v>8156.4</v>
      </c>
      <c r="F609">
        <v>1223.46</v>
      </c>
      <c r="G609">
        <v>9379.86</v>
      </c>
    </row>
    <row r="610" spans="1:7" x14ac:dyDescent="0.35">
      <c r="A610" s="178" t="s">
        <v>652</v>
      </c>
      <c r="B610" s="178" t="s">
        <v>1444</v>
      </c>
      <c r="C610" s="178" t="s">
        <v>433</v>
      </c>
      <c r="D610" s="178" t="s">
        <v>57</v>
      </c>
      <c r="E610">
        <v>2227.8000000000002</v>
      </c>
      <c r="F610">
        <v>334.17</v>
      </c>
      <c r="G610">
        <v>2561.9699999999998</v>
      </c>
    </row>
    <row r="611" spans="1:7" x14ac:dyDescent="0.35">
      <c r="A611" s="178" t="s">
        <v>1445</v>
      </c>
      <c r="B611" s="178" t="s">
        <v>1446</v>
      </c>
      <c r="C611" s="178" t="s">
        <v>433</v>
      </c>
      <c r="D611" s="178" t="s">
        <v>57</v>
      </c>
      <c r="E611">
        <v>2631.6</v>
      </c>
      <c r="F611">
        <v>394.75</v>
      </c>
      <c r="G611">
        <v>3026.35</v>
      </c>
    </row>
    <row r="612" spans="1:7" x14ac:dyDescent="0.35">
      <c r="A612" s="178" t="s">
        <v>1447</v>
      </c>
      <c r="B612" s="178" t="s">
        <v>1448</v>
      </c>
      <c r="C612" s="178" t="s">
        <v>433</v>
      </c>
      <c r="D612" s="178" t="s">
        <v>57</v>
      </c>
      <c r="E612">
        <v>2977.3</v>
      </c>
      <c r="F612">
        <v>446.6</v>
      </c>
      <c r="G612">
        <v>3423.9</v>
      </c>
    </row>
    <row r="613" spans="1:7" x14ac:dyDescent="0.35">
      <c r="A613" s="178" t="s">
        <v>1449</v>
      </c>
      <c r="B613" s="178" t="s">
        <v>1450</v>
      </c>
      <c r="C613" s="178" t="s">
        <v>433</v>
      </c>
      <c r="D613" s="178" t="s">
        <v>57</v>
      </c>
      <c r="E613">
        <v>2895.1</v>
      </c>
      <c r="F613">
        <v>434.27</v>
      </c>
      <c r="G613">
        <v>3329.37</v>
      </c>
    </row>
    <row r="614" spans="1:7" x14ac:dyDescent="0.35">
      <c r="A614" s="178" t="s">
        <v>1449</v>
      </c>
      <c r="B614" s="178" t="s">
        <v>1451</v>
      </c>
      <c r="C614" s="178" t="s">
        <v>433</v>
      </c>
      <c r="D614" s="178" t="s">
        <v>57</v>
      </c>
      <c r="E614">
        <v>570</v>
      </c>
      <c r="F614">
        <v>85.5</v>
      </c>
      <c r="G614">
        <v>655.5</v>
      </c>
    </row>
    <row r="615" spans="1:7" x14ac:dyDescent="0.35">
      <c r="A615" s="178" t="s">
        <v>1452</v>
      </c>
      <c r="B615" s="178" t="s">
        <v>1453</v>
      </c>
      <c r="C615" s="178" t="s">
        <v>433</v>
      </c>
      <c r="D615" s="178" t="s">
        <v>1454</v>
      </c>
      <c r="E615">
        <v>1927.7</v>
      </c>
      <c r="F615">
        <v>289.16000000000003</v>
      </c>
      <c r="G615">
        <v>2216.86</v>
      </c>
    </row>
    <row r="616" spans="1:7" x14ac:dyDescent="0.35">
      <c r="A616" s="178" t="s">
        <v>1455</v>
      </c>
      <c r="B616" s="178" t="s">
        <v>1456</v>
      </c>
      <c r="C616" s="178" t="s">
        <v>433</v>
      </c>
      <c r="D616" s="178" t="s">
        <v>57</v>
      </c>
      <c r="E616">
        <v>603.45000000000005</v>
      </c>
      <c r="F616">
        <v>90.52</v>
      </c>
      <c r="G616">
        <v>693.97</v>
      </c>
    </row>
    <row r="617" spans="1:7" x14ac:dyDescent="0.35">
      <c r="A617" s="178" t="s">
        <v>591</v>
      </c>
      <c r="B617" s="178" t="s">
        <v>1457</v>
      </c>
      <c r="C617" s="178" t="s">
        <v>433</v>
      </c>
      <c r="D617" s="178" t="s">
        <v>57</v>
      </c>
      <c r="E617">
        <v>3432.67</v>
      </c>
      <c r="F617">
        <v>514.91</v>
      </c>
      <c r="G617">
        <v>3947.58</v>
      </c>
    </row>
    <row r="618" spans="1:7" x14ac:dyDescent="0.35">
      <c r="A618" s="178" t="s">
        <v>1458</v>
      </c>
      <c r="B618" s="178" t="s">
        <v>1459</v>
      </c>
      <c r="C618" s="178" t="s">
        <v>433</v>
      </c>
      <c r="D618" s="178" t="s">
        <v>57</v>
      </c>
      <c r="E618">
        <v>1475.2</v>
      </c>
      <c r="F618">
        <v>221.28</v>
      </c>
      <c r="G618">
        <v>1696.48</v>
      </c>
    </row>
    <row r="619" spans="1:7" x14ac:dyDescent="0.35">
      <c r="A619" s="178" t="s">
        <v>1460</v>
      </c>
      <c r="B619" s="178" t="s">
        <v>1461</v>
      </c>
      <c r="C619" s="178" t="s">
        <v>433</v>
      </c>
      <c r="D619" s="178" t="s">
        <v>1462</v>
      </c>
      <c r="E619">
        <v>2541</v>
      </c>
      <c r="F619">
        <v>381.15</v>
      </c>
      <c r="G619">
        <v>2922.15</v>
      </c>
    </row>
    <row r="620" spans="1:7" x14ac:dyDescent="0.35">
      <c r="A620" s="178" t="s">
        <v>454</v>
      </c>
      <c r="B620" s="178" t="s">
        <v>1463</v>
      </c>
      <c r="C620" s="178" t="s">
        <v>433</v>
      </c>
      <c r="D620" s="178" t="s">
        <v>1464</v>
      </c>
      <c r="E620">
        <v>998.2</v>
      </c>
      <c r="F620">
        <v>149.72999999999999</v>
      </c>
      <c r="G620">
        <v>1147.93</v>
      </c>
    </row>
    <row r="621" spans="1:7" x14ac:dyDescent="0.35">
      <c r="A621" s="178" t="s">
        <v>1465</v>
      </c>
      <c r="B621" s="178" t="s">
        <v>1466</v>
      </c>
      <c r="C621" s="178" t="s">
        <v>433</v>
      </c>
      <c r="D621" s="178" t="s">
        <v>57</v>
      </c>
      <c r="E621">
        <v>2823.4</v>
      </c>
      <c r="F621">
        <v>423.51</v>
      </c>
      <c r="G621">
        <v>3246.91</v>
      </c>
    </row>
    <row r="622" spans="1:7" x14ac:dyDescent="0.35">
      <c r="A622" s="178" t="s">
        <v>573</v>
      </c>
      <c r="B622" s="178" t="s">
        <v>1467</v>
      </c>
      <c r="C622" s="178" t="s">
        <v>433</v>
      </c>
      <c r="D622" s="178" t="s">
        <v>57</v>
      </c>
      <c r="E622">
        <v>4964</v>
      </c>
      <c r="F622">
        <v>744.61</v>
      </c>
      <c r="G622">
        <v>5708.61</v>
      </c>
    </row>
    <row r="623" spans="1:7" x14ac:dyDescent="0.35">
      <c r="A623" s="178" t="s">
        <v>1389</v>
      </c>
      <c r="B623" s="178" t="s">
        <v>1468</v>
      </c>
      <c r="C623" s="178" t="s">
        <v>433</v>
      </c>
      <c r="D623" s="178" t="s">
        <v>57</v>
      </c>
      <c r="E623">
        <v>16372.2</v>
      </c>
      <c r="F623">
        <v>2455.83</v>
      </c>
      <c r="G623">
        <v>18828.03</v>
      </c>
    </row>
    <row r="624" spans="1:7" x14ac:dyDescent="0.35">
      <c r="A624" s="178" t="s">
        <v>1469</v>
      </c>
      <c r="B624" s="178" t="s">
        <v>1470</v>
      </c>
      <c r="C624" s="178" t="s">
        <v>433</v>
      </c>
      <c r="D624" s="178" t="s">
        <v>57</v>
      </c>
      <c r="E624">
        <v>1003.2</v>
      </c>
      <c r="F624">
        <v>150.47999999999999</v>
      </c>
      <c r="G624">
        <v>1153.68</v>
      </c>
    </row>
    <row r="625" spans="1:7" x14ac:dyDescent="0.35">
      <c r="A625" s="178" t="s">
        <v>523</v>
      </c>
      <c r="B625" s="178" t="s">
        <v>1471</v>
      </c>
      <c r="C625" s="178" t="s">
        <v>433</v>
      </c>
      <c r="D625" s="178" t="s">
        <v>57</v>
      </c>
      <c r="E625">
        <v>1393.2</v>
      </c>
      <c r="F625">
        <v>208.98</v>
      </c>
      <c r="G625">
        <v>1602.18</v>
      </c>
    </row>
    <row r="626" spans="1:7" x14ac:dyDescent="0.35">
      <c r="A626" s="178" t="s">
        <v>1472</v>
      </c>
      <c r="B626" s="178" t="s">
        <v>1473</v>
      </c>
      <c r="C626" s="178" t="s">
        <v>433</v>
      </c>
      <c r="D626" s="178" t="s">
        <v>57</v>
      </c>
      <c r="E626">
        <v>825.6</v>
      </c>
      <c r="F626">
        <v>123.84</v>
      </c>
      <c r="G626">
        <v>949.44</v>
      </c>
    </row>
    <row r="627" spans="1:7" x14ac:dyDescent="0.35">
      <c r="A627" s="178" t="s">
        <v>496</v>
      </c>
      <c r="B627" s="178" t="s">
        <v>1474</v>
      </c>
      <c r="C627" s="178" t="s">
        <v>433</v>
      </c>
      <c r="D627" s="178" t="s">
        <v>1475</v>
      </c>
      <c r="E627">
        <v>27987.65</v>
      </c>
      <c r="F627">
        <v>4198.1499999999996</v>
      </c>
      <c r="G627">
        <v>32185.8</v>
      </c>
    </row>
    <row r="628" spans="1:7" x14ac:dyDescent="0.35">
      <c r="A628" s="178" t="s">
        <v>833</v>
      </c>
      <c r="B628" s="178" t="s">
        <v>1476</v>
      </c>
      <c r="C628" s="178" t="s">
        <v>433</v>
      </c>
      <c r="D628" s="178" t="s">
        <v>57</v>
      </c>
      <c r="E628">
        <v>3549.95</v>
      </c>
      <c r="F628">
        <v>532.5</v>
      </c>
      <c r="G628">
        <v>4082.45</v>
      </c>
    </row>
    <row r="629" spans="1:7" x14ac:dyDescent="0.35">
      <c r="A629" s="178" t="s">
        <v>637</v>
      </c>
      <c r="B629" s="178" t="s">
        <v>1477</v>
      </c>
      <c r="C629" s="178" t="s">
        <v>433</v>
      </c>
      <c r="D629" s="178" t="s">
        <v>57</v>
      </c>
      <c r="E629">
        <v>7417.5</v>
      </c>
      <c r="F629">
        <v>1112.6300000000001</v>
      </c>
      <c r="G629">
        <v>8530.1299999999992</v>
      </c>
    </row>
    <row r="630" spans="1:7" x14ac:dyDescent="0.35">
      <c r="A630" s="178" t="s">
        <v>447</v>
      </c>
      <c r="B630" s="178" t="s">
        <v>1478</v>
      </c>
      <c r="C630" s="178" t="s">
        <v>433</v>
      </c>
      <c r="D630" s="178" t="s">
        <v>57</v>
      </c>
      <c r="E630">
        <v>19303.900000000001</v>
      </c>
      <c r="F630">
        <v>2895.59</v>
      </c>
      <c r="G630">
        <v>22199.49</v>
      </c>
    </row>
    <row r="631" spans="1:7" x14ac:dyDescent="0.35">
      <c r="A631" s="178" t="s">
        <v>388</v>
      </c>
      <c r="B631" s="178" t="s">
        <v>1479</v>
      </c>
      <c r="C631" s="178" t="s">
        <v>433</v>
      </c>
      <c r="D631" s="178" t="s">
        <v>57</v>
      </c>
      <c r="E631">
        <v>4540</v>
      </c>
      <c r="F631">
        <v>681</v>
      </c>
      <c r="G631">
        <v>5221</v>
      </c>
    </row>
    <row r="632" spans="1:7" x14ac:dyDescent="0.35">
      <c r="A632" s="178" t="s">
        <v>616</v>
      </c>
      <c r="B632" s="178" t="s">
        <v>1480</v>
      </c>
      <c r="C632" s="178" t="s">
        <v>433</v>
      </c>
      <c r="D632" s="178" t="s">
        <v>57</v>
      </c>
      <c r="E632">
        <v>8109.6</v>
      </c>
      <c r="F632">
        <v>1216.44</v>
      </c>
      <c r="G632">
        <v>9326.0400000000009</v>
      </c>
    </row>
    <row r="633" spans="1:7" x14ac:dyDescent="0.35">
      <c r="A633" s="178" t="s">
        <v>532</v>
      </c>
      <c r="B633" s="178" t="s">
        <v>1481</v>
      </c>
      <c r="C633" s="178" t="s">
        <v>433</v>
      </c>
      <c r="D633" s="178" t="s">
        <v>57</v>
      </c>
      <c r="E633">
        <v>3021.7</v>
      </c>
      <c r="F633">
        <v>453.26</v>
      </c>
      <c r="G633">
        <v>3474.96</v>
      </c>
    </row>
    <row r="634" spans="1:7" x14ac:dyDescent="0.35">
      <c r="A634" s="178" t="s">
        <v>532</v>
      </c>
      <c r="B634" s="178" t="s">
        <v>1482</v>
      </c>
      <c r="C634" s="178" t="s">
        <v>433</v>
      </c>
      <c r="D634" s="178" t="s">
        <v>57</v>
      </c>
      <c r="E634">
        <v>1430.9</v>
      </c>
      <c r="F634">
        <v>214.64</v>
      </c>
      <c r="G634">
        <v>1645.54</v>
      </c>
    </row>
    <row r="635" spans="1:7" x14ac:dyDescent="0.35">
      <c r="A635" s="178" t="s">
        <v>454</v>
      </c>
      <c r="B635" s="178" t="s">
        <v>1483</v>
      </c>
      <c r="C635" s="178" t="s">
        <v>433</v>
      </c>
      <c r="D635" s="178" t="s">
        <v>57</v>
      </c>
      <c r="E635">
        <v>4179.25</v>
      </c>
      <c r="F635">
        <v>626.89</v>
      </c>
      <c r="G635">
        <v>4806.1400000000003</v>
      </c>
    </row>
    <row r="636" spans="1:7" x14ac:dyDescent="0.35">
      <c r="A636" s="178" t="s">
        <v>862</v>
      </c>
      <c r="B636" s="178" t="s">
        <v>1484</v>
      </c>
      <c r="C636" s="178" t="s">
        <v>433</v>
      </c>
      <c r="D636" s="178" t="s">
        <v>57</v>
      </c>
      <c r="E636">
        <v>756.8</v>
      </c>
      <c r="F636">
        <v>113.52</v>
      </c>
      <c r="G636">
        <v>870.32</v>
      </c>
    </row>
    <row r="637" spans="1:7" x14ac:dyDescent="0.35">
      <c r="A637" s="178" t="s">
        <v>637</v>
      </c>
      <c r="B637" s="178" t="s">
        <v>1485</v>
      </c>
      <c r="C637" s="178" t="s">
        <v>433</v>
      </c>
      <c r="D637" s="178" t="s">
        <v>57</v>
      </c>
      <c r="E637">
        <v>12291.8</v>
      </c>
      <c r="F637">
        <v>1843.77</v>
      </c>
      <c r="G637">
        <v>14135.57</v>
      </c>
    </row>
    <row r="638" spans="1:7" x14ac:dyDescent="0.35">
      <c r="A638" s="178" t="s">
        <v>1486</v>
      </c>
      <c r="B638" s="178" t="s">
        <v>1487</v>
      </c>
      <c r="C638" s="178" t="s">
        <v>440</v>
      </c>
      <c r="D638" s="178" t="s">
        <v>57</v>
      </c>
      <c r="E638">
        <v>2452.65</v>
      </c>
      <c r="F638">
        <v>367.9</v>
      </c>
      <c r="G638">
        <v>2820.55</v>
      </c>
    </row>
    <row r="639" spans="1:7" x14ac:dyDescent="0.35">
      <c r="A639" s="178" t="s">
        <v>1488</v>
      </c>
      <c r="B639" s="178" t="s">
        <v>1489</v>
      </c>
      <c r="C639" s="178" t="s">
        <v>440</v>
      </c>
      <c r="D639" s="178" t="s">
        <v>1490</v>
      </c>
      <c r="E639">
        <v>1145.2</v>
      </c>
      <c r="F639">
        <v>171.78</v>
      </c>
      <c r="G639">
        <v>1316.98</v>
      </c>
    </row>
    <row r="640" spans="1:7" x14ac:dyDescent="0.35">
      <c r="A640" s="178" t="s">
        <v>1491</v>
      </c>
      <c r="B640" s="178" t="s">
        <v>1492</v>
      </c>
      <c r="C640" s="178" t="s">
        <v>440</v>
      </c>
      <c r="D640" s="178" t="s">
        <v>1493</v>
      </c>
      <c r="E640">
        <v>669.9</v>
      </c>
      <c r="F640">
        <v>100.49</v>
      </c>
      <c r="G640">
        <v>770.39</v>
      </c>
    </row>
    <row r="641" spans="1:7" x14ac:dyDescent="0.35">
      <c r="A641" s="178" t="s">
        <v>532</v>
      </c>
      <c r="B641" s="178" t="s">
        <v>1494</v>
      </c>
      <c r="C641" s="178" t="s">
        <v>440</v>
      </c>
      <c r="D641" s="178" t="s">
        <v>57</v>
      </c>
      <c r="E641">
        <v>12371.4</v>
      </c>
      <c r="F641">
        <v>1855.71</v>
      </c>
      <c r="G641">
        <v>14227.11</v>
      </c>
    </row>
    <row r="642" spans="1:7" x14ac:dyDescent="0.35">
      <c r="A642" s="178" t="s">
        <v>1495</v>
      </c>
      <c r="B642" s="178" t="s">
        <v>1496</v>
      </c>
      <c r="C642" s="178" t="s">
        <v>440</v>
      </c>
      <c r="D642" s="178" t="s">
        <v>1497</v>
      </c>
      <c r="E642">
        <v>2385.4499999999998</v>
      </c>
      <c r="F642">
        <v>357.82</v>
      </c>
      <c r="G642">
        <v>2743.27</v>
      </c>
    </row>
    <row r="643" spans="1:7" x14ac:dyDescent="0.35">
      <c r="A643" s="178" t="s">
        <v>510</v>
      </c>
      <c r="B643" s="178" t="s">
        <v>1498</v>
      </c>
      <c r="C643" s="178" t="s">
        <v>440</v>
      </c>
      <c r="D643" s="178" t="s">
        <v>1499</v>
      </c>
      <c r="E643">
        <v>9248</v>
      </c>
      <c r="F643">
        <v>1387.2</v>
      </c>
      <c r="G643">
        <v>10635.2</v>
      </c>
    </row>
    <row r="644" spans="1:7" x14ac:dyDescent="0.35">
      <c r="A644" s="178" t="s">
        <v>605</v>
      </c>
      <c r="B644" s="178" t="s">
        <v>1500</v>
      </c>
      <c r="C644" s="178" t="s">
        <v>440</v>
      </c>
      <c r="D644" s="178" t="s">
        <v>57</v>
      </c>
      <c r="E644">
        <v>941.7</v>
      </c>
      <c r="F644">
        <v>141.26</v>
      </c>
      <c r="G644">
        <v>1082.96</v>
      </c>
    </row>
    <row r="645" spans="1:7" x14ac:dyDescent="0.35">
      <c r="A645" s="178" t="s">
        <v>1501</v>
      </c>
      <c r="B645" s="178" t="s">
        <v>1502</v>
      </c>
      <c r="C645" s="178" t="s">
        <v>440</v>
      </c>
      <c r="D645" s="178" t="s">
        <v>57</v>
      </c>
      <c r="E645">
        <v>1591.85</v>
      </c>
      <c r="F645">
        <v>238.78</v>
      </c>
      <c r="G645">
        <v>1830.63</v>
      </c>
    </row>
    <row r="646" spans="1:7" x14ac:dyDescent="0.35">
      <c r="A646" s="178" t="s">
        <v>1503</v>
      </c>
      <c r="B646" s="178" t="s">
        <v>1504</v>
      </c>
      <c r="C646" s="178" t="s">
        <v>440</v>
      </c>
      <c r="D646" s="178" t="s">
        <v>1505</v>
      </c>
      <c r="E646">
        <v>1578.75</v>
      </c>
      <c r="F646">
        <v>236.81</v>
      </c>
      <c r="G646">
        <v>1815.56</v>
      </c>
    </row>
    <row r="647" spans="1:7" x14ac:dyDescent="0.35">
      <c r="A647" s="178" t="s">
        <v>1421</v>
      </c>
      <c r="B647" s="178" t="s">
        <v>1506</v>
      </c>
      <c r="C647" s="178" t="s">
        <v>440</v>
      </c>
      <c r="D647" s="178" t="s">
        <v>57</v>
      </c>
      <c r="E647">
        <v>713.8</v>
      </c>
      <c r="F647">
        <v>107.07</v>
      </c>
      <c r="G647">
        <v>820.87</v>
      </c>
    </row>
    <row r="648" spans="1:7" x14ac:dyDescent="0.35">
      <c r="A648" s="178" t="s">
        <v>1507</v>
      </c>
      <c r="B648" s="178" t="s">
        <v>1508</v>
      </c>
      <c r="C648" s="178" t="s">
        <v>440</v>
      </c>
      <c r="D648" s="178" t="s">
        <v>57</v>
      </c>
      <c r="E648">
        <v>1274.45</v>
      </c>
      <c r="F648">
        <v>191.17</v>
      </c>
      <c r="G648">
        <v>1465.62</v>
      </c>
    </row>
    <row r="649" spans="1:7" x14ac:dyDescent="0.35">
      <c r="A649" s="178" t="s">
        <v>681</v>
      </c>
      <c r="B649" s="178" t="s">
        <v>1509</v>
      </c>
      <c r="C649" s="178" t="s">
        <v>440</v>
      </c>
      <c r="D649" s="178" t="s">
        <v>57</v>
      </c>
      <c r="E649">
        <v>49327.9</v>
      </c>
      <c r="F649">
        <v>7399.19</v>
      </c>
      <c r="G649">
        <v>56727.09</v>
      </c>
    </row>
    <row r="650" spans="1:7" x14ac:dyDescent="0.35">
      <c r="A650" s="178" t="s">
        <v>425</v>
      </c>
      <c r="B650" s="178" t="s">
        <v>1510</v>
      </c>
      <c r="C650" s="178" t="s">
        <v>440</v>
      </c>
      <c r="D650" s="178" t="s">
        <v>1391</v>
      </c>
      <c r="E650">
        <v>16890.900000000001</v>
      </c>
      <c r="F650">
        <v>2533.64</v>
      </c>
      <c r="G650">
        <v>19424.54</v>
      </c>
    </row>
    <row r="651" spans="1:7" x14ac:dyDescent="0.35">
      <c r="A651" s="178" t="s">
        <v>535</v>
      </c>
      <c r="B651" s="178" t="s">
        <v>1511</v>
      </c>
      <c r="C651" s="178" t="s">
        <v>440</v>
      </c>
      <c r="D651" s="178" t="s">
        <v>57</v>
      </c>
      <c r="E651">
        <v>17997.400000000001</v>
      </c>
      <c r="F651">
        <v>2699.61</v>
      </c>
      <c r="G651">
        <v>20697.009999999998</v>
      </c>
    </row>
    <row r="652" spans="1:7" x14ac:dyDescent="0.35">
      <c r="A652" s="178" t="s">
        <v>372</v>
      </c>
      <c r="B652" s="178" t="s">
        <v>1512</v>
      </c>
      <c r="C652" s="178" t="s">
        <v>440</v>
      </c>
      <c r="D652" s="178" t="s">
        <v>57</v>
      </c>
      <c r="E652">
        <v>81630.600000000006</v>
      </c>
      <c r="F652">
        <v>12244.59</v>
      </c>
      <c r="G652">
        <v>93875.19</v>
      </c>
    </row>
    <row r="653" spans="1:7" x14ac:dyDescent="0.35">
      <c r="A653" s="178" t="s">
        <v>1513</v>
      </c>
      <c r="B653" s="178" t="s">
        <v>1514</v>
      </c>
      <c r="C653" s="178" t="s">
        <v>440</v>
      </c>
      <c r="D653" s="178" t="s">
        <v>1515</v>
      </c>
      <c r="E653">
        <v>16298.1</v>
      </c>
      <c r="F653">
        <v>2444.71</v>
      </c>
      <c r="G653">
        <v>18742.810000000001</v>
      </c>
    </row>
    <row r="654" spans="1:7" x14ac:dyDescent="0.35">
      <c r="A654" s="178" t="s">
        <v>679</v>
      </c>
      <c r="B654" s="178" t="s">
        <v>1516</v>
      </c>
      <c r="C654" s="178" t="s">
        <v>440</v>
      </c>
      <c r="D654" s="178" t="s">
        <v>57</v>
      </c>
      <c r="E654">
        <v>3053.25</v>
      </c>
      <c r="F654">
        <v>457.99</v>
      </c>
      <c r="G654">
        <v>3511.24</v>
      </c>
    </row>
    <row r="655" spans="1:7" x14ac:dyDescent="0.35">
      <c r="A655" s="178" t="s">
        <v>521</v>
      </c>
      <c r="B655" s="178" t="s">
        <v>1517</v>
      </c>
      <c r="C655" s="178" t="s">
        <v>440</v>
      </c>
      <c r="D655" s="178" t="s">
        <v>57</v>
      </c>
      <c r="E655">
        <v>4160.25</v>
      </c>
      <c r="F655">
        <v>624.04</v>
      </c>
      <c r="G655">
        <v>4784.29</v>
      </c>
    </row>
    <row r="656" spans="1:7" x14ac:dyDescent="0.35">
      <c r="A656" s="178" t="s">
        <v>802</v>
      </c>
      <c r="B656" s="178" t="s">
        <v>1518</v>
      </c>
      <c r="C656" s="178" t="s">
        <v>440</v>
      </c>
      <c r="D656" s="178" t="s">
        <v>57</v>
      </c>
      <c r="E656">
        <v>2777.2</v>
      </c>
      <c r="F656">
        <v>416.59</v>
      </c>
      <c r="G656">
        <v>3193.79</v>
      </c>
    </row>
    <row r="657" spans="1:7" x14ac:dyDescent="0.35">
      <c r="A657" s="178" t="s">
        <v>329</v>
      </c>
      <c r="B657" s="178" t="s">
        <v>1519</v>
      </c>
      <c r="C657" s="178" t="s">
        <v>440</v>
      </c>
      <c r="D657" s="178" t="s">
        <v>57</v>
      </c>
      <c r="E657">
        <v>2206.35</v>
      </c>
      <c r="F657">
        <v>330.96</v>
      </c>
      <c r="G657">
        <v>2537.31</v>
      </c>
    </row>
    <row r="658" spans="1:7" x14ac:dyDescent="0.35">
      <c r="A658" s="178" t="s">
        <v>681</v>
      </c>
      <c r="B658" s="178" t="s">
        <v>1520</v>
      </c>
      <c r="C658" s="178" t="s">
        <v>440</v>
      </c>
      <c r="D658" s="178" t="s">
        <v>57</v>
      </c>
      <c r="E658">
        <v>828</v>
      </c>
      <c r="F658">
        <v>124.2</v>
      </c>
      <c r="G658">
        <v>952.2</v>
      </c>
    </row>
    <row r="659" spans="1:7" x14ac:dyDescent="0.35">
      <c r="A659" s="178" t="s">
        <v>1403</v>
      </c>
      <c r="B659" s="178" t="s">
        <v>1521</v>
      </c>
      <c r="C659" s="178" t="s">
        <v>440</v>
      </c>
      <c r="D659" s="178" t="s">
        <v>942</v>
      </c>
      <c r="E659">
        <v>5994</v>
      </c>
      <c r="F659">
        <v>899.1</v>
      </c>
      <c r="G659">
        <v>6893.1</v>
      </c>
    </row>
    <row r="660" spans="1:7" x14ac:dyDescent="0.35">
      <c r="A660" s="178" t="s">
        <v>1522</v>
      </c>
      <c r="B660" s="178" t="s">
        <v>1523</v>
      </c>
      <c r="C660" s="178" t="s">
        <v>440</v>
      </c>
      <c r="D660" s="178" t="s">
        <v>1524</v>
      </c>
      <c r="E660">
        <v>1218</v>
      </c>
      <c r="F660">
        <v>182.7</v>
      </c>
      <c r="G660">
        <v>1400.7</v>
      </c>
    </row>
    <row r="661" spans="1:7" x14ac:dyDescent="0.35">
      <c r="A661" s="178" t="s">
        <v>1525</v>
      </c>
      <c r="B661" s="178" t="s">
        <v>1526</v>
      </c>
      <c r="C661" s="178" t="s">
        <v>440</v>
      </c>
      <c r="D661" s="178" t="s">
        <v>57</v>
      </c>
      <c r="E661">
        <v>1580</v>
      </c>
      <c r="F661">
        <v>237</v>
      </c>
      <c r="G661">
        <v>1817</v>
      </c>
    </row>
    <row r="662" spans="1:7" x14ac:dyDescent="0.35">
      <c r="A662" s="178" t="s">
        <v>1527</v>
      </c>
      <c r="B662" s="178" t="s">
        <v>1528</v>
      </c>
      <c r="C662" s="178" t="s">
        <v>440</v>
      </c>
      <c r="D662" s="178" t="s">
        <v>1529</v>
      </c>
      <c r="E662">
        <v>1876.5</v>
      </c>
      <c r="F662">
        <v>281.48</v>
      </c>
      <c r="G662">
        <v>2157.98</v>
      </c>
    </row>
    <row r="663" spans="1:7" x14ac:dyDescent="0.35">
      <c r="A663" s="178" t="s">
        <v>1530</v>
      </c>
      <c r="B663" s="178" t="s">
        <v>1531</v>
      </c>
      <c r="C663" s="178" t="s">
        <v>440</v>
      </c>
      <c r="D663" s="178" t="s">
        <v>1532</v>
      </c>
      <c r="E663">
        <v>5631.25</v>
      </c>
      <c r="F663">
        <v>844.69</v>
      </c>
      <c r="G663">
        <v>6475.94</v>
      </c>
    </row>
    <row r="664" spans="1:7" x14ac:dyDescent="0.35">
      <c r="A664" s="178" t="s">
        <v>454</v>
      </c>
      <c r="B664" s="178" t="s">
        <v>1533</v>
      </c>
      <c r="C664" s="178" t="s">
        <v>440</v>
      </c>
      <c r="D664" s="178" t="s">
        <v>57</v>
      </c>
      <c r="E664">
        <v>8587.0499999999993</v>
      </c>
      <c r="F664">
        <v>1288.06</v>
      </c>
      <c r="G664">
        <v>9875.11</v>
      </c>
    </row>
    <row r="665" spans="1:7" x14ac:dyDescent="0.35">
      <c r="A665" s="178" t="s">
        <v>518</v>
      </c>
      <c r="B665" s="178" t="s">
        <v>1534</v>
      </c>
      <c r="C665" s="178" t="s">
        <v>440</v>
      </c>
      <c r="D665" s="178" t="s">
        <v>57</v>
      </c>
      <c r="E665">
        <v>751.15</v>
      </c>
      <c r="F665">
        <v>112.67</v>
      </c>
      <c r="G665">
        <v>863.82</v>
      </c>
    </row>
    <row r="666" spans="1:7" x14ac:dyDescent="0.35">
      <c r="A666" s="178" t="s">
        <v>933</v>
      </c>
      <c r="B666" s="178" t="s">
        <v>1535</v>
      </c>
      <c r="C666" s="178" t="s">
        <v>440</v>
      </c>
      <c r="D666" s="178" t="s">
        <v>57</v>
      </c>
      <c r="E666">
        <v>37297.75</v>
      </c>
      <c r="F666">
        <v>5594.68</v>
      </c>
      <c r="G666">
        <v>42892.43</v>
      </c>
    </row>
    <row r="667" spans="1:7" x14ac:dyDescent="0.35">
      <c r="A667" s="178" t="s">
        <v>785</v>
      </c>
      <c r="B667" s="178" t="s">
        <v>1536</v>
      </c>
      <c r="C667" s="178" t="s">
        <v>440</v>
      </c>
      <c r="D667" s="178" t="s">
        <v>57</v>
      </c>
      <c r="E667">
        <v>912.46</v>
      </c>
      <c r="F667">
        <v>136.87</v>
      </c>
      <c r="G667">
        <v>1049.33</v>
      </c>
    </row>
    <row r="668" spans="1:7" x14ac:dyDescent="0.35">
      <c r="A668" s="178" t="s">
        <v>1537</v>
      </c>
      <c r="B668" s="178" t="s">
        <v>1538</v>
      </c>
      <c r="C668" s="178" t="s">
        <v>440</v>
      </c>
      <c r="D668" s="178" t="s">
        <v>57</v>
      </c>
      <c r="E668">
        <v>1619.25</v>
      </c>
      <c r="F668">
        <v>242.89</v>
      </c>
      <c r="G668">
        <v>1862.14</v>
      </c>
    </row>
    <row r="669" spans="1:7" x14ac:dyDescent="0.35">
      <c r="A669" s="178" t="s">
        <v>1539</v>
      </c>
      <c r="B669" s="178" t="s">
        <v>1540</v>
      </c>
      <c r="C669" s="178" t="s">
        <v>440</v>
      </c>
      <c r="D669" s="178" t="s">
        <v>57</v>
      </c>
      <c r="E669">
        <v>2732.4</v>
      </c>
      <c r="F669">
        <v>409.86</v>
      </c>
      <c r="G669">
        <v>3142.26</v>
      </c>
    </row>
    <row r="670" spans="1:7" x14ac:dyDescent="0.35">
      <c r="A670" s="178" t="s">
        <v>1495</v>
      </c>
      <c r="B670" s="178" t="s">
        <v>1541</v>
      </c>
      <c r="C670" s="178" t="s">
        <v>440</v>
      </c>
      <c r="D670" s="178" t="s">
        <v>57</v>
      </c>
      <c r="E670">
        <v>2167.5</v>
      </c>
      <c r="F670">
        <v>325.13</v>
      </c>
      <c r="G670">
        <v>2492.63</v>
      </c>
    </row>
    <row r="671" spans="1:7" x14ac:dyDescent="0.35">
      <c r="A671" s="178" t="s">
        <v>1542</v>
      </c>
      <c r="B671" s="178" t="s">
        <v>1543</v>
      </c>
      <c r="C671" s="178" t="s">
        <v>440</v>
      </c>
      <c r="D671" s="178" t="s">
        <v>57</v>
      </c>
      <c r="E671">
        <v>1489.95</v>
      </c>
      <c r="F671">
        <v>223.49</v>
      </c>
      <c r="G671">
        <v>1713.44</v>
      </c>
    </row>
    <row r="672" spans="1:7" x14ac:dyDescent="0.35">
      <c r="A672" s="178" t="s">
        <v>409</v>
      </c>
      <c r="B672" s="178" t="s">
        <v>1544</v>
      </c>
      <c r="C672" s="178" t="s">
        <v>440</v>
      </c>
      <c r="D672" s="178" t="s">
        <v>57</v>
      </c>
      <c r="E672">
        <v>1373.85</v>
      </c>
      <c r="F672">
        <v>206.08</v>
      </c>
      <c r="G672">
        <v>1579.93</v>
      </c>
    </row>
    <row r="673" spans="1:7" x14ac:dyDescent="0.35">
      <c r="A673" s="178" t="s">
        <v>451</v>
      </c>
      <c r="B673" s="178" t="s">
        <v>1545</v>
      </c>
      <c r="C673" s="178" t="s">
        <v>440</v>
      </c>
      <c r="D673">
        <v>35911</v>
      </c>
      <c r="E673">
        <v>9595.2000000000007</v>
      </c>
      <c r="F673">
        <v>1439.28</v>
      </c>
      <c r="G673">
        <v>11034.48</v>
      </c>
    </row>
    <row r="674" spans="1:7" x14ac:dyDescent="0.35">
      <c r="A674" s="178" t="s">
        <v>377</v>
      </c>
      <c r="B674" s="178" t="s">
        <v>1546</v>
      </c>
      <c r="C674" s="178" t="s">
        <v>440</v>
      </c>
      <c r="D674" s="178" t="s">
        <v>57</v>
      </c>
      <c r="E674">
        <v>11904.8</v>
      </c>
      <c r="F674">
        <v>1785.72</v>
      </c>
      <c r="G674">
        <v>13690.52</v>
      </c>
    </row>
    <row r="675" spans="1:7" x14ac:dyDescent="0.35">
      <c r="A675" s="178" t="s">
        <v>388</v>
      </c>
      <c r="B675" s="178" t="s">
        <v>1547</v>
      </c>
      <c r="C675" s="178" t="s">
        <v>440</v>
      </c>
      <c r="D675" s="178" t="s">
        <v>57</v>
      </c>
      <c r="E675">
        <v>1500</v>
      </c>
      <c r="F675">
        <v>225</v>
      </c>
      <c r="G675">
        <v>1725</v>
      </c>
    </row>
    <row r="676" spans="1:7" x14ac:dyDescent="0.35">
      <c r="A676" s="178" t="s">
        <v>434</v>
      </c>
      <c r="B676" s="178" t="s">
        <v>1548</v>
      </c>
      <c r="C676" s="178" t="s">
        <v>440</v>
      </c>
      <c r="D676" s="178" t="s">
        <v>57</v>
      </c>
      <c r="E676">
        <v>817</v>
      </c>
      <c r="F676">
        <v>122.55</v>
      </c>
      <c r="G676">
        <v>939.55</v>
      </c>
    </row>
    <row r="677" spans="1:7" x14ac:dyDescent="0.35">
      <c r="A677" s="178" t="s">
        <v>442</v>
      </c>
      <c r="B677" s="178" t="s">
        <v>1549</v>
      </c>
      <c r="C677" s="178" t="s">
        <v>440</v>
      </c>
      <c r="D677" s="178" t="s">
        <v>57</v>
      </c>
      <c r="E677">
        <v>750.5</v>
      </c>
      <c r="F677">
        <v>112.58</v>
      </c>
      <c r="G677">
        <v>863.08</v>
      </c>
    </row>
    <row r="678" spans="1:7" x14ac:dyDescent="0.35">
      <c r="A678" s="178" t="s">
        <v>1550</v>
      </c>
      <c r="B678" s="178" t="s">
        <v>1551</v>
      </c>
      <c r="C678" s="178" t="s">
        <v>440</v>
      </c>
      <c r="D678" s="178" t="s">
        <v>57</v>
      </c>
      <c r="E678">
        <v>391.3</v>
      </c>
      <c r="F678">
        <v>58.7</v>
      </c>
      <c r="G678">
        <v>450</v>
      </c>
    </row>
    <row r="679" spans="1:7" x14ac:dyDescent="0.35">
      <c r="A679" s="178" t="s">
        <v>496</v>
      </c>
      <c r="B679" s="178" t="s">
        <v>1552</v>
      </c>
      <c r="C679" s="178" t="s">
        <v>440</v>
      </c>
      <c r="D679" s="178" t="s">
        <v>1475</v>
      </c>
      <c r="E679">
        <v>5108.5</v>
      </c>
      <c r="F679">
        <v>766.28</v>
      </c>
      <c r="G679">
        <v>5874.78</v>
      </c>
    </row>
    <row r="680" spans="1:7" x14ac:dyDescent="0.35">
      <c r="A680" s="178" t="s">
        <v>1553</v>
      </c>
      <c r="B680" s="178" t="s">
        <v>1554</v>
      </c>
      <c r="C680" s="178" t="s">
        <v>440</v>
      </c>
      <c r="D680" s="178" t="s">
        <v>57</v>
      </c>
      <c r="E680">
        <v>3634.2</v>
      </c>
      <c r="F680">
        <v>545.13</v>
      </c>
      <c r="G680">
        <v>4179.33</v>
      </c>
    </row>
    <row r="681" spans="1:7" x14ac:dyDescent="0.35">
      <c r="A681" s="178" t="s">
        <v>1555</v>
      </c>
      <c r="B681" s="178" t="s">
        <v>1556</v>
      </c>
      <c r="C681" s="178" t="s">
        <v>440</v>
      </c>
      <c r="D681" s="178" t="s">
        <v>1557</v>
      </c>
      <c r="E681">
        <v>1449</v>
      </c>
      <c r="F681">
        <v>217.35</v>
      </c>
      <c r="G681">
        <v>1666.35</v>
      </c>
    </row>
    <row r="682" spans="1:7" x14ac:dyDescent="0.35">
      <c r="A682" s="178" t="s">
        <v>1558</v>
      </c>
      <c r="B682" s="178" t="s">
        <v>1559</v>
      </c>
      <c r="C682" s="178" t="s">
        <v>440</v>
      </c>
      <c r="D682" s="178" t="s">
        <v>1560</v>
      </c>
      <c r="E682">
        <v>1050.2</v>
      </c>
      <c r="F682">
        <v>157.53</v>
      </c>
      <c r="G682">
        <v>1207.73</v>
      </c>
    </row>
    <row r="683" spans="1:7" x14ac:dyDescent="0.35">
      <c r="A683" s="178" t="s">
        <v>487</v>
      </c>
      <c r="B683" s="178" t="s">
        <v>1561</v>
      </c>
      <c r="C683" s="178" t="s">
        <v>440</v>
      </c>
      <c r="D683" s="178" t="s">
        <v>1562</v>
      </c>
      <c r="E683">
        <v>4288.3</v>
      </c>
      <c r="F683">
        <v>643.25</v>
      </c>
      <c r="G683">
        <v>4931.55</v>
      </c>
    </row>
    <row r="684" spans="1:7" x14ac:dyDescent="0.35">
      <c r="A684" s="178" t="s">
        <v>868</v>
      </c>
      <c r="B684" s="178" t="s">
        <v>1563</v>
      </c>
      <c r="C684" s="178" t="s">
        <v>440</v>
      </c>
      <c r="D684" s="178" t="s">
        <v>57</v>
      </c>
      <c r="E684">
        <v>21198</v>
      </c>
      <c r="F684">
        <v>3179.71</v>
      </c>
      <c r="G684">
        <v>24377.71</v>
      </c>
    </row>
    <row r="685" spans="1:7" x14ac:dyDescent="0.35">
      <c r="A685" s="178" t="s">
        <v>679</v>
      </c>
      <c r="B685" s="178" t="s">
        <v>1564</v>
      </c>
      <c r="C685" s="178" t="s">
        <v>440</v>
      </c>
      <c r="D685" s="178" t="s">
        <v>57</v>
      </c>
      <c r="E685">
        <v>9558.25</v>
      </c>
      <c r="F685">
        <v>1433.74</v>
      </c>
      <c r="G685">
        <v>10991.99</v>
      </c>
    </row>
    <row r="686" spans="1:7" x14ac:dyDescent="0.35">
      <c r="A686" s="178" t="s">
        <v>388</v>
      </c>
      <c r="B686" s="178" t="s">
        <v>1565</v>
      </c>
      <c r="C686" s="178" t="s">
        <v>440</v>
      </c>
      <c r="D686" s="178" t="s">
        <v>57</v>
      </c>
      <c r="E686">
        <v>5613.35</v>
      </c>
      <c r="F686">
        <v>842.01</v>
      </c>
      <c r="G686">
        <v>6455.36</v>
      </c>
    </row>
    <row r="687" spans="1:7" x14ac:dyDescent="0.35">
      <c r="A687" s="178" t="s">
        <v>827</v>
      </c>
      <c r="B687" s="178" t="s">
        <v>1566</v>
      </c>
      <c r="C687" s="178" t="s">
        <v>440</v>
      </c>
      <c r="D687" s="178" t="s">
        <v>57</v>
      </c>
      <c r="E687">
        <v>5222</v>
      </c>
      <c r="F687">
        <v>783.31</v>
      </c>
      <c r="G687">
        <v>6005.31</v>
      </c>
    </row>
    <row r="688" spans="1:7" x14ac:dyDescent="0.35">
      <c r="A688" s="178" t="s">
        <v>388</v>
      </c>
      <c r="B688" s="178" t="s">
        <v>1567</v>
      </c>
      <c r="C688" s="178" t="s">
        <v>440</v>
      </c>
      <c r="D688" s="178" t="s">
        <v>57</v>
      </c>
      <c r="E688">
        <v>2950</v>
      </c>
      <c r="F688">
        <v>442.5</v>
      </c>
      <c r="G688">
        <v>3392.5</v>
      </c>
    </row>
    <row r="689" spans="1:7" x14ac:dyDescent="0.35">
      <c r="A689" s="178" t="s">
        <v>454</v>
      </c>
      <c r="B689" s="178" t="s">
        <v>1568</v>
      </c>
      <c r="C689" s="178" t="s">
        <v>440</v>
      </c>
      <c r="D689" s="178" t="s">
        <v>1569</v>
      </c>
      <c r="E689">
        <v>1001.9</v>
      </c>
      <c r="F689">
        <v>150.29</v>
      </c>
      <c r="G689">
        <v>1152.19</v>
      </c>
    </row>
    <row r="690" spans="1:7" x14ac:dyDescent="0.35">
      <c r="A690" s="178" t="s">
        <v>451</v>
      </c>
      <c r="B690" s="178" t="s">
        <v>1570</v>
      </c>
      <c r="C690" s="178" t="s">
        <v>440</v>
      </c>
      <c r="D690" s="178" t="s">
        <v>57</v>
      </c>
      <c r="E690">
        <v>20431.2</v>
      </c>
      <c r="F690">
        <v>3064.68</v>
      </c>
      <c r="G690">
        <v>23495.88</v>
      </c>
    </row>
    <row r="691" spans="1:7" x14ac:dyDescent="0.35">
      <c r="A691" s="178" t="s">
        <v>804</v>
      </c>
      <c r="B691" s="178" t="s">
        <v>1571</v>
      </c>
      <c r="C691" s="178" t="s">
        <v>440</v>
      </c>
      <c r="D691" s="178" t="s">
        <v>57</v>
      </c>
      <c r="E691">
        <v>21469.599999999999</v>
      </c>
      <c r="F691">
        <v>3220.45</v>
      </c>
      <c r="G691">
        <v>24690.05</v>
      </c>
    </row>
    <row r="692" spans="1:7" x14ac:dyDescent="0.35">
      <c r="A692" s="178" t="s">
        <v>568</v>
      </c>
      <c r="B692" s="178" t="s">
        <v>1572</v>
      </c>
      <c r="C692" s="178" t="s">
        <v>440</v>
      </c>
      <c r="D692" s="178" t="s">
        <v>1289</v>
      </c>
      <c r="E692">
        <v>1849.05</v>
      </c>
      <c r="F692">
        <v>277.36</v>
      </c>
      <c r="G692">
        <v>2126.41</v>
      </c>
    </row>
    <row r="693" spans="1:7" x14ac:dyDescent="0.35">
      <c r="A693" s="178" t="s">
        <v>1123</v>
      </c>
      <c r="B693" s="178" t="s">
        <v>1573</v>
      </c>
      <c r="C693" s="178" t="s">
        <v>440</v>
      </c>
      <c r="D693" s="178" t="s">
        <v>57</v>
      </c>
      <c r="E693">
        <v>1328.25</v>
      </c>
      <c r="F693">
        <v>199.24</v>
      </c>
      <c r="G693">
        <v>1527.49</v>
      </c>
    </row>
    <row r="694" spans="1:7" x14ac:dyDescent="0.35">
      <c r="A694" s="178" t="s">
        <v>1574</v>
      </c>
      <c r="B694" s="178" t="s">
        <v>1575</v>
      </c>
      <c r="C694" s="178" t="s">
        <v>440</v>
      </c>
      <c r="D694" s="178" t="s">
        <v>57</v>
      </c>
      <c r="E694">
        <v>1600</v>
      </c>
      <c r="F694">
        <v>240</v>
      </c>
      <c r="G694">
        <v>1840</v>
      </c>
    </row>
    <row r="695" spans="1:7" x14ac:dyDescent="0.35">
      <c r="A695" s="178" t="s">
        <v>451</v>
      </c>
      <c r="B695" s="178" t="s">
        <v>1576</v>
      </c>
      <c r="C695" s="178" t="s">
        <v>440</v>
      </c>
      <c r="D695">
        <v>36123</v>
      </c>
      <c r="E695">
        <v>13652.8</v>
      </c>
      <c r="F695">
        <v>2047.92</v>
      </c>
      <c r="G695">
        <v>15700.72</v>
      </c>
    </row>
    <row r="696" spans="1:7" x14ac:dyDescent="0.35">
      <c r="A696" s="178" t="s">
        <v>454</v>
      </c>
      <c r="B696" s="178" t="s">
        <v>1577</v>
      </c>
      <c r="C696" s="178" t="s">
        <v>440</v>
      </c>
      <c r="D696" s="178" t="s">
        <v>57</v>
      </c>
      <c r="E696">
        <v>250</v>
      </c>
      <c r="F696">
        <v>37.5</v>
      </c>
      <c r="G696">
        <v>287.5</v>
      </c>
    </row>
    <row r="697" spans="1:7" x14ac:dyDescent="0.35">
      <c r="A697" s="178" t="s">
        <v>833</v>
      </c>
      <c r="B697" s="178" t="s">
        <v>1578</v>
      </c>
      <c r="C697" s="178" t="s">
        <v>440</v>
      </c>
      <c r="D697" s="178" t="s">
        <v>57</v>
      </c>
      <c r="E697">
        <v>687.3</v>
      </c>
      <c r="F697">
        <v>103.1</v>
      </c>
      <c r="G697">
        <v>790.4</v>
      </c>
    </row>
    <row r="698" spans="1:7" x14ac:dyDescent="0.35">
      <c r="A698" s="178" t="s">
        <v>447</v>
      </c>
      <c r="B698" s="178" t="s">
        <v>1579</v>
      </c>
      <c r="C698" s="178" t="s">
        <v>440</v>
      </c>
      <c r="D698" s="178" t="s">
        <v>57</v>
      </c>
      <c r="E698">
        <v>7252.55</v>
      </c>
      <c r="F698">
        <v>1087.8800000000001</v>
      </c>
      <c r="G698">
        <v>8340.43</v>
      </c>
    </row>
    <row r="699" spans="1:7" x14ac:dyDescent="0.35">
      <c r="A699" s="178" t="s">
        <v>1049</v>
      </c>
      <c r="B699" s="178" t="s">
        <v>1580</v>
      </c>
      <c r="C699" s="178" t="s">
        <v>440</v>
      </c>
      <c r="D699" s="178" t="s">
        <v>57</v>
      </c>
      <c r="E699">
        <v>40878.199999999997</v>
      </c>
      <c r="F699">
        <v>6131.73</v>
      </c>
      <c r="G699">
        <v>47009.93</v>
      </c>
    </row>
    <row r="700" spans="1:7" x14ac:dyDescent="0.35">
      <c r="A700" s="178" t="s">
        <v>1581</v>
      </c>
      <c r="B700" s="178" t="s">
        <v>1582</v>
      </c>
      <c r="C700" s="178" t="s">
        <v>440</v>
      </c>
      <c r="D700" s="178" t="s">
        <v>57</v>
      </c>
      <c r="E700">
        <v>3520</v>
      </c>
      <c r="F700">
        <v>528</v>
      </c>
      <c r="G700">
        <v>4048</v>
      </c>
    </row>
    <row r="701" spans="1:7" x14ac:dyDescent="0.35">
      <c r="A701" s="178" t="s">
        <v>1262</v>
      </c>
      <c r="B701" s="178" t="s">
        <v>1583</v>
      </c>
      <c r="C701" s="178" t="s">
        <v>440</v>
      </c>
      <c r="D701" s="178" t="s">
        <v>57</v>
      </c>
      <c r="E701">
        <v>1291.5</v>
      </c>
      <c r="F701">
        <v>193.73</v>
      </c>
      <c r="G701">
        <v>1485.23</v>
      </c>
    </row>
    <row r="702" spans="1:7" x14ac:dyDescent="0.35">
      <c r="A702" s="178" t="s">
        <v>1157</v>
      </c>
      <c r="B702" s="178" t="s">
        <v>1584</v>
      </c>
      <c r="C702" s="178" t="s">
        <v>440</v>
      </c>
      <c r="D702" s="178" t="s">
        <v>1585</v>
      </c>
      <c r="E702">
        <v>2044</v>
      </c>
      <c r="F702">
        <v>306.60000000000002</v>
      </c>
      <c r="G702">
        <v>2350.6</v>
      </c>
    </row>
    <row r="703" spans="1:7" x14ac:dyDescent="0.35">
      <c r="A703" s="178" t="s">
        <v>582</v>
      </c>
      <c r="B703" s="178" t="s">
        <v>1586</v>
      </c>
      <c r="C703" s="178" t="s">
        <v>440</v>
      </c>
      <c r="D703" s="178" t="s">
        <v>57</v>
      </c>
      <c r="E703">
        <v>2598.6</v>
      </c>
      <c r="F703">
        <v>389.79</v>
      </c>
      <c r="G703">
        <v>2988.39</v>
      </c>
    </row>
    <row r="704" spans="1:7" x14ac:dyDescent="0.35">
      <c r="A704" s="178" t="s">
        <v>1171</v>
      </c>
      <c r="B704" s="178" t="s">
        <v>1587</v>
      </c>
      <c r="C704" s="178" t="s">
        <v>440</v>
      </c>
      <c r="D704" s="178" t="s">
        <v>57</v>
      </c>
      <c r="E704">
        <v>6971.5</v>
      </c>
      <c r="F704">
        <v>1045.73</v>
      </c>
      <c r="G704">
        <v>8017.23</v>
      </c>
    </row>
    <row r="705" spans="1:7" x14ac:dyDescent="0.35">
      <c r="A705" s="178" t="s">
        <v>388</v>
      </c>
      <c r="B705" s="178" t="s">
        <v>1588</v>
      </c>
      <c r="C705" s="178" t="s">
        <v>440</v>
      </c>
      <c r="D705" s="178" t="s">
        <v>57</v>
      </c>
      <c r="E705">
        <v>18000</v>
      </c>
      <c r="F705">
        <v>2700</v>
      </c>
      <c r="G705">
        <v>20700</v>
      </c>
    </row>
    <row r="706" spans="1:7" x14ac:dyDescent="0.35">
      <c r="A706" s="178" t="s">
        <v>1589</v>
      </c>
      <c r="B706" s="178" t="s">
        <v>1590</v>
      </c>
      <c r="C706" s="178" t="s">
        <v>440</v>
      </c>
      <c r="D706" s="178" t="s">
        <v>57</v>
      </c>
      <c r="E706">
        <v>1000</v>
      </c>
      <c r="F706">
        <v>150</v>
      </c>
      <c r="G706">
        <v>1150</v>
      </c>
    </row>
    <row r="707" spans="1:7" x14ac:dyDescent="0.35">
      <c r="A707" s="178" t="s">
        <v>1591</v>
      </c>
      <c r="B707" s="178" t="s">
        <v>1592</v>
      </c>
      <c r="C707" s="178" t="s">
        <v>440</v>
      </c>
      <c r="D707" s="178" t="s">
        <v>57</v>
      </c>
      <c r="E707">
        <v>709.5</v>
      </c>
      <c r="F707">
        <v>106.43</v>
      </c>
      <c r="G707">
        <v>815.93</v>
      </c>
    </row>
    <row r="708" spans="1:7" x14ac:dyDescent="0.35">
      <c r="A708" s="178" t="s">
        <v>1593</v>
      </c>
      <c r="B708" s="178" t="s">
        <v>1594</v>
      </c>
      <c r="C708" s="178" t="s">
        <v>449</v>
      </c>
      <c r="D708" s="178" t="s">
        <v>57</v>
      </c>
      <c r="E708">
        <v>573.04999999999995</v>
      </c>
      <c r="F708">
        <v>85.96</v>
      </c>
      <c r="G708">
        <v>659.01</v>
      </c>
    </row>
    <row r="709" spans="1:7" x14ac:dyDescent="0.35">
      <c r="A709" s="178" t="s">
        <v>1313</v>
      </c>
      <c r="B709" s="178" t="s">
        <v>1595</v>
      </c>
      <c r="C709" s="178" t="s">
        <v>449</v>
      </c>
      <c r="D709" s="178" t="s">
        <v>1596</v>
      </c>
      <c r="E709">
        <v>3993.45</v>
      </c>
      <c r="F709">
        <v>599.02</v>
      </c>
      <c r="G709">
        <v>4592.47</v>
      </c>
    </row>
    <row r="710" spans="1:7" x14ac:dyDescent="0.35">
      <c r="A710" s="178" t="s">
        <v>1597</v>
      </c>
      <c r="B710" s="178" t="s">
        <v>1598</v>
      </c>
      <c r="C710" s="178" t="s">
        <v>449</v>
      </c>
      <c r="D710" s="178" t="s">
        <v>1599</v>
      </c>
      <c r="E710">
        <v>2134.6</v>
      </c>
      <c r="F710">
        <v>320.19</v>
      </c>
      <c r="G710">
        <v>2454.79</v>
      </c>
    </row>
    <row r="711" spans="1:7" x14ac:dyDescent="0.35">
      <c r="A711" s="178" t="s">
        <v>1389</v>
      </c>
      <c r="B711" s="178" t="s">
        <v>1600</v>
      </c>
      <c r="C711" s="178" t="s">
        <v>449</v>
      </c>
      <c r="D711" s="178" t="s">
        <v>1601</v>
      </c>
      <c r="E711">
        <v>3800.2</v>
      </c>
      <c r="F711">
        <v>570.03</v>
      </c>
      <c r="G711">
        <v>4370.2299999999996</v>
      </c>
    </row>
    <row r="712" spans="1:7" x14ac:dyDescent="0.35">
      <c r="A712" s="178" t="s">
        <v>1602</v>
      </c>
      <c r="B712" s="178" t="s">
        <v>1603</v>
      </c>
      <c r="C712" s="178" t="s">
        <v>449</v>
      </c>
      <c r="D712" s="178" t="s">
        <v>57</v>
      </c>
      <c r="E712">
        <v>1486.1</v>
      </c>
      <c r="F712">
        <v>222.92</v>
      </c>
      <c r="G712">
        <v>1709.02</v>
      </c>
    </row>
    <row r="713" spans="1:7" x14ac:dyDescent="0.35">
      <c r="A713" s="178" t="s">
        <v>496</v>
      </c>
      <c r="B713" s="178" t="s">
        <v>1604</v>
      </c>
      <c r="C713" s="178" t="s">
        <v>449</v>
      </c>
      <c r="D713" s="178" t="s">
        <v>1475</v>
      </c>
      <c r="E713">
        <v>31073</v>
      </c>
      <c r="F713">
        <v>4660.95</v>
      </c>
      <c r="G713">
        <v>35733.949999999997</v>
      </c>
    </row>
    <row r="714" spans="1:7" x14ac:dyDescent="0.35">
      <c r="A714" s="178" t="s">
        <v>1605</v>
      </c>
      <c r="B714" s="178" t="s">
        <v>1606</v>
      </c>
      <c r="C714" s="178" t="s">
        <v>449</v>
      </c>
      <c r="D714" s="178" t="s">
        <v>57</v>
      </c>
      <c r="E714">
        <v>1586.25</v>
      </c>
      <c r="F714">
        <v>237.94</v>
      </c>
      <c r="G714">
        <v>1824.19</v>
      </c>
    </row>
    <row r="715" spans="1:7" x14ac:dyDescent="0.35">
      <c r="A715" s="178" t="s">
        <v>1607</v>
      </c>
      <c r="B715" s="178" t="s">
        <v>1608</v>
      </c>
      <c r="C715" s="178" t="s">
        <v>449</v>
      </c>
      <c r="D715" s="178" t="s">
        <v>57</v>
      </c>
      <c r="E715">
        <v>1620.85</v>
      </c>
      <c r="F715">
        <v>243.13</v>
      </c>
      <c r="G715">
        <v>1863.98</v>
      </c>
    </row>
    <row r="716" spans="1:7" x14ac:dyDescent="0.35">
      <c r="A716" s="178" t="s">
        <v>451</v>
      </c>
      <c r="B716" s="178" t="s">
        <v>1609</v>
      </c>
      <c r="C716" s="178" t="s">
        <v>449</v>
      </c>
      <c r="D716">
        <v>36144</v>
      </c>
      <c r="E716">
        <v>20431.2</v>
      </c>
      <c r="F716">
        <v>3064.68</v>
      </c>
      <c r="G716">
        <v>23495.88</v>
      </c>
    </row>
    <row r="717" spans="1:7" x14ac:dyDescent="0.35">
      <c r="A717" s="178" t="s">
        <v>1610</v>
      </c>
      <c r="B717" s="178" t="s">
        <v>1611</v>
      </c>
      <c r="C717" s="178" t="s">
        <v>449</v>
      </c>
      <c r="D717" s="178" t="s">
        <v>1612</v>
      </c>
      <c r="E717">
        <v>15085.8</v>
      </c>
      <c r="F717">
        <v>2262.87</v>
      </c>
      <c r="G717">
        <v>17348.669999999998</v>
      </c>
    </row>
    <row r="718" spans="1:7" x14ac:dyDescent="0.35">
      <c r="A718" s="178" t="s">
        <v>1613</v>
      </c>
      <c r="B718" s="178" t="s">
        <v>1614</v>
      </c>
      <c r="C718" s="178" t="s">
        <v>449</v>
      </c>
      <c r="D718" s="178" t="s">
        <v>57</v>
      </c>
      <c r="E718">
        <v>4456.6499999999996</v>
      </c>
      <c r="F718">
        <v>668.5</v>
      </c>
      <c r="G718">
        <v>5125.1499999999996</v>
      </c>
    </row>
    <row r="719" spans="1:7" x14ac:dyDescent="0.35">
      <c r="A719" s="178" t="s">
        <v>802</v>
      </c>
      <c r="B719" s="178" t="s">
        <v>1615</v>
      </c>
      <c r="C719" s="178" t="s">
        <v>449</v>
      </c>
      <c r="D719" s="178" t="s">
        <v>57</v>
      </c>
      <c r="E719">
        <v>1587.9</v>
      </c>
      <c r="F719">
        <v>238.19</v>
      </c>
      <c r="G719">
        <v>1826.09</v>
      </c>
    </row>
    <row r="720" spans="1:7" x14ac:dyDescent="0.35">
      <c r="A720" s="178" t="s">
        <v>510</v>
      </c>
      <c r="B720" s="178" t="s">
        <v>1616</v>
      </c>
      <c r="C720" s="178" t="s">
        <v>449</v>
      </c>
      <c r="D720" s="178" t="s">
        <v>1617</v>
      </c>
      <c r="E720">
        <v>1414</v>
      </c>
      <c r="F720">
        <v>212.1</v>
      </c>
      <c r="G720">
        <v>1626.1</v>
      </c>
    </row>
    <row r="721" spans="1:7" x14ac:dyDescent="0.35">
      <c r="A721" s="178" t="s">
        <v>403</v>
      </c>
      <c r="B721" s="178" t="s">
        <v>1618</v>
      </c>
      <c r="C721" s="178" t="s">
        <v>449</v>
      </c>
      <c r="D721" s="178" t="s">
        <v>57</v>
      </c>
      <c r="E721">
        <v>4224.5</v>
      </c>
      <c r="F721">
        <v>633.67999999999995</v>
      </c>
      <c r="G721">
        <v>4858.18</v>
      </c>
    </row>
    <row r="722" spans="1:7" x14ac:dyDescent="0.35">
      <c r="A722" s="178" t="s">
        <v>535</v>
      </c>
      <c r="B722" s="178" t="s">
        <v>1619</v>
      </c>
      <c r="C722" s="178" t="s">
        <v>449</v>
      </c>
      <c r="D722" s="178" t="s">
        <v>57</v>
      </c>
      <c r="E722">
        <v>11399.5</v>
      </c>
      <c r="F722">
        <v>1709.93</v>
      </c>
      <c r="G722">
        <v>13109.43</v>
      </c>
    </row>
    <row r="723" spans="1:7" x14ac:dyDescent="0.35">
      <c r="A723" s="178" t="s">
        <v>1620</v>
      </c>
      <c r="B723" s="178" t="s">
        <v>1621</v>
      </c>
      <c r="C723" s="178" t="s">
        <v>449</v>
      </c>
      <c r="D723" s="178" t="s">
        <v>57</v>
      </c>
      <c r="E723">
        <v>2940</v>
      </c>
      <c r="F723">
        <v>441</v>
      </c>
      <c r="G723">
        <v>3381</v>
      </c>
    </row>
    <row r="724" spans="1:7" x14ac:dyDescent="0.35">
      <c r="A724" s="178" t="s">
        <v>1622</v>
      </c>
      <c r="B724" s="178" t="s">
        <v>1623</v>
      </c>
      <c r="C724" s="178" t="s">
        <v>449</v>
      </c>
      <c r="D724" s="178" t="s">
        <v>57</v>
      </c>
      <c r="E724">
        <v>713.8</v>
      </c>
      <c r="F724">
        <v>107.07</v>
      </c>
      <c r="G724">
        <v>820.87</v>
      </c>
    </row>
    <row r="725" spans="1:7" x14ac:dyDescent="0.35">
      <c r="A725" s="178" t="s">
        <v>454</v>
      </c>
      <c r="B725" s="178" t="s">
        <v>1624</v>
      </c>
      <c r="C725" s="178" t="s">
        <v>449</v>
      </c>
      <c r="D725" s="178" t="s">
        <v>1625</v>
      </c>
      <c r="E725">
        <v>1426.8</v>
      </c>
      <c r="F725">
        <v>214.03</v>
      </c>
      <c r="G725">
        <v>1640.83</v>
      </c>
    </row>
    <row r="726" spans="1:7" x14ac:dyDescent="0.35">
      <c r="A726" s="178" t="s">
        <v>893</v>
      </c>
      <c r="B726" s="178" t="s">
        <v>1626</v>
      </c>
      <c r="C726" s="178" t="s">
        <v>449</v>
      </c>
      <c r="D726" s="178" t="s">
        <v>57</v>
      </c>
      <c r="E726">
        <v>2956.52</v>
      </c>
      <c r="F726">
        <v>443.48</v>
      </c>
      <c r="G726">
        <v>3400</v>
      </c>
    </row>
    <row r="727" spans="1:7" x14ac:dyDescent="0.35">
      <c r="A727" s="178" t="s">
        <v>353</v>
      </c>
      <c r="B727" s="178" t="s">
        <v>1627</v>
      </c>
      <c r="C727" s="178" t="s">
        <v>449</v>
      </c>
      <c r="D727" s="178" t="s">
        <v>57</v>
      </c>
      <c r="E727">
        <v>4233.6000000000004</v>
      </c>
      <c r="F727">
        <v>635.04</v>
      </c>
      <c r="G727">
        <v>4868.6400000000003</v>
      </c>
    </row>
    <row r="728" spans="1:7" x14ac:dyDescent="0.35">
      <c r="A728" s="178" t="s">
        <v>529</v>
      </c>
      <c r="B728" s="178" t="s">
        <v>1628</v>
      </c>
      <c r="C728" s="178" t="s">
        <v>449</v>
      </c>
      <c r="D728" s="178" t="s">
        <v>57</v>
      </c>
      <c r="E728">
        <v>3594.8</v>
      </c>
      <c r="F728">
        <v>539.23</v>
      </c>
      <c r="G728">
        <v>4134.03</v>
      </c>
    </row>
    <row r="729" spans="1:7" x14ac:dyDescent="0.35">
      <c r="A729" s="178" t="s">
        <v>1629</v>
      </c>
      <c r="B729" s="178" t="s">
        <v>1630</v>
      </c>
      <c r="C729" s="178" t="s">
        <v>449</v>
      </c>
      <c r="D729" s="178" t="s">
        <v>1631</v>
      </c>
      <c r="E729">
        <v>33464.6</v>
      </c>
      <c r="F729">
        <v>5019.6899999999996</v>
      </c>
      <c r="G729">
        <v>38484.29</v>
      </c>
    </row>
    <row r="730" spans="1:7" x14ac:dyDescent="0.35">
      <c r="A730" s="178" t="s">
        <v>679</v>
      </c>
      <c r="B730" s="178" t="s">
        <v>1632</v>
      </c>
      <c r="C730" s="178" t="s">
        <v>449</v>
      </c>
      <c r="D730" s="178" t="s">
        <v>57</v>
      </c>
      <c r="E730">
        <v>4387.3</v>
      </c>
      <c r="F730">
        <v>658.1</v>
      </c>
      <c r="G730">
        <v>5045.3999999999996</v>
      </c>
    </row>
    <row r="731" spans="1:7" x14ac:dyDescent="0.35">
      <c r="A731" s="178" t="s">
        <v>503</v>
      </c>
      <c r="B731" s="178" t="s">
        <v>1633</v>
      </c>
      <c r="C731" s="178" t="s">
        <v>449</v>
      </c>
      <c r="D731" s="178" t="s">
        <v>1634</v>
      </c>
      <c r="E731">
        <v>3100</v>
      </c>
      <c r="F731">
        <v>465</v>
      </c>
      <c r="G731">
        <v>3565</v>
      </c>
    </row>
    <row r="732" spans="1:7" x14ac:dyDescent="0.35">
      <c r="A732" s="178" t="s">
        <v>1635</v>
      </c>
      <c r="B732" s="178" t="s">
        <v>1636</v>
      </c>
      <c r="C732" s="178" t="s">
        <v>449</v>
      </c>
      <c r="D732" s="178" t="s">
        <v>57</v>
      </c>
      <c r="E732">
        <v>2842</v>
      </c>
      <c r="F732">
        <v>426.31</v>
      </c>
      <c r="G732">
        <v>3268.31</v>
      </c>
    </row>
    <row r="733" spans="1:7" x14ac:dyDescent="0.35">
      <c r="A733" s="178" t="s">
        <v>1237</v>
      </c>
      <c r="B733" s="178" t="s">
        <v>1637</v>
      </c>
      <c r="C733" s="178" t="s">
        <v>449</v>
      </c>
      <c r="D733" s="178" t="s">
        <v>57</v>
      </c>
      <c r="E733">
        <v>3142.6</v>
      </c>
      <c r="F733">
        <v>471.39</v>
      </c>
      <c r="G733">
        <v>3613.99</v>
      </c>
    </row>
    <row r="734" spans="1:7" x14ac:dyDescent="0.35">
      <c r="A734" s="178" t="s">
        <v>748</v>
      </c>
      <c r="B734" s="178" t="s">
        <v>1638</v>
      </c>
      <c r="C734" s="178" t="s">
        <v>449</v>
      </c>
      <c r="D734" s="178" t="s">
        <v>57</v>
      </c>
      <c r="E734">
        <v>1629.7</v>
      </c>
      <c r="F734">
        <v>244.46</v>
      </c>
      <c r="G734">
        <v>1874.16</v>
      </c>
    </row>
    <row r="735" spans="1:7" x14ac:dyDescent="0.35">
      <c r="A735" s="178" t="s">
        <v>1639</v>
      </c>
      <c r="B735" s="178" t="s">
        <v>1640</v>
      </c>
      <c r="C735" s="178" t="s">
        <v>449</v>
      </c>
      <c r="D735" s="178" t="s">
        <v>1641</v>
      </c>
      <c r="E735">
        <v>4522.75</v>
      </c>
      <c r="F735">
        <v>678.41</v>
      </c>
      <c r="G735">
        <v>5201.16</v>
      </c>
    </row>
    <row r="736" spans="1:7" x14ac:dyDescent="0.35">
      <c r="A736" s="178" t="s">
        <v>532</v>
      </c>
      <c r="B736" s="178" t="s">
        <v>1642</v>
      </c>
      <c r="C736" s="178" t="s">
        <v>449</v>
      </c>
      <c r="D736" s="178" t="s">
        <v>57</v>
      </c>
      <c r="E736">
        <v>1353</v>
      </c>
      <c r="F736">
        <v>202.95</v>
      </c>
      <c r="G736">
        <v>1555.95</v>
      </c>
    </row>
    <row r="737" spans="1:7" x14ac:dyDescent="0.35">
      <c r="A737" s="178" t="s">
        <v>532</v>
      </c>
      <c r="B737" s="178" t="s">
        <v>1643</v>
      </c>
      <c r="C737" s="178" t="s">
        <v>449</v>
      </c>
      <c r="D737" s="178" t="s">
        <v>57</v>
      </c>
      <c r="E737">
        <v>3580.95</v>
      </c>
      <c r="F737">
        <v>537.15</v>
      </c>
      <c r="G737">
        <v>4118.1000000000004</v>
      </c>
    </row>
    <row r="738" spans="1:7" x14ac:dyDescent="0.35">
      <c r="A738" s="178" t="s">
        <v>904</v>
      </c>
      <c r="B738" s="178" t="s">
        <v>1644</v>
      </c>
      <c r="C738" s="178" t="s">
        <v>449</v>
      </c>
      <c r="D738" s="178" t="s">
        <v>57</v>
      </c>
      <c r="E738">
        <v>3012.9</v>
      </c>
      <c r="F738">
        <v>451.94</v>
      </c>
      <c r="G738">
        <v>3464.84</v>
      </c>
    </row>
    <row r="739" spans="1:7" x14ac:dyDescent="0.35">
      <c r="A739" s="178" t="s">
        <v>1645</v>
      </c>
      <c r="B739" s="178" t="s">
        <v>1646</v>
      </c>
      <c r="C739" s="178" t="s">
        <v>449</v>
      </c>
      <c r="D739" s="178" t="s">
        <v>57</v>
      </c>
      <c r="E739">
        <v>1277.0999999999999</v>
      </c>
      <c r="F739">
        <v>191.57</v>
      </c>
      <c r="G739">
        <v>1468.67</v>
      </c>
    </row>
    <row r="740" spans="1:7" x14ac:dyDescent="0.35">
      <c r="A740" s="178" t="s">
        <v>454</v>
      </c>
      <c r="B740" s="178" t="s">
        <v>1647</v>
      </c>
      <c r="C740" s="178" t="s">
        <v>449</v>
      </c>
      <c r="D740" s="178" t="s">
        <v>57</v>
      </c>
      <c r="E740">
        <v>10365.450000000001</v>
      </c>
      <c r="F740">
        <v>1554.82</v>
      </c>
      <c r="G740">
        <v>11920.27</v>
      </c>
    </row>
    <row r="741" spans="1:7" x14ac:dyDescent="0.35">
      <c r="A741" s="178" t="s">
        <v>451</v>
      </c>
      <c r="B741" s="178" t="s">
        <v>1648</v>
      </c>
      <c r="C741" s="178" t="s">
        <v>449</v>
      </c>
      <c r="D741">
        <v>36161</v>
      </c>
      <c r="E741">
        <v>9386.4</v>
      </c>
      <c r="F741">
        <v>1407.96</v>
      </c>
      <c r="G741">
        <v>10794.36</v>
      </c>
    </row>
    <row r="742" spans="1:7" x14ac:dyDescent="0.35">
      <c r="A742" s="178" t="s">
        <v>1649</v>
      </c>
      <c r="B742" s="178" t="s">
        <v>1650</v>
      </c>
      <c r="C742" s="178" t="s">
        <v>449</v>
      </c>
      <c r="D742" s="178" t="s">
        <v>1651</v>
      </c>
      <c r="E742">
        <v>5118.25</v>
      </c>
      <c r="F742">
        <v>767.74</v>
      </c>
      <c r="G742">
        <v>5885.99</v>
      </c>
    </row>
    <row r="743" spans="1:7" x14ac:dyDescent="0.35">
      <c r="A743" s="178" t="s">
        <v>1503</v>
      </c>
      <c r="B743" s="178" t="s">
        <v>1652</v>
      </c>
      <c r="C743" s="178" t="s">
        <v>449</v>
      </c>
      <c r="D743" s="178" t="s">
        <v>1505</v>
      </c>
      <c r="E743">
        <v>24206</v>
      </c>
      <c r="F743">
        <v>3630.9</v>
      </c>
      <c r="G743">
        <v>27836.9</v>
      </c>
    </row>
    <row r="744" spans="1:7" x14ac:dyDescent="0.35">
      <c r="A744" s="178" t="s">
        <v>451</v>
      </c>
      <c r="B744" s="178" t="s">
        <v>1653</v>
      </c>
      <c r="C744" s="178" t="s">
        <v>449</v>
      </c>
      <c r="D744">
        <v>36164</v>
      </c>
      <c r="E744">
        <v>12732.5</v>
      </c>
      <c r="F744">
        <v>1909.88</v>
      </c>
      <c r="G744">
        <v>14642.38</v>
      </c>
    </row>
    <row r="745" spans="1:7" x14ac:dyDescent="0.35">
      <c r="A745" s="178" t="s">
        <v>904</v>
      </c>
      <c r="B745" s="178" t="s">
        <v>1654</v>
      </c>
      <c r="C745" s="178" t="s">
        <v>449</v>
      </c>
      <c r="D745" s="178" t="s">
        <v>57</v>
      </c>
      <c r="E745">
        <v>1000</v>
      </c>
      <c r="F745">
        <v>150</v>
      </c>
      <c r="G745">
        <v>1150</v>
      </c>
    </row>
    <row r="746" spans="1:7" x14ac:dyDescent="0.35">
      <c r="A746" s="178" t="s">
        <v>451</v>
      </c>
      <c r="B746" s="178" t="s">
        <v>1655</v>
      </c>
      <c r="C746" s="178" t="s">
        <v>449</v>
      </c>
      <c r="D746">
        <v>36168</v>
      </c>
      <c r="E746">
        <v>18175.400000000001</v>
      </c>
      <c r="F746">
        <v>2726.32</v>
      </c>
      <c r="G746">
        <v>20901.72</v>
      </c>
    </row>
    <row r="747" spans="1:7" x14ac:dyDescent="0.35">
      <c r="A747" s="178" t="s">
        <v>377</v>
      </c>
      <c r="B747" s="178" t="s">
        <v>1656</v>
      </c>
      <c r="C747" s="178" t="s">
        <v>440</v>
      </c>
      <c r="D747" s="178" t="s">
        <v>1657</v>
      </c>
      <c r="E747">
        <v>2422.5</v>
      </c>
      <c r="F747">
        <v>363.38</v>
      </c>
      <c r="G747">
        <v>2785.88</v>
      </c>
    </row>
    <row r="748" spans="1:7" x14ac:dyDescent="0.35">
      <c r="A748" s="178" t="s">
        <v>347</v>
      </c>
      <c r="B748" s="178" t="s">
        <v>1658</v>
      </c>
      <c r="C748" s="178" t="s">
        <v>449</v>
      </c>
      <c r="D748" s="178" t="s">
        <v>57</v>
      </c>
      <c r="E748">
        <v>16656.75</v>
      </c>
      <c r="F748">
        <v>2498.52</v>
      </c>
      <c r="G748">
        <v>19155.27</v>
      </c>
    </row>
    <row r="749" spans="1:7" x14ac:dyDescent="0.35">
      <c r="A749" s="178" t="s">
        <v>591</v>
      </c>
      <c r="B749" s="178" t="s">
        <v>1659</v>
      </c>
      <c r="C749" s="178" t="s">
        <v>449</v>
      </c>
      <c r="D749" s="178" t="s">
        <v>57</v>
      </c>
      <c r="E749">
        <v>1893.35</v>
      </c>
      <c r="F749">
        <v>284.01</v>
      </c>
      <c r="G749">
        <v>2177.36</v>
      </c>
    </row>
    <row r="750" spans="1:7" x14ac:dyDescent="0.35">
      <c r="A750" s="178" t="s">
        <v>1660</v>
      </c>
      <c r="B750" s="178" t="s">
        <v>1661</v>
      </c>
      <c r="C750" s="178" t="s">
        <v>449</v>
      </c>
      <c r="D750" s="178" t="s">
        <v>1662</v>
      </c>
      <c r="E750">
        <v>11653.31</v>
      </c>
      <c r="F750" s="178" t="s">
        <v>57</v>
      </c>
      <c r="G750">
        <v>11653.31</v>
      </c>
    </row>
    <row r="751" spans="1:7" x14ac:dyDescent="0.35">
      <c r="A751" s="178" t="s">
        <v>1663</v>
      </c>
      <c r="B751" s="178" t="s">
        <v>1664</v>
      </c>
      <c r="C751" s="178" t="s">
        <v>449</v>
      </c>
      <c r="D751" s="178" t="s">
        <v>57</v>
      </c>
      <c r="E751">
        <v>4421.2</v>
      </c>
      <c r="F751">
        <v>663.18</v>
      </c>
      <c r="G751">
        <v>5084.38</v>
      </c>
    </row>
    <row r="752" spans="1:7" x14ac:dyDescent="0.35">
      <c r="A752" s="178" t="s">
        <v>454</v>
      </c>
      <c r="B752" s="178" t="s">
        <v>1665</v>
      </c>
      <c r="C752" s="178" t="s">
        <v>449</v>
      </c>
      <c r="D752" s="178" t="s">
        <v>57</v>
      </c>
      <c r="E752">
        <v>16500</v>
      </c>
      <c r="F752">
        <v>2475</v>
      </c>
      <c r="G752">
        <v>18975</v>
      </c>
    </row>
    <row r="753" spans="1:7" x14ac:dyDescent="0.35">
      <c r="A753" s="178" t="s">
        <v>851</v>
      </c>
      <c r="B753" s="178" t="s">
        <v>1666</v>
      </c>
      <c r="C753" s="178" t="s">
        <v>449</v>
      </c>
      <c r="D753" s="178" t="s">
        <v>57</v>
      </c>
      <c r="E753">
        <v>1500</v>
      </c>
      <c r="F753">
        <v>225</v>
      </c>
      <c r="G753">
        <v>1725</v>
      </c>
    </row>
    <row r="754" spans="1:7" x14ac:dyDescent="0.35">
      <c r="A754" s="178" t="s">
        <v>366</v>
      </c>
      <c r="B754" s="178" t="s">
        <v>1667</v>
      </c>
      <c r="C754" s="178" t="s">
        <v>449</v>
      </c>
      <c r="D754" s="178" t="s">
        <v>1668</v>
      </c>
      <c r="E754">
        <v>1435</v>
      </c>
      <c r="F754">
        <v>215.25</v>
      </c>
      <c r="G754">
        <v>1650.25</v>
      </c>
    </row>
    <row r="755" spans="1:7" x14ac:dyDescent="0.35">
      <c r="A755" s="178" t="s">
        <v>454</v>
      </c>
      <c r="B755" s="178" t="s">
        <v>1669</v>
      </c>
      <c r="C755" s="178" t="s">
        <v>449</v>
      </c>
      <c r="D755" s="178" t="s">
        <v>1670</v>
      </c>
      <c r="E755">
        <v>2090.9499999999998</v>
      </c>
      <c r="F755">
        <v>313.64</v>
      </c>
      <c r="G755">
        <v>2404.59</v>
      </c>
    </row>
    <row r="756" spans="1:7" x14ac:dyDescent="0.35">
      <c r="A756" s="178" t="s">
        <v>1231</v>
      </c>
      <c r="B756" s="178" t="s">
        <v>1671</v>
      </c>
      <c r="C756" s="178" t="s">
        <v>449</v>
      </c>
      <c r="D756" s="178" t="s">
        <v>57</v>
      </c>
      <c r="E756">
        <v>2224.4</v>
      </c>
      <c r="F756">
        <v>333.67</v>
      </c>
      <c r="G756">
        <v>2558.0700000000002</v>
      </c>
    </row>
    <row r="757" spans="1:7" x14ac:dyDescent="0.35">
      <c r="A757" s="178" t="s">
        <v>1593</v>
      </c>
      <c r="B757" s="178" t="s">
        <v>1672</v>
      </c>
      <c r="C757" s="178" t="s">
        <v>449</v>
      </c>
      <c r="D757" s="178" t="s">
        <v>57</v>
      </c>
      <c r="E757" s="178" t="s">
        <v>57</v>
      </c>
      <c r="F757" s="178" t="s">
        <v>57</v>
      </c>
    </row>
    <row r="758" spans="1:7" x14ac:dyDescent="0.35">
      <c r="A758" s="178" t="s">
        <v>1593</v>
      </c>
      <c r="B758" s="178" t="s">
        <v>1673</v>
      </c>
      <c r="C758" s="178" t="s">
        <v>449</v>
      </c>
      <c r="D758" s="178" t="s">
        <v>57</v>
      </c>
      <c r="E758">
        <v>649.70000000000005</v>
      </c>
      <c r="F758">
        <v>97.46</v>
      </c>
      <c r="G758">
        <v>747.16</v>
      </c>
    </row>
    <row r="759" spans="1:7" x14ac:dyDescent="0.35">
      <c r="A759" s="178" t="s">
        <v>484</v>
      </c>
      <c r="B759" s="178" t="s">
        <v>1674</v>
      </c>
      <c r="C759" s="178" t="s">
        <v>449</v>
      </c>
      <c r="D759" s="178" t="s">
        <v>57</v>
      </c>
      <c r="E759">
        <v>3963.25</v>
      </c>
      <c r="F759">
        <v>594.49</v>
      </c>
      <c r="G759">
        <v>4557.74</v>
      </c>
    </row>
    <row r="760" spans="1:7" x14ac:dyDescent="0.35">
      <c r="A760" s="178" t="s">
        <v>588</v>
      </c>
      <c r="B760" s="178" t="s">
        <v>1675</v>
      </c>
      <c r="C760" s="178" t="s">
        <v>449</v>
      </c>
      <c r="D760" s="178" t="s">
        <v>57</v>
      </c>
      <c r="E760">
        <v>639</v>
      </c>
      <c r="F760">
        <v>95.85</v>
      </c>
      <c r="G760">
        <v>734.85</v>
      </c>
    </row>
    <row r="761" spans="1:7" x14ac:dyDescent="0.35">
      <c r="A761" s="178" t="s">
        <v>1262</v>
      </c>
      <c r="B761" s="178" t="s">
        <v>1676</v>
      </c>
      <c r="C761" s="178" t="s">
        <v>449</v>
      </c>
      <c r="D761" s="178" t="s">
        <v>57</v>
      </c>
      <c r="E761">
        <v>2097</v>
      </c>
      <c r="F761">
        <v>314.56</v>
      </c>
      <c r="G761">
        <v>2411.56</v>
      </c>
    </row>
    <row r="762" spans="1:7" x14ac:dyDescent="0.35">
      <c r="A762" s="178" t="s">
        <v>1677</v>
      </c>
      <c r="B762" s="178" t="s">
        <v>1678</v>
      </c>
      <c r="C762" s="178" t="s">
        <v>449</v>
      </c>
      <c r="D762" s="178" t="s">
        <v>1679</v>
      </c>
      <c r="E762">
        <v>67786.38</v>
      </c>
      <c r="F762" s="178" t="s">
        <v>57</v>
      </c>
      <c r="G762">
        <v>67786.38</v>
      </c>
    </row>
    <row r="763" spans="1:7" x14ac:dyDescent="0.35">
      <c r="A763" s="178" t="s">
        <v>1680</v>
      </c>
      <c r="B763" s="178" t="s">
        <v>1681</v>
      </c>
      <c r="C763" s="178" t="s">
        <v>449</v>
      </c>
      <c r="D763" s="178" t="s">
        <v>57</v>
      </c>
      <c r="E763">
        <v>2469</v>
      </c>
      <c r="F763">
        <v>370.35</v>
      </c>
      <c r="G763">
        <v>2839.35</v>
      </c>
    </row>
    <row r="764" spans="1:7" x14ac:dyDescent="0.35">
      <c r="A764" s="178" t="s">
        <v>679</v>
      </c>
      <c r="B764" s="178" t="s">
        <v>1682</v>
      </c>
      <c r="C764" s="178" t="s">
        <v>449</v>
      </c>
      <c r="D764" s="178" t="s">
        <v>57</v>
      </c>
      <c r="E764">
        <v>6655.5</v>
      </c>
      <c r="F764">
        <v>998.33</v>
      </c>
      <c r="G764">
        <v>7653.83</v>
      </c>
    </row>
    <row r="765" spans="1:7" x14ac:dyDescent="0.35">
      <c r="A765" s="178" t="s">
        <v>578</v>
      </c>
      <c r="B765" s="178" t="s">
        <v>1683</v>
      </c>
      <c r="C765" s="178" t="s">
        <v>458</v>
      </c>
      <c r="D765" s="178" t="s">
        <v>1684</v>
      </c>
      <c r="E765">
        <v>7381.5</v>
      </c>
      <c r="F765">
        <v>1079.54</v>
      </c>
      <c r="G765">
        <v>8461.0400000000009</v>
      </c>
    </row>
    <row r="766" spans="1:7" x14ac:dyDescent="0.35">
      <c r="A766" s="178" t="s">
        <v>1602</v>
      </c>
      <c r="B766" s="178" t="s">
        <v>1685</v>
      </c>
      <c r="C766" s="178" t="s">
        <v>458</v>
      </c>
      <c r="D766" s="178" t="s">
        <v>57</v>
      </c>
      <c r="E766">
        <v>14304.35</v>
      </c>
      <c r="F766">
        <v>2145.65</v>
      </c>
      <c r="G766">
        <v>16450</v>
      </c>
    </row>
    <row r="767" spans="1:7" x14ac:dyDescent="0.35">
      <c r="A767" s="178" t="s">
        <v>1686</v>
      </c>
      <c r="B767" s="178" t="s">
        <v>1687</v>
      </c>
      <c r="C767" s="178" t="s">
        <v>458</v>
      </c>
      <c r="D767" s="178" t="s">
        <v>1688</v>
      </c>
      <c r="E767">
        <v>3091.2</v>
      </c>
      <c r="F767">
        <v>463.68</v>
      </c>
      <c r="G767">
        <v>3554.88</v>
      </c>
    </row>
    <row r="768" spans="1:7" x14ac:dyDescent="0.35">
      <c r="A768" s="178" t="s">
        <v>1689</v>
      </c>
      <c r="B768" s="178" t="s">
        <v>1690</v>
      </c>
      <c r="C768" s="178" t="s">
        <v>458</v>
      </c>
      <c r="D768" s="178" t="s">
        <v>57</v>
      </c>
      <c r="E768">
        <v>1427.1</v>
      </c>
      <c r="F768">
        <v>214.07</v>
      </c>
      <c r="G768">
        <v>1641.17</v>
      </c>
    </row>
    <row r="769" spans="1:7" x14ac:dyDescent="0.35">
      <c r="A769" s="178" t="s">
        <v>1028</v>
      </c>
      <c r="B769" s="178" t="s">
        <v>1691</v>
      </c>
      <c r="C769" s="178" t="s">
        <v>458</v>
      </c>
      <c r="D769" s="178" t="s">
        <v>57</v>
      </c>
      <c r="E769">
        <v>620.15</v>
      </c>
      <c r="F769">
        <v>93.02</v>
      </c>
      <c r="G769">
        <v>713.17</v>
      </c>
    </row>
    <row r="770" spans="1:7" x14ac:dyDescent="0.35">
      <c r="A770" s="178" t="s">
        <v>1692</v>
      </c>
      <c r="B770" s="178" t="s">
        <v>1693</v>
      </c>
      <c r="C770" s="178" t="s">
        <v>458</v>
      </c>
      <c r="D770" s="178" t="s">
        <v>1694</v>
      </c>
      <c r="E770">
        <v>4320</v>
      </c>
      <c r="F770">
        <v>648</v>
      </c>
      <c r="G770">
        <v>4968</v>
      </c>
    </row>
    <row r="771" spans="1:7" x14ac:dyDescent="0.35">
      <c r="A771" s="178" t="s">
        <v>1692</v>
      </c>
      <c r="B771" s="178" t="s">
        <v>1695</v>
      </c>
      <c r="C771" s="178" t="s">
        <v>458</v>
      </c>
      <c r="D771" s="178" t="s">
        <v>1696</v>
      </c>
      <c r="E771">
        <v>4230</v>
      </c>
      <c r="F771">
        <v>634.5</v>
      </c>
      <c r="G771">
        <v>4864.5</v>
      </c>
    </row>
    <row r="772" spans="1:7" x14ac:dyDescent="0.35">
      <c r="A772" s="178" t="s">
        <v>535</v>
      </c>
      <c r="B772" s="178" t="s">
        <v>1697</v>
      </c>
      <c r="C772" s="178" t="s">
        <v>458</v>
      </c>
      <c r="D772" s="178" t="s">
        <v>57</v>
      </c>
      <c r="E772">
        <v>3035.1</v>
      </c>
      <c r="F772">
        <v>455.27</v>
      </c>
      <c r="G772">
        <v>3490.37</v>
      </c>
    </row>
    <row r="773" spans="1:7" x14ac:dyDescent="0.35">
      <c r="A773" s="178" t="s">
        <v>451</v>
      </c>
      <c r="B773" s="178" t="s">
        <v>1698</v>
      </c>
      <c r="C773" s="178" t="s">
        <v>458</v>
      </c>
      <c r="D773">
        <v>36015</v>
      </c>
      <c r="E773">
        <v>13538.4</v>
      </c>
      <c r="F773">
        <v>2030.76</v>
      </c>
      <c r="G773">
        <v>15569.16</v>
      </c>
    </row>
    <row r="774" spans="1:7" x14ac:dyDescent="0.35">
      <c r="A774" s="178" t="s">
        <v>679</v>
      </c>
      <c r="B774" s="178" t="s">
        <v>1699</v>
      </c>
      <c r="C774" s="178" t="s">
        <v>458</v>
      </c>
      <c r="D774" s="178" t="s">
        <v>57</v>
      </c>
      <c r="E774">
        <v>400</v>
      </c>
      <c r="F774">
        <v>60</v>
      </c>
      <c r="G774">
        <v>460</v>
      </c>
    </row>
    <row r="775" spans="1:7" x14ac:dyDescent="0.35">
      <c r="A775" s="178" t="s">
        <v>722</v>
      </c>
      <c r="B775" s="178" t="s">
        <v>1700</v>
      </c>
      <c r="C775" s="178" t="s">
        <v>458</v>
      </c>
      <c r="D775" s="178" t="s">
        <v>57</v>
      </c>
      <c r="E775">
        <v>1635.2</v>
      </c>
      <c r="F775">
        <v>245.28</v>
      </c>
      <c r="G775">
        <v>1880.48</v>
      </c>
    </row>
    <row r="776" spans="1:7" x14ac:dyDescent="0.35">
      <c r="A776" s="178" t="s">
        <v>478</v>
      </c>
      <c r="B776" s="178" t="s">
        <v>1701</v>
      </c>
      <c r="C776" s="178" t="s">
        <v>458</v>
      </c>
      <c r="D776" s="178" t="s">
        <v>1702</v>
      </c>
      <c r="E776">
        <v>3250</v>
      </c>
      <c r="F776">
        <v>487.5</v>
      </c>
      <c r="G776">
        <v>3737.5</v>
      </c>
    </row>
    <row r="777" spans="1:7" x14ac:dyDescent="0.35">
      <c r="A777" s="178" t="s">
        <v>802</v>
      </c>
      <c r="B777" s="178" t="s">
        <v>1703</v>
      </c>
      <c r="C777" s="178" t="s">
        <v>458</v>
      </c>
      <c r="D777" s="178" t="s">
        <v>57</v>
      </c>
      <c r="E777">
        <v>1963.15</v>
      </c>
      <c r="F777">
        <v>294.47000000000003</v>
      </c>
      <c r="G777">
        <v>2257.62</v>
      </c>
    </row>
    <row r="778" spans="1:7" x14ac:dyDescent="0.35">
      <c r="A778" s="178" t="s">
        <v>1704</v>
      </c>
      <c r="B778" s="178" t="s">
        <v>1705</v>
      </c>
      <c r="C778" s="178" t="s">
        <v>458</v>
      </c>
      <c r="D778" s="178" t="s">
        <v>57</v>
      </c>
      <c r="E778">
        <v>1796</v>
      </c>
      <c r="F778">
        <v>269.39999999999998</v>
      </c>
      <c r="G778">
        <v>2065.4</v>
      </c>
    </row>
    <row r="779" spans="1:7" x14ac:dyDescent="0.35">
      <c r="A779" s="178" t="s">
        <v>335</v>
      </c>
      <c r="B779" s="178" t="s">
        <v>1706</v>
      </c>
      <c r="C779" s="178" t="s">
        <v>458</v>
      </c>
      <c r="D779" s="178" t="s">
        <v>1707</v>
      </c>
      <c r="E779">
        <v>757.35</v>
      </c>
      <c r="F779">
        <v>113.6</v>
      </c>
      <c r="G779">
        <v>870.95</v>
      </c>
    </row>
    <row r="780" spans="1:7" x14ac:dyDescent="0.35">
      <c r="A780" s="178" t="s">
        <v>372</v>
      </c>
      <c r="B780" s="178" t="s">
        <v>1708</v>
      </c>
      <c r="C780" s="178" t="s">
        <v>458</v>
      </c>
      <c r="D780" s="178" t="s">
        <v>57</v>
      </c>
      <c r="E780">
        <v>29799.25</v>
      </c>
      <c r="F780">
        <v>4469.8900000000003</v>
      </c>
      <c r="G780">
        <v>34269.14</v>
      </c>
    </row>
    <row r="781" spans="1:7" x14ac:dyDescent="0.35">
      <c r="A781" s="178" t="s">
        <v>1709</v>
      </c>
      <c r="B781" s="178" t="s">
        <v>1710</v>
      </c>
      <c r="C781" s="178" t="s">
        <v>458</v>
      </c>
      <c r="D781">
        <v>4585</v>
      </c>
      <c r="E781">
        <v>11047.85</v>
      </c>
      <c r="F781">
        <v>1657.18</v>
      </c>
      <c r="G781">
        <v>12705.03</v>
      </c>
    </row>
    <row r="782" spans="1:7" x14ac:dyDescent="0.35">
      <c r="A782" s="178" t="s">
        <v>847</v>
      </c>
      <c r="B782" s="178" t="s">
        <v>1711</v>
      </c>
      <c r="C782" s="178" t="s">
        <v>458</v>
      </c>
      <c r="D782" s="178" t="s">
        <v>57</v>
      </c>
      <c r="E782">
        <v>7387.5</v>
      </c>
      <c r="F782">
        <v>1108.1300000000001</v>
      </c>
      <c r="G782">
        <v>8495.6299999999992</v>
      </c>
    </row>
    <row r="783" spans="1:7" x14ac:dyDescent="0.35">
      <c r="A783" s="178" t="s">
        <v>898</v>
      </c>
      <c r="B783" s="178" t="s">
        <v>1712</v>
      </c>
      <c r="C783" s="178" t="s">
        <v>458</v>
      </c>
      <c r="D783" s="178" t="s">
        <v>57</v>
      </c>
      <c r="E783">
        <v>1041.9000000000001</v>
      </c>
      <c r="F783">
        <v>156.29</v>
      </c>
      <c r="G783">
        <v>1198.19</v>
      </c>
    </row>
    <row r="784" spans="1:7" x14ac:dyDescent="0.35">
      <c r="A784" s="178" t="s">
        <v>1078</v>
      </c>
      <c r="B784" s="178" t="s">
        <v>1713</v>
      </c>
      <c r="C784" s="178" t="s">
        <v>458</v>
      </c>
      <c r="D784" s="178" t="s">
        <v>57</v>
      </c>
      <c r="E784">
        <v>821.3</v>
      </c>
      <c r="F784">
        <v>123.2</v>
      </c>
      <c r="G784">
        <v>944.5</v>
      </c>
    </row>
    <row r="785" spans="1:7" x14ac:dyDescent="0.35">
      <c r="A785" s="178" t="s">
        <v>1527</v>
      </c>
      <c r="B785" s="178" t="s">
        <v>1714</v>
      </c>
      <c r="C785" s="178" t="s">
        <v>458</v>
      </c>
      <c r="D785" s="178" t="s">
        <v>1715</v>
      </c>
      <c r="E785">
        <v>1300.6500000000001</v>
      </c>
      <c r="F785">
        <v>195.1</v>
      </c>
      <c r="G785">
        <v>1495.75</v>
      </c>
    </row>
    <row r="786" spans="1:7" x14ac:dyDescent="0.35">
      <c r="A786" s="178" t="s">
        <v>1716</v>
      </c>
      <c r="B786" s="178" t="s">
        <v>1717</v>
      </c>
      <c r="C786" s="178" t="s">
        <v>458</v>
      </c>
      <c r="D786" s="178" t="s">
        <v>1718</v>
      </c>
      <c r="E786">
        <v>21132</v>
      </c>
      <c r="F786">
        <v>3169.8</v>
      </c>
      <c r="G786">
        <v>24301.8</v>
      </c>
    </row>
    <row r="787" spans="1:7" x14ac:dyDescent="0.35">
      <c r="A787" s="178" t="s">
        <v>1503</v>
      </c>
      <c r="B787" s="178" t="s">
        <v>1719</v>
      </c>
      <c r="C787" s="178" t="s">
        <v>458</v>
      </c>
      <c r="D787" s="178" t="s">
        <v>1720</v>
      </c>
      <c r="E787">
        <v>1376.25</v>
      </c>
      <c r="F787">
        <v>206.44</v>
      </c>
      <c r="G787">
        <v>1582.69</v>
      </c>
    </row>
    <row r="788" spans="1:7" x14ac:dyDescent="0.35">
      <c r="A788" s="178" t="s">
        <v>1721</v>
      </c>
      <c r="B788" s="178" t="s">
        <v>1722</v>
      </c>
      <c r="C788" s="178" t="s">
        <v>458</v>
      </c>
      <c r="D788" s="178" t="s">
        <v>57</v>
      </c>
      <c r="E788">
        <v>1740.35</v>
      </c>
      <c r="F788">
        <v>261.05</v>
      </c>
      <c r="G788">
        <v>2001.4</v>
      </c>
    </row>
    <row r="789" spans="1:7" x14ac:dyDescent="0.35">
      <c r="A789" s="178" t="s">
        <v>675</v>
      </c>
      <c r="B789" s="178" t="s">
        <v>1723</v>
      </c>
      <c r="C789" s="178" t="s">
        <v>458</v>
      </c>
      <c r="D789" s="178" t="s">
        <v>57</v>
      </c>
      <c r="E789">
        <v>6340</v>
      </c>
      <c r="F789">
        <v>951</v>
      </c>
      <c r="G789">
        <v>7291</v>
      </c>
    </row>
    <row r="790" spans="1:7" x14ac:dyDescent="0.35">
      <c r="A790" s="178" t="s">
        <v>1724</v>
      </c>
      <c r="B790" s="178" t="s">
        <v>1725</v>
      </c>
      <c r="C790" s="178" t="s">
        <v>458</v>
      </c>
      <c r="D790" s="178" t="s">
        <v>1726</v>
      </c>
      <c r="E790">
        <v>13421.6</v>
      </c>
      <c r="F790">
        <v>2013.24</v>
      </c>
      <c r="G790">
        <v>15434.84</v>
      </c>
    </row>
    <row r="791" spans="1:7" x14ac:dyDescent="0.35">
      <c r="A791" s="178" t="s">
        <v>1727</v>
      </c>
      <c r="B791" s="178" t="s">
        <v>1728</v>
      </c>
      <c r="C791" s="178" t="s">
        <v>458</v>
      </c>
      <c r="D791" s="178" t="s">
        <v>57</v>
      </c>
      <c r="E791">
        <v>2120.65</v>
      </c>
      <c r="F791">
        <v>318.10000000000002</v>
      </c>
      <c r="G791">
        <v>2438.75</v>
      </c>
    </row>
    <row r="792" spans="1:7" x14ac:dyDescent="0.35">
      <c r="A792" s="178" t="s">
        <v>1729</v>
      </c>
      <c r="B792" s="178" t="s">
        <v>1730</v>
      </c>
      <c r="C792" s="178" t="s">
        <v>458</v>
      </c>
      <c r="D792" s="178" t="s">
        <v>1731</v>
      </c>
      <c r="E792">
        <v>3415.2</v>
      </c>
      <c r="F792">
        <v>512.28</v>
      </c>
      <c r="G792">
        <v>3927.48</v>
      </c>
    </row>
    <row r="793" spans="1:7" x14ac:dyDescent="0.35">
      <c r="A793" s="178" t="s">
        <v>1732</v>
      </c>
      <c r="B793" s="178" t="s">
        <v>1733</v>
      </c>
      <c r="C793" s="178" t="s">
        <v>458</v>
      </c>
      <c r="D793" s="178" t="s">
        <v>57</v>
      </c>
      <c r="E793">
        <v>1491.75</v>
      </c>
      <c r="F793">
        <v>223.77</v>
      </c>
      <c r="G793">
        <v>1715.52</v>
      </c>
    </row>
    <row r="794" spans="1:7" x14ac:dyDescent="0.35">
      <c r="A794" s="178" t="s">
        <v>464</v>
      </c>
      <c r="B794" s="178" t="s">
        <v>1734</v>
      </c>
      <c r="C794" s="178" t="s">
        <v>458</v>
      </c>
      <c r="D794" s="178" t="s">
        <v>57</v>
      </c>
      <c r="E794">
        <v>2130.8000000000002</v>
      </c>
      <c r="F794">
        <v>319.62</v>
      </c>
      <c r="G794">
        <v>2450.42</v>
      </c>
    </row>
    <row r="795" spans="1:7" x14ac:dyDescent="0.35">
      <c r="A795" s="178" t="s">
        <v>1622</v>
      </c>
      <c r="B795" s="178" t="s">
        <v>1735</v>
      </c>
      <c r="C795" s="178" t="s">
        <v>458</v>
      </c>
      <c r="D795" s="178" t="s">
        <v>57</v>
      </c>
      <c r="E795">
        <v>722.4</v>
      </c>
      <c r="F795">
        <v>108.36</v>
      </c>
      <c r="G795">
        <v>830.76</v>
      </c>
    </row>
    <row r="796" spans="1:7" x14ac:dyDescent="0.35">
      <c r="A796" s="178" t="s">
        <v>637</v>
      </c>
      <c r="B796" s="178" t="s">
        <v>1736</v>
      </c>
      <c r="C796" s="178" t="s">
        <v>458</v>
      </c>
      <c r="D796" s="178" t="s">
        <v>57</v>
      </c>
      <c r="E796">
        <v>8831.4</v>
      </c>
      <c r="F796">
        <v>1324.71</v>
      </c>
      <c r="G796">
        <v>10156.11</v>
      </c>
    </row>
    <row r="797" spans="1:7" x14ac:dyDescent="0.35">
      <c r="A797" s="178" t="s">
        <v>454</v>
      </c>
      <c r="B797" s="178" t="s">
        <v>1737</v>
      </c>
      <c r="C797" s="178" t="s">
        <v>458</v>
      </c>
      <c r="D797" s="178" t="s">
        <v>57</v>
      </c>
      <c r="E797">
        <v>684</v>
      </c>
      <c r="F797">
        <v>102.6</v>
      </c>
      <c r="G797">
        <v>786.6</v>
      </c>
    </row>
    <row r="798" spans="1:7" x14ac:dyDescent="0.35">
      <c r="A798" s="178" t="s">
        <v>898</v>
      </c>
      <c r="B798" s="178" t="s">
        <v>1738</v>
      </c>
      <c r="C798" s="178" t="s">
        <v>458</v>
      </c>
      <c r="D798" s="178" t="s">
        <v>57</v>
      </c>
      <c r="E798">
        <v>3381.95</v>
      </c>
      <c r="F798">
        <v>507.29</v>
      </c>
      <c r="G798">
        <v>3889.24</v>
      </c>
    </row>
    <row r="799" spans="1:7" x14ac:dyDescent="0.35">
      <c r="A799" s="178" t="s">
        <v>833</v>
      </c>
      <c r="B799" s="178" t="s">
        <v>1739</v>
      </c>
      <c r="C799" s="178" t="s">
        <v>458</v>
      </c>
      <c r="D799" s="178" t="s">
        <v>57</v>
      </c>
      <c r="E799">
        <v>10317.5</v>
      </c>
      <c r="F799">
        <v>1547.63</v>
      </c>
      <c r="G799">
        <v>11865.13</v>
      </c>
    </row>
    <row r="800" spans="1:7" x14ac:dyDescent="0.35">
      <c r="A800" s="178" t="s">
        <v>868</v>
      </c>
      <c r="B800" s="178" t="s">
        <v>1740</v>
      </c>
      <c r="C800" s="178" t="s">
        <v>458</v>
      </c>
      <c r="D800" s="178" t="s">
        <v>57</v>
      </c>
      <c r="E800">
        <v>1415.7</v>
      </c>
      <c r="F800">
        <v>212.36</v>
      </c>
      <c r="G800">
        <v>1628.06</v>
      </c>
    </row>
    <row r="801" spans="1:7" x14ac:dyDescent="0.35">
      <c r="A801" s="178" t="s">
        <v>1741</v>
      </c>
      <c r="B801" s="178" t="s">
        <v>1742</v>
      </c>
      <c r="C801" s="178" t="s">
        <v>458</v>
      </c>
      <c r="D801" s="178" t="s">
        <v>1743</v>
      </c>
      <c r="E801">
        <v>14526.45</v>
      </c>
      <c r="F801">
        <v>2178.9699999999998</v>
      </c>
      <c r="G801">
        <v>16705.419999999998</v>
      </c>
    </row>
    <row r="802" spans="1:7" x14ac:dyDescent="0.35">
      <c r="A802" s="178" t="s">
        <v>1256</v>
      </c>
      <c r="B802" s="178" t="s">
        <v>1744</v>
      </c>
      <c r="C802" s="178" t="s">
        <v>458</v>
      </c>
      <c r="D802" s="178" t="s">
        <v>57</v>
      </c>
      <c r="E802">
        <v>495.85</v>
      </c>
      <c r="F802">
        <v>74.38</v>
      </c>
      <c r="G802">
        <v>570.23</v>
      </c>
    </row>
    <row r="803" spans="1:7" x14ac:dyDescent="0.35">
      <c r="A803" s="178" t="s">
        <v>1745</v>
      </c>
      <c r="B803" s="178" t="s">
        <v>1746</v>
      </c>
      <c r="C803" s="178" t="s">
        <v>458</v>
      </c>
      <c r="D803" s="178" t="s">
        <v>57</v>
      </c>
      <c r="E803">
        <v>2044</v>
      </c>
      <c r="F803">
        <v>306.61</v>
      </c>
      <c r="G803">
        <v>2350.61</v>
      </c>
    </row>
    <row r="804" spans="1:7" x14ac:dyDescent="0.35">
      <c r="A804" s="178" t="s">
        <v>1296</v>
      </c>
      <c r="B804" s="178" t="s">
        <v>1747</v>
      </c>
      <c r="C804" s="178" t="s">
        <v>458</v>
      </c>
      <c r="D804" s="178" t="s">
        <v>1748</v>
      </c>
      <c r="E804">
        <v>32337.9</v>
      </c>
      <c r="F804">
        <v>4850.6899999999996</v>
      </c>
      <c r="G804">
        <v>37188.589999999997</v>
      </c>
    </row>
    <row r="805" spans="1:7" x14ac:dyDescent="0.35">
      <c r="A805" s="178" t="s">
        <v>627</v>
      </c>
      <c r="B805" s="178" t="s">
        <v>1749</v>
      </c>
      <c r="C805" s="178" t="s">
        <v>458</v>
      </c>
      <c r="D805" s="178" t="s">
        <v>57</v>
      </c>
      <c r="E805">
        <v>3332.45</v>
      </c>
      <c r="F805">
        <v>499.87</v>
      </c>
      <c r="G805">
        <v>3832.32</v>
      </c>
    </row>
    <row r="806" spans="1:7" x14ac:dyDescent="0.35">
      <c r="A806" s="178" t="s">
        <v>1421</v>
      </c>
      <c r="B806" s="178" t="s">
        <v>1750</v>
      </c>
      <c r="C806" s="178" t="s">
        <v>458</v>
      </c>
      <c r="D806" s="178" t="s">
        <v>57</v>
      </c>
      <c r="E806">
        <v>2254.8000000000002</v>
      </c>
      <c r="F806">
        <v>338.23</v>
      </c>
      <c r="G806">
        <v>2593.0300000000002</v>
      </c>
    </row>
    <row r="807" spans="1:7" x14ac:dyDescent="0.35">
      <c r="A807" s="178" t="s">
        <v>493</v>
      </c>
      <c r="B807" s="178" t="s">
        <v>1751</v>
      </c>
      <c r="C807" s="178" t="s">
        <v>458</v>
      </c>
      <c r="D807" s="178" t="s">
        <v>57</v>
      </c>
      <c r="E807">
        <v>26220.1</v>
      </c>
      <c r="F807">
        <v>3933.02</v>
      </c>
      <c r="G807">
        <v>30153.119999999999</v>
      </c>
    </row>
    <row r="808" spans="1:7" x14ac:dyDescent="0.35">
      <c r="A808" s="178" t="s">
        <v>750</v>
      </c>
      <c r="B808" s="178" t="s">
        <v>1752</v>
      </c>
      <c r="C808" s="178" t="s">
        <v>458</v>
      </c>
      <c r="D808" s="178" t="s">
        <v>57</v>
      </c>
      <c r="E808">
        <v>1034.0999999999999</v>
      </c>
      <c r="F808">
        <v>155.12</v>
      </c>
      <c r="G808">
        <v>1189.22</v>
      </c>
    </row>
    <row r="809" spans="1:7" x14ac:dyDescent="0.35">
      <c r="A809" s="178" t="s">
        <v>532</v>
      </c>
      <c r="B809" s="178" t="s">
        <v>1753</v>
      </c>
      <c r="C809" s="178" t="s">
        <v>458</v>
      </c>
      <c r="D809" s="178" t="s">
        <v>57</v>
      </c>
      <c r="E809">
        <v>3435.8</v>
      </c>
      <c r="F809">
        <v>515.37</v>
      </c>
      <c r="G809">
        <v>3951.17</v>
      </c>
    </row>
    <row r="810" spans="1:7" x14ac:dyDescent="0.35">
      <c r="A810" s="178" t="s">
        <v>425</v>
      </c>
      <c r="B810" s="178" t="s">
        <v>1754</v>
      </c>
      <c r="C810" s="178" t="s">
        <v>458</v>
      </c>
      <c r="D810" s="178" t="s">
        <v>1755</v>
      </c>
      <c r="E810">
        <v>15154.8</v>
      </c>
      <c r="F810">
        <v>2273.2199999999998</v>
      </c>
      <c r="G810">
        <v>17428.02</v>
      </c>
    </row>
    <row r="811" spans="1:7" x14ac:dyDescent="0.35">
      <c r="A811" s="178" t="s">
        <v>532</v>
      </c>
      <c r="B811" s="178" t="s">
        <v>1756</v>
      </c>
      <c r="C811" s="178" t="s">
        <v>458</v>
      </c>
      <c r="D811" s="178" t="s">
        <v>57</v>
      </c>
      <c r="E811">
        <v>2296</v>
      </c>
      <c r="F811">
        <v>344.4</v>
      </c>
      <c r="G811">
        <v>2640.4</v>
      </c>
    </row>
    <row r="812" spans="1:7" x14ac:dyDescent="0.35">
      <c r="A812" s="178" t="s">
        <v>1757</v>
      </c>
      <c r="B812" s="178" t="s">
        <v>1758</v>
      </c>
      <c r="C812" s="178" t="s">
        <v>458</v>
      </c>
      <c r="D812" s="178" t="s">
        <v>57</v>
      </c>
      <c r="E812">
        <v>835</v>
      </c>
      <c r="F812">
        <v>125.25</v>
      </c>
      <c r="G812">
        <v>960.25</v>
      </c>
    </row>
    <row r="813" spans="1:7" x14ac:dyDescent="0.35">
      <c r="A813" s="178" t="s">
        <v>326</v>
      </c>
      <c r="B813" s="178" t="s">
        <v>1759</v>
      </c>
      <c r="C813" s="178" t="s">
        <v>458</v>
      </c>
      <c r="D813" s="178" t="s">
        <v>1760</v>
      </c>
      <c r="E813">
        <v>1809.4</v>
      </c>
      <c r="F813">
        <v>271.41000000000003</v>
      </c>
      <c r="G813">
        <v>2080.81</v>
      </c>
    </row>
    <row r="814" spans="1:7" x14ac:dyDescent="0.35">
      <c r="A814" s="178" t="s">
        <v>1041</v>
      </c>
      <c r="B814" s="178" t="s">
        <v>1761</v>
      </c>
      <c r="C814" s="178" t="s">
        <v>458</v>
      </c>
      <c r="D814" s="178" t="s">
        <v>57</v>
      </c>
      <c r="E814">
        <v>1445.4</v>
      </c>
      <c r="F814">
        <v>216.81</v>
      </c>
      <c r="G814">
        <v>1662.21</v>
      </c>
    </row>
    <row r="815" spans="1:7" x14ac:dyDescent="0.35">
      <c r="A815" s="178" t="s">
        <v>496</v>
      </c>
      <c r="B815" s="178" t="s">
        <v>1762</v>
      </c>
      <c r="C815" s="178" t="s">
        <v>458</v>
      </c>
      <c r="D815" s="178" t="s">
        <v>57</v>
      </c>
      <c r="E815">
        <v>1044.7</v>
      </c>
      <c r="F815">
        <v>156.71</v>
      </c>
      <c r="G815">
        <v>1201.4100000000001</v>
      </c>
    </row>
    <row r="816" spans="1:7" x14ac:dyDescent="0.35">
      <c r="A816" s="178" t="s">
        <v>454</v>
      </c>
      <c r="B816" s="178" t="s">
        <v>1763</v>
      </c>
      <c r="C816" s="178" t="s">
        <v>458</v>
      </c>
      <c r="D816" s="178" t="s">
        <v>57</v>
      </c>
      <c r="E816">
        <v>4347.83</v>
      </c>
      <c r="F816">
        <v>652.16999999999996</v>
      </c>
      <c r="G816">
        <v>5000</v>
      </c>
    </row>
    <row r="817" spans="1:7" x14ac:dyDescent="0.35">
      <c r="A817" s="178" t="s">
        <v>624</v>
      </c>
      <c r="B817" s="178" t="s">
        <v>1764</v>
      </c>
      <c r="C817" s="178" t="s">
        <v>458</v>
      </c>
      <c r="D817" s="178" t="s">
        <v>57</v>
      </c>
      <c r="E817">
        <v>16167.6</v>
      </c>
      <c r="F817">
        <v>2425.14</v>
      </c>
      <c r="G817">
        <v>18592.740000000002</v>
      </c>
    </row>
    <row r="818" spans="1:7" x14ac:dyDescent="0.35">
      <c r="A818" s="178" t="s">
        <v>713</v>
      </c>
      <c r="B818" s="178" t="s">
        <v>1765</v>
      </c>
      <c r="C818" s="178" t="s">
        <v>458</v>
      </c>
      <c r="D818" s="178" t="s">
        <v>57</v>
      </c>
      <c r="E818">
        <v>4580.55</v>
      </c>
      <c r="F818">
        <v>687.09</v>
      </c>
      <c r="G818">
        <v>5267.64</v>
      </c>
    </row>
    <row r="819" spans="1:7" x14ac:dyDescent="0.35">
      <c r="A819" s="178" t="s">
        <v>425</v>
      </c>
      <c r="B819" s="178" t="s">
        <v>1766</v>
      </c>
      <c r="C819" s="178" t="s">
        <v>458</v>
      </c>
      <c r="D819" s="178" t="s">
        <v>1767</v>
      </c>
      <c r="E819">
        <v>9990.0499999999993</v>
      </c>
      <c r="F819">
        <v>1498.51</v>
      </c>
      <c r="G819">
        <v>11488.56</v>
      </c>
    </row>
    <row r="820" spans="1:7" x14ac:dyDescent="0.35">
      <c r="A820" s="178" t="s">
        <v>729</v>
      </c>
      <c r="B820" s="178" t="s">
        <v>1768</v>
      </c>
      <c r="C820" s="178" t="s">
        <v>458</v>
      </c>
      <c r="D820" s="178" t="s">
        <v>57</v>
      </c>
      <c r="E820">
        <v>1560</v>
      </c>
      <c r="F820">
        <v>234</v>
      </c>
      <c r="G820">
        <v>1794</v>
      </c>
    </row>
    <row r="821" spans="1:7" x14ac:dyDescent="0.35">
      <c r="A821" s="178" t="s">
        <v>357</v>
      </c>
      <c r="B821" s="178" t="s">
        <v>1769</v>
      </c>
      <c r="C821" s="178" t="s">
        <v>458</v>
      </c>
      <c r="D821" s="178" t="s">
        <v>57</v>
      </c>
      <c r="E821">
        <v>7822.4</v>
      </c>
      <c r="F821">
        <v>1173.3599999999999</v>
      </c>
      <c r="G821">
        <v>8995.76</v>
      </c>
    </row>
    <row r="822" spans="1:7" x14ac:dyDescent="0.35">
      <c r="A822" s="178" t="s">
        <v>1469</v>
      </c>
      <c r="B822" s="178" t="s">
        <v>1770</v>
      </c>
      <c r="C822" s="178" t="s">
        <v>458</v>
      </c>
      <c r="D822" s="178" t="s">
        <v>57</v>
      </c>
      <c r="E822">
        <v>940</v>
      </c>
      <c r="F822">
        <v>141</v>
      </c>
      <c r="G822">
        <v>1081</v>
      </c>
    </row>
    <row r="823" spans="1:7" x14ac:dyDescent="0.35">
      <c r="A823" s="178" t="s">
        <v>1771</v>
      </c>
      <c r="B823" s="178" t="s">
        <v>1772</v>
      </c>
      <c r="C823" s="178" t="s">
        <v>458</v>
      </c>
      <c r="D823" s="178" t="s">
        <v>57</v>
      </c>
      <c r="E823">
        <v>3877.65</v>
      </c>
      <c r="F823">
        <v>581.65</v>
      </c>
      <c r="G823">
        <v>4459.3</v>
      </c>
    </row>
    <row r="824" spans="1:7" x14ac:dyDescent="0.35">
      <c r="A824" s="178" t="s">
        <v>451</v>
      </c>
      <c r="B824" s="178" t="s">
        <v>1773</v>
      </c>
      <c r="C824" s="178" t="s">
        <v>458</v>
      </c>
      <c r="D824" s="178" t="s">
        <v>1774</v>
      </c>
      <c r="E824">
        <v>18225.2</v>
      </c>
      <c r="F824">
        <v>2733.78</v>
      </c>
      <c r="G824">
        <v>20958.98</v>
      </c>
    </row>
    <row r="825" spans="1:7" x14ac:dyDescent="0.35">
      <c r="A825" s="178" t="s">
        <v>403</v>
      </c>
      <c r="B825" s="178" t="s">
        <v>1775</v>
      </c>
      <c r="C825" s="178" t="s">
        <v>458</v>
      </c>
      <c r="D825" s="178" t="s">
        <v>57</v>
      </c>
      <c r="E825">
        <v>1776.5</v>
      </c>
      <c r="F825">
        <v>266.48</v>
      </c>
      <c r="G825">
        <v>2042.98</v>
      </c>
    </row>
    <row r="826" spans="1:7" x14ac:dyDescent="0.35">
      <c r="A826" s="178" t="s">
        <v>831</v>
      </c>
      <c r="B826" s="178" t="s">
        <v>1776</v>
      </c>
      <c r="C826" s="178" t="s">
        <v>458</v>
      </c>
      <c r="D826" s="178" t="s">
        <v>57</v>
      </c>
      <c r="E826">
        <v>880.85</v>
      </c>
      <c r="F826">
        <v>132.13</v>
      </c>
      <c r="G826">
        <v>1012.98</v>
      </c>
    </row>
    <row r="827" spans="1:7" x14ac:dyDescent="0.35">
      <c r="A827" s="178" t="s">
        <v>388</v>
      </c>
      <c r="B827" s="178" t="s">
        <v>1777</v>
      </c>
      <c r="C827" s="178" t="s">
        <v>458</v>
      </c>
      <c r="D827" s="178" t="s">
        <v>57</v>
      </c>
      <c r="E827">
        <v>2398.3000000000002</v>
      </c>
      <c r="F827">
        <v>359.75</v>
      </c>
      <c r="G827">
        <v>2758.05</v>
      </c>
    </row>
    <row r="828" spans="1:7" x14ac:dyDescent="0.35">
      <c r="A828" s="178" t="s">
        <v>471</v>
      </c>
      <c r="B828" s="178" t="s">
        <v>1778</v>
      </c>
      <c r="C828" s="178" t="s">
        <v>458</v>
      </c>
      <c r="D828" s="178" t="s">
        <v>57</v>
      </c>
      <c r="E828">
        <v>1497.45</v>
      </c>
      <c r="F828">
        <v>224.62</v>
      </c>
      <c r="G828">
        <v>1722.07</v>
      </c>
    </row>
    <row r="829" spans="1:7" x14ac:dyDescent="0.35">
      <c r="A829" s="178" t="s">
        <v>1179</v>
      </c>
      <c r="B829" s="178" t="s">
        <v>1779</v>
      </c>
      <c r="C829" s="178" t="s">
        <v>458</v>
      </c>
      <c r="D829" s="178" t="s">
        <v>57</v>
      </c>
      <c r="E829">
        <v>8954.35</v>
      </c>
      <c r="F829">
        <v>1343.15</v>
      </c>
      <c r="G829">
        <v>10297.5</v>
      </c>
    </row>
    <row r="830" spans="1:7" x14ac:dyDescent="0.35">
      <c r="A830" s="178" t="s">
        <v>1070</v>
      </c>
      <c r="B830" s="178" t="s">
        <v>1780</v>
      </c>
      <c r="C830" s="178" t="s">
        <v>458</v>
      </c>
      <c r="D830" s="178" t="s">
        <v>57</v>
      </c>
      <c r="E830">
        <v>1876.8</v>
      </c>
      <c r="F830">
        <v>281.52</v>
      </c>
      <c r="G830">
        <v>2158.3200000000002</v>
      </c>
    </row>
    <row r="831" spans="1:7" x14ac:dyDescent="0.35">
      <c r="A831" s="178" t="s">
        <v>1409</v>
      </c>
      <c r="B831" s="178" t="s">
        <v>1781</v>
      </c>
      <c r="C831" s="178" t="s">
        <v>458</v>
      </c>
      <c r="D831" s="178" t="s">
        <v>1420</v>
      </c>
      <c r="E831">
        <v>1565.2</v>
      </c>
      <c r="F831">
        <v>234.78</v>
      </c>
      <c r="G831">
        <v>1799.98</v>
      </c>
    </row>
    <row r="832" spans="1:7" x14ac:dyDescent="0.35">
      <c r="A832" s="178" t="s">
        <v>1409</v>
      </c>
      <c r="B832" s="178" t="s">
        <v>1782</v>
      </c>
      <c r="C832" s="178" t="s">
        <v>458</v>
      </c>
      <c r="D832" s="178" t="s">
        <v>1783</v>
      </c>
      <c r="E832">
        <v>3323.9</v>
      </c>
      <c r="F832">
        <v>498.59</v>
      </c>
      <c r="G832">
        <v>3822.49</v>
      </c>
    </row>
    <row r="833" spans="1:7" x14ac:dyDescent="0.35">
      <c r="A833" s="178" t="s">
        <v>1409</v>
      </c>
      <c r="B833" s="178" t="s">
        <v>1784</v>
      </c>
      <c r="C833" s="178" t="s">
        <v>458</v>
      </c>
      <c r="D833" s="178" t="s">
        <v>1785</v>
      </c>
      <c r="E833">
        <v>4691.3</v>
      </c>
      <c r="F833">
        <v>703.7</v>
      </c>
      <c r="G833">
        <v>5395</v>
      </c>
    </row>
    <row r="834" spans="1:7" x14ac:dyDescent="0.35">
      <c r="A834" s="178" t="s">
        <v>1786</v>
      </c>
      <c r="B834" s="178" t="s">
        <v>1787</v>
      </c>
      <c r="C834" s="178" t="s">
        <v>458</v>
      </c>
      <c r="D834" s="178" t="s">
        <v>57</v>
      </c>
      <c r="E834">
        <v>1635.1</v>
      </c>
      <c r="F834">
        <v>245.27</v>
      </c>
      <c r="G834">
        <v>1880.37</v>
      </c>
    </row>
    <row r="835" spans="1:7" x14ac:dyDescent="0.35">
      <c r="A835" s="178" t="s">
        <v>388</v>
      </c>
      <c r="B835" s="178" t="s">
        <v>1788</v>
      </c>
      <c r="C835" s="178" t="s">
        <v>458</v>
      </c>
      <c r="D835" s="178" t="s">
        <v>57</v>
      </c>
      <c r="E835">
        <v>713.8</v>
      </c>
      <c r="F835">
        <v>107.07</v>
      </c>
      <c r="G835">
        <v>820.87</v>
      </c>
    </row>
    <row r="836" spans="1:7" x14ac:dyDescent="0.35">
      <c r="A836" s="178" t="s">
        <v>591</v>
      </c>
      <c r="B836" s="178" t="s">
        <v>1789</v>
      </c>
      <c r="C836" s="178" t="s">
        <v>458</v>
      </c>
      <c r="D836" s="178" t="s">
        <v>57</v>
      </c>
      <c r="E836">
        <v>2905.17</v>
      </c>
      <c r="F836">
        <v>435.78</v>
      </c>
      <c r="G836">
        <v>3340.95</v>
      </c>
    </row>
    <row r="837" spans="1:7" x14ac:dyDescent="0.35">
      <c r="A837" s="178" t="s">
        <v>1629</v>
      </c>
      <c r="B837" s="178" t="s">
        <v>1790</v>
      </c>
      <c r="C837" s="178" t="s">
        <v>475</v>
      </c>
      <c r="D837" s="178" t="s">
        <v>1791</v>
      </c>
      <c r="E837">
        <v>33151.199999999997</v>
      </c>
      <c r="F837">
        <v>4972.68</v>
      </c>
      <c r="G837">
        <v>38123.879999999997</v>
      </c>
    </row>
    <row r="838" spans="1:7" x14ac:dyDescent="0.35">
      <c r="A838" s="178" t="s">
        <v>1406</v>
      </c>
      <c r="B838" s="178" t="s">
        <v>1792</v>
      </c>
      <c r="C838" s="178" t="s">
        <v>475</v>
      </c>
      <c r="D838" s="178" t="s">
        <v>1793</v>
      </c>
      <c r="E838">
        <v>8546.15</v>
      </c>
      <c r="F838">
        <v>1281.92</v>
      </c>
      <c r="G838">
        <v>9828.07</v>
      </c>
    </row>
    <row r="839" spans="1:7" x14ac:dyDescent="0.35">
      <c r="A839" s="178" t="s">
        <v>526</v>
      </c>
      <c r="B839" s="178" t="s">
        <v>1794</v>
      </c>
      <c r="C839" s="178" t="s">
        <v>475</v>
      </c>
      <c r="D839" s="178" t="s">
        <v>1795</v>
      </c>
      <c r="E839">
        <v>1790.1</v>
      </c>
      <c r="F839">
        <v>268.52</v>
      </c>
      <c r="G839">
        <v>2058.62</v>
      </c>
    </row>
    <row r="840" spans="1:7" x14ac:dyDescent="0.35">
      <c r="A840" s="178" t="s">
        <v>510</v>
      </c>
      <c r="B840" s="178" t="s">
        <v>1796</v>
      </c>
      <c r="C840" s="178" t="s">
        <v>475</v>
      </c>
      <c r="D840" s="178" t="s">
        <v>1797</v>
      </c>
      <c r="E840">
        <v>1431.5</v>
      </c>
      <c r="F840">
        <v>214.73</v>
      </c>
      <c r="G840">
        <v>1646.23</v>
      </c>
    </row>
    <row r="841" spans="1:7" x14ac:dyDescent="0.35">
      <c r="A841" s="178" t="s">
        <v>916</v>
      </c>
      <c r="B841" s="178" t="s">
        <v>1798</v>
      </c>
      <c r="C841" s="178" t="s">
        <v>475</v>
      </c>
      <c r="D841" s="178" t="s">
        <v>57</v>
      </c>
      <c r="E841">
        <v>3004.4</v>
      </c>
      <c r="F841">
        <v>450.66</v>
      </c>
      <c r="G841">
        <v>3455.06</v>
      </c>
    </row>
    <row r="842" spans="1:7" x14ac:dyDescent="0.35">
      <c r="A842" s="178" t="s">
        <v>1004</v>
      </c>
      <c r="B842" s="178" t="s">
        <v>1799</v>
      </c>
      <c r="C842" s="178" t="s">
        <v>475</v>
      </c>
      <c r="D842" s="178" t="s">
        <v>57</v>
      </c>
      <c r="E842">
        <v>1384.5</v>
      </c>
      <c r="F842">
        <v>207.68</v>
      </c>
      <c r="G842">
        <v>1592.18</v>
      </c>
    </row>
    <row r="843" spans="1:7" x14ac:dyDescent="0.35">
      <c r="A843" s="178" t="s">
        <v>397</v>
      </c>
      <c r="B843" s="178" t="s">
        <v>1800</v>
      </c>
      <c r="C843" s="178" t="s">
        <v>475</v>
      </c>
      <c r="D843" s="178" t="s">
        <v>57</v>
      </c>
      <c r="E843">
        <v>7560</v>
      </c>
      <c r="F843">
        <v>1134</v>
      </c>
      <c r="G843">
        <v>8694</v>
      </c>
    </row>
    <row r="844" spans="1:7" x14ac:dyDescent="0.35">
      <c r="A844" s="178" t="s">
        <v>1276</v>
      </c>
      <c r="B844" s="178" t="s">
        <v>1801</v>
      </c>
      <c r="C844" s="178" t="s">
        <v>475</v>
      </c>
      <c r="D844" s="178" t="s">
        <v>1802</v>
      </c>
      <c r="E844">
        <v>2388.3000000000002</v>
      </c>
      <c r="F844">
        <v>358.25</v>
      </c>
      <c r="G844">
        <v>2746.55</v>
      </c>
    </row>
    <row r="845" spans="1:7" x14ac:dyDescent="0.35">
      <c r="A845" s="178" t="s">
        <v>1803</v>
      </c>
      <c r="B845" s="178" t="s">
        <v>1804</v>
      </c>
      <c r="C845" s="178" t="s">
        <v>475</v>
      </c>
      <c r="D845" s="178" t="s">
        <v>1805</v>
      </c>
      <c r="E845">
        <v>1334.8</v>
      </c>
      <c r="F845">
        <v>200.22</v>
      </c>
      <c r="G845">
        <v>1535.02</v>
      </c>
    </row>
    <row r="846" spans="1:7" x14ac:dyDescent="0.35">
      <c r="A846" s="178" t="s">
        <v>1806</v>
      </c>
      <c r="B846" s="178" t="s">
        <v>1807</v>
      </c>
      <c r="C846" s="178" t="s">
        <v>475</v>
      </c>
      <c r="D846" s="178" t="s">
        <v>57</v>
      </c>
      <c r="E846">
        <v>3855.6</v>
      </c>
      <c r="F846">
        <v>578.34</v>
      </c>
      <c r="G846">
        <v>4433.9399999999996</v>
      </c>
    </row>
    <row r="847" spans="1:7" x14ac:dyDescent="0.35">
      <c r="A847" s="178" t="s">
        <v>1808</v>
      </c>
      <c r="B847" s="178" t="s">
        <v>1809</v>
      </c>
      <c r="C847" s="178" t="s">
        <v>475</v>
      </c>
      <c r="D847" s="178" t="s">
        <v>57</v>
      </c>
      <c r="E847">
        <v>958.9</v>
      </c>
      <c r="F847">
        <v>143.84</v>
      </c>
      <c r="G847">
        <v>1102.74</v>
      </c>
    </row>
    <row r="848" spans="1:7" x14ac:dyDescent="0.35">
      <c r="A848" s="178" t="s">
        <v>652</v>
      </c>
      <c r="B848" s="178" t="s">
        <v>1810</v>
      </c>
      <c r="C848" s="178" t="s">
        <v>475</v>
      </c>
      <c r="D848" s="178" t="s">
        <v>57</v>
      </c>
      <c r="E848">
        <v>4288.2</v>
      </c>
      <c r="F848">
        <v>643.23</v>
      </c>
      <c r="G848">
        <v>4931.43</v>
      </c>
    </row>
    <row r="849" spans="1:7" x14ac:dyDescent="0.35">
      <c r="A849" s="178" t="s">
        <v>1811</v>
      </c>
      <c r="B849" s="178" t="s">
        <v>1812</v>
      </c>
      <c r="C849" s="178" t="s">
        <v>475</v>
      </c>
      <c r="D849" s="178" t="s">
        <v>57</v>
      </c>
      <c r="E849">
        <v>7630.2</v>
      </c>
      <c r="F849">
        <v>1144.53</v>
      </c>
      <c r="G849">
        <v>8774.73</v>
      </c>
    </row>
    <row r="850" spans="1:7" x14ac:dyDescent="0.35">
      <c r="A850" s="178" t="s">
        <v>451</v>
      </c>
      <c r="B850" s="178" t="s">
        <v>1813</v>
      </c>
      <c r="C850" s="178" t="s">
        <v>475</v>
      </c>
      <c r="D850" s="178" t="s">
        <v>1814</v>
      </c>
      <c r="E850">
        <v>27604.5</v>
      </c>
      <c r="F850">
        <v>4140.68</v>
      </c>
      <c r="G850">
        <v>31745.18</v>
      </c>
    </row>
    <row r="851" spans="1:7" x14ac:dyDescent="0.35">
      <c r="A851" s="178" t="s">
        <v>1815</v>
      </c>
      <c r="B851" s="178" t="s">
        <v>1816</v>
      </c>
      <c r="C851" s="178" t="s">
        <v>475</v>
      </c>
      <c r="D851" s="178" t="s">
        <v>57</v>
      </c>
      <c r="E851">
        <v>7142.95</v>
      </c>
      <c r="F851">
        <v>1071.44</v>
      </c>
      <c r="G851">
        <v>8214.39</v>
      </c>
    </row>
    <row r="852" spans="1:7" x14ac:dyDescent="0.35">
      <c r="A852" s="178" t="s">
        <v>1817</v>
      </c>
      <c r="B852" s="178" t="s">
        <v>1818</v>
      </c>
      <c r="C852" s="178" t="s">
        <v>475</v>
      </c>
      <c r="D852" s="178" t="s">
        <v>57</v>
      </c>
      <c r="E852">
        <v>2168.3000000000002</v>
      </c>
      <c r="F852">
        <v>325.25</v>
      </c>
      <c r="G852">
        <v>2493.5500000000002</v>
      </c>
    </row>
    <row r="853" spans="1:7" x14ac:dyDescent="0.35">
      <c r="A853" s="178" t="s">
        <v>478</v>
      </c>
      <c r="B853" s="178" t="s">
        <v>1819</v>
      </c>
      <c r="C853" s="178" t="s">
        <v>475</v>
      </c>
      <c r="D853" s="178" t="s">
        <v>57</v>
      </c>
      <c r="E853">
        <v>5497.7</v>
      </c>
      <c r="F853">
        <v>824.66</v>
      </c>
      <c r="G853">
        <v>6322.36</v>
      </c>
    </row>
    <row r="854" spans="1:7" x14ac:dyDescent="0.35">
      <c r="A854" s="178" t="s">
        <v>383</v>
      </c>
      <c r="B854" s="178" t="s">
        <v>1820</v>
      </c>
      <c r="C854" s="178" t="s">
        <v>475</v>
      </c>
      <c r="D854" s="178" t="s">
        <v>57</v>
      </c>
      <c r="E854">
        <v>1485.8</v>
      </c>
      <c r="F854">
        <v>222.87</v>
      </c>
      <c r="G854">
        <v>1708.67</v>
      </c>
    </row>
    <row r="855" spans="1:7" x14ac:dyDescent="0.35">
      <c r="A855" s="178" t="s">
        <v>616</v>
      </c>
      <c r="B855" s="178" t="s">
        <v>1821</v>
      </c>
      <c r="C855" s="178" t="s">
        <v>475</v>
      </c>
      <c r="D855" s="178" t="s">
        <v>57</v>
      </c>
      <c r="E855">
        <v>13478.4</v>
      </c>
      <c r="F855">
        <v>2021.76</v>
      </c>
      <c r="G855">
        <v>15500.16</v>
      </c>
    </row>
    <row r="856" spans="1:7" x14ac:dyDescent="0.35">
      <c r="A856" s="178" t="s">
        <v>833</v>
      </c>
      <c r="B856" s="178" t="s">
        <v>1822</v>
      </c>
      <c r="C856" s="178" t="s">
        <v>475</v>
      </c>
      <c r="D856" s="178" t="s">
        <v>1823</v>
      </c>
      <c r="E856">
        <v>4206.45</v>
      </c>
      <c r="F856">
        <v>630.97</v>
      </c>
      <c r="G856">
        <v>4837.42</v>
      </c>
    </row>
    <row r="857" spans="1:7" x14ac:dyDescent="0.35">
      <c r="A857" s="178" t="s">
        <v>670</v>
      </c>
      <c r="B857" s="178" t="s">
        <v>1824</v>
      </c>
      <c r="C857" s="178" t="s">
        <v>475</v>
      </c>
      <c r="D857" s="178" t="s">
        <v>672</v>
      </c>
      <c r="E857">
        <v>2951.35</v>
      </c>
      <c r="F857">
        <v>442.71</v>
      </c>
      <c r="G857">
        <v>3394.06</v>
      </c>
    </row>
    <row r="858" spans="1:7" x14ac:dyDescent="0.35">
      <c r="A858" s="178" t="s">
        <v>1513</v>
      </c>
      <c r="B858" s="178" t="s">
        <v>1825</v>
      </c>
      <c r="C858" s="178" t="s">
        <v>475</v>
      </c>
      <c r="D858" s="178" t="s">
        <v>1515</v>
      </c>
      <c r="E858">
        <v>24888.93</v>
      </c>
      <c r="F858">
        <v>3733.34</v>
      </c>
      <c r="G858">
        <v>28622.27</v>
      </c>
    </row>
    <row r="859" spans="1:7" x14ac:dyDescent="0.35">
      <c r="A859" s="178" t="s">
        <v>1826</v>
      </c>
      <c r="B859" s="178" t="s">
        <v>1827</v>
      </c>
      <c r="C859" s="178" t="s">
        <v>475</v>
      </c>
      <c r="D859" s="178" t="s">
        <v>57</v>
      </c>
      <c r="E859">
        <v>5686.7</v>
      </c>
      <c r="F859">
        <v>853.01</v>
      </c>
      <c r="G859">
        <v>6539.71</v>
      </c>
    </row>
    <row r="860" spans="1:7" x14ac:dyDescent="0.35">
      <c r="A860" s="178" t="s">
        <v>1828</v>
      </c>
      <c r="B860" s="178" t="s">
        <v>1829</v>
      </c>
      <c r="C860" s="178" t="s">
        <v>475</v>
      </c>
      <c r="D860" s="178" t="s">
        <v>57</v>
      </c>
      <c r="E860">
        <v>1678.75</v>
      </c>
      <c r="F860">
        <v>251.81</v>
      </c>
      <c r="G860">
        <v>1930.56</v>
      </c>
    </row>
    <row r="861" spans="1:7" x14ac:dyDescent="0.35">
      <c r="A861" s="178" t="s">
        <v>681</v>
      </c>
      <c r="B861" s="178" t="s">
        <v>1830</v>
      </c>
      <c r="C861" s="178" t="s">
        <v>475</v>
      </c>
      <c r="D861" s="178" t="s">
        <v>57</v>
      </c>
      <c r="E861">
        <v>54399.8</v>
      </c>
      <c r="F861">
        <v>8159.97</v>
      </c>
      <c r="G861">
        <v>62559.77</v>
      </c>
    </row>
    <row r="862" spans="1:7" x14ac:dyDescent="0.35">
      <c r="A862" s="178" t="s">
        <v>532</v>
      </c>
      <c r="B862" s="178" t="s">
        <v>1831</v>
      </c>
      <c r="C862" s="178" t="s">
        <v>475</v>
      </c>
      <c r="D862" s="178" t="s">
        <v>57</v>
      </c>
      <c r="E862">
        <v>4087.7</v>
      </c>
      <c r="F862">
        <v>613.16</v>
      </c>
      <c r="G862">
        <v>4700.8599999999997</v>
      </c>
    </row>
    <row r="863" spans="1:7" x14ac:dyDescent="0.35">
      <c r="A863" s="178" t="s">
        <v>793</v>
      </c>
      <c r="B863" s="178" t="s">
        <v>1832</v>
      </c>
      <c r="C863" s="178" t="s">
        <v>475</v>
      </c>
      <c r="D863" s="178" t="s">
        <v>57</v>
      </c>
      <c r="E863">
        <v>4536.3500000000004</v>
      </c>
      <c r="F863">
        <v>680.45</v>
      </c>
      <c r="G863">
        <v>5216.8</v>
      </c>
    </row>
    <row r="864" spans="1:7" x14ac:dyDescent="0.35">
      <c r="A864" s="178" t="s">
        <v>1833</v>
      </c>
      <c r="B864" s="178" t="s">
        <v>1834</v>
      </c>
      <c r="C864" s="178" t="s">
        <v>475</v>
      </c>
      <c r="D864" s="178" t="s">
        <v>57</v>
      </c>
      <c r="E864">
        <v>1863</v>
      </c>
      <c r="F864">
        <v>279.45</v>
      </c>
      <c r="G864">
        <v>2142.4499999999998</v>
      </c>
    </row>
    <row r="865" spans="1:7" x14ac:dyDescent="0.35">
      <c r="A865" s="178" t="s">
        <v>1835</v>
      </c>
      <c r="B865" s="178" t="s">
        <v>1836</v>
      </c>
      <c r="C865" s="178" t="s">
        <v>475</v>
      </c>
      <c r="D865" s="178" t="s">
        <v>1837</v>
      </c>
      <c r="E865">
        <v>6656.8</v>
      </c>
      <c r="F865">
        <v>998.52</v>
      </c>
      <c r="G865">
        <v>7655.32</v>
      </c>
    </row>
    <row r="866" spans="1:7" x14ac:dyDescent="0.35">
      <c r="A866" s="178" t="s">
        <v>839</v>
      </c>
      <c r="B866" s="178" t="s">
        <v>1838</v>
      </c>
      <c r="C866" s="178" t="s">
        <v>475</v>
      </c>
      <c r="D866" s="178" t="s">
        <v>57</v>
      </c>
      <c r="E866">
        <v>6590.95</v>
      </c>
      <c r="F866">
        <v>988.64</v>
      </c>
      <c r="G866">
        <v>7579.59</v>
      </c>
    </row>
    <row r="867" spans="1:7" x14ac:dyDescent="0.35">
      <c r="A867" s="178" t="s">
        <v>1147</v>
      </c>
      <c r="B867" s="178" t="s">
        <v>1839</v>
      </c>
      <c r="C867" s="178" t="s">
        <v>475</v>
      </c>
      <c r="D867" s="178" t="s">
        <v>57</v>
      </c>
      <c r="E867">
        <v>2404.54</v>
      </c>
      <c r="F867">
        <v>360.68</v>
      </c>
      <c r="G867">
        <v>2765.22</v>
      </c>
    </row>
    <row r="868" spans="1:7" x14ac:dyDescent="0.35">
      <c r="A868" s="178" t="s">
        <v>1151</v>
      </c>
      <c r="B868" s="178" t="s">
        <v>1840</v>
      </c>
      <c r="C868" s="178" t="s">
        <v>475</v>
      </c>
      <c r="D868" s="178" t="s">
        <v>57</v>
      </c>
      <c r="E868">
        <v>1540.8</v>
      </c>
      <c r="F868">
        <v>231.12</v>
      </c>
      <c r="G868">
        <v>1771.92</v>
      </c>
    </row>
    <row r="869" spans="1:7" x14ac:dyDescent="0.35">
      <c r="A869" s="178" t="s">
        <v>616</v>
      </c>
      <c r="B869" s="178" t="s">
        <v>1841</v>
      </c>
      <c r="C869" s="178" t="s">
        <v>475</v>
      </c>
      <c r="D869" s="178" t="s">
        <v>57</v>
      </c>
      <c r="E869">
        <v>4923.25</v>
      </c>
      <c r="F869">
        <v>738.49</v>
      </c>
      <c r="G869">
        <v>5661.74</v>
      </c>
    </row>
    <row r="870" spans="1:7" x14ac:dyDescent="0.35">
      <c r="A870" s="178" t="s">
        <v>1842</v>
      </c>
      <c r="B870" s="178" t="s">
        <v>1843</v>
      </c>
      <c r="C870" s="178" t="s">
        <v>475</v>
      </c>
      <c r="D870" s="178" t="s">
        <v>57</v>
      </c>
      <c r="E870">
        <v>4602.8</v>
      </c>
      <c r="F870">
        <v>690.42</v>
      </c>
      <c r="G870">
        <v>5293.22</v>
      </c>
    </row>
    <row r="871" spans="1:7" x14ac:dyDescent="0.35">
      <c r="A871" s="178" t="s">
        <v>1844</v>
      </c>
      <c r="B871" s="178" t="s">
        <v>1845</v>
      </c>
      <c r="C871" s="178" t="s">
        <v>475</v>
      </c>
      <c r="D871" s="178" t="s">
        <v>57</v>
      </c>
      <c r="E871">
        <v>2747.5</v>
      </c>
      <c r="F871">
        <v>412.13</v>
      </c>
      <c r="G871">
        <v>3159.63</v>
      </c>
    </row>
    <row r="872" spans="1:7" x14ac:dyDescent="0.35">
      <c r="A872" s="178" t="s">
        <v>1844</v>
      </c>
      <c r="B872" s="178" t="s">
        <v>1846</v>
      </c>
      <c r="C872" s="178" t="s">
        <v>475</v>
      </c>
      <c r="D872" s="178" t="s">
        <v>1847</v>
      </c>
      <c r="E872">
        <v>975.2</v>
      </c>
      <c r="F872">
        <v>146.28</v>
      </c>
      <c r="G872">
        <v>1121.48</v>
      </c>
    </row>
    <row r="873" spans="1:7" x14ac:dyDescent="0.35">
      <c r="A873" s="178" t="s">
        <v>1844</v>
      </c>
      <c r="B873" s="178" t="s">
        <v>1848</v>
      </c>
      <c r="C873" s="178" t="s">
        <v>475</v>
      </c>
      <c r="D873" s="178" t="s">
        <v>1849</v>
      </c>
      <c r="E873">
        <v>1987.5</v>
      </c>
      <c r="F873">
        <v>298.13</v>
      </c>
      <c r="G873">
        <v>2285.63</v>
      </c>
    </row>
    <row r="874" spans="1:7" x14ac:dyDescent="0.35">
      <c r="A874" s="178" t="s">
        <v>949</v>
      </c>
      <c r="B874" s="178" t="s">
        <v>1850</v>
      </c>
      <c r="C874" s="178" t="s">
        <v>475</v>
      </c>
      <c r="D874" s="178" t="s">
        <v>57</v>
      </c>
      <c r="E874">
        <v>3661.6</v>
      </c>
      <c r="F874">
        <v>549.24</v>
      </c>
      <c r="G874">
        <v>4210.84</v>
      </c>
    </row>
    <row r="875" spans="1:7" x14ac:dyDescent="0.35">
      <c r="A875" s="178" t="s">
        <v>1844</v>
      </c>
      <c r="B875" s="178" t="s">
        <v>1851</v>
      </c>
      <c r="C875" s="178" t="s">
        <v>475</v>
      </c>
      <c r="D875" s="178" t="s">
        <v>1852</v>
      </c>
      <c r="E875">
        <v>956.65</v>
      </c>
      <c r="F875">
        <v>143.5</v>
      </c>
      <c r="G875">
        <v>1100.1500000000001</v>
      </c>
    </row>
    <row r="876" spans="1:7" x14ac:dyDescent="0.35">
      <c r="A876" s="178" t="s">
        <v>949</v>
      </c>
      <c r="B876" s="178" t="s">
        <v>1853</v>
      </c>
      <c r="C876" s="178" t="s">
        <v>475</v>
      </c>
      <c r="D876" s="178" t="s">
        <v>57</v>
      </c>
      <c r="E876">
        <v>4149.2</v>
      </c>
      <c r="F876">
        <v>622.38</v>
      </c>
      <c r="G876">
        <v>4771.58</v>
      </c>
    </row>
    <row r="877" spans="1:7" x14ac:dyDescent="0.35">
      <c r="A877" s="178" t="s">
        <v>1844</v>
      </c>
      <c r="B877" s="178" t="s">
        <v>1854</v>
      </c>
      <c r="C877" s="178" t="s">
        <v>475</v>
      </c>
      <c r="D877" s="178" t="s">
        <v>1855</v>
      </c>
      <c r="E877">
        <v>1926.55</v>
      </c>
      <c r="F877">
        <v>288.98</v>
      </c>
      <c r="G877">
        <v>2215.5300000000002</v>
      </c>
    </row>
    <row r="878" spans="1:7" x14ac:dyDescent="0.35">
      <c r="A878" s="178" t="s">
        <v>1844</v>
      </c>
      <c r="B878" s="178" t="s">
        <v>1856</v>
      </c>
      <c r="C878" s="178" t="s">
        <v>475</v>
      </c>
      <c r="D878" s="178" t="s">
        <v>1857</v>
      </c>
      <c r="E878">
        <v>983.15</v>
      </c>
      <c r="F878">
        <v>147.47</v>
      </c>
      <c r="G878">
        <v>1130.6199999999999</v>
      </c>
    </row>
    <row r="879" spans="1:7" x14ac:dyDescent="0.35">
      <c r="A879" s="178" t="s">
        <v>904</v>
      </c>
      <c r="B879" s="178" t="s">
        <v>1858</v>
      </c>
      <c r="C879" s="178" t="s">
        <v>475</v>
      </c>
      <c r="D879" s="178" t="s">
        <v>57</v>
      </c>
      <c r="E879">
        <v>2658.8</v>
      </c>
      <c r="F879">
        <v>398.82</v>
      </c>
      <c r="G879">
        <v>3057.62</v>
      </c>
    </row>
    <row r="880" spans="1:7" x14ac:dyDescent="0.35">
      <c r="A880" s="178" t="s">
        <v>1859</v>
      </c>
      <c r="B880" s="178" t="s">
        <v>1860</v>
      </c>
      <c r="C880" s="178" t="s">
        <v>475</v>
      </c>
      <c r="D880" s="178" t="s">
        <v>57</v>
      </c>
      <c r="E880">
        <v>1609.2</v>
      </c>
      <c r="F880">
        <v>241.39</v>
      </c>
      <c r="G880">
        <v>1850.59</v>
      </c>
    </row>
    <row r="881" spans="1:7" x14ac:dyDescent="0.35">
      <c r="A881" s="178" t="s">
        <v>1861</v>
      </c>
      <c r="B881" s="178" t="s">
        <v>1862</v>
      </c>
      <c r="C881" s="178" t="s">
        <v>475</v>
      </c>
      <c r="D881" s="178" t="s">
        <v>57</v>
      </c>
      <c r="E881">
        <v>4200.8500000000004</v>
      </c>
      <c r="F881">
        <v>630.13</v>
      </c>
      <c r="G881">
        <v>4830.9799999999996</v>
      </c>
    </row>
    <row r="882" spans="1:7" x14ac:dyDescent="0.35">
      <c r="A882" s="178" t="s">
        <v>591</v>
      </c>
      <c r="B882" s="178" t="s">
        <v>1863</v>
      </c>
      <c r="C882" s="178" t="s">
        <v>475</v>
      </c>
      <c r="D882" s="178" t="s">
        <v>57</v>
      </c>
      <c r="E882">
        <v>9813.27</v>
      </c>
      <c r="F882">
        <v>1472.02</v>
      </c>
      <c r="G882">
        <v>11285.29</v>
      </c>
    </row>
    <row r="883" spans="1:7" x14ac:dyDescent="0.35">
      <c r="A883" s="178" t="s">
        <v>1864</v>
      </c>
      <c r="B883" s="178" t="s">
        <v>1865</v>
      </c>
      <c r="C883" s="178" t="s">
        <v>475</v>
      </c>
      <c r="D883" s="178" t="s">
        <v>57</v>
      </c>
      <c r="E883">
        <v>4074</v>
      </c>
      <c r="F883">
        <v>611.1</v>
      </c>
      <c r="G883">
        <v>4685.1000000000004</v>
      </c>
    </row>
    <row r="884" spans="1:7" x14ac:dyDescent="0.35">
      <c r="A884" s="178" t="s">
        <v>451</v>
      </c>
      <c r="B884" s="178" t="s">
        <v>1866</v>
      </c>
      <c r="C884" s="178" t="s">
        <v>475</v>
      </c>
      <c r="D884">
        <v>36248</v>
      </c>
      <c r="E884">
        <v>4156.8</v>
      </c>
      <c r="F884">
        <v>623.52</v>
      </c>
      <c r="G884">
        <v>4780.32</v>
      </c>
    </row>
    <row r="885" spans="1:7" x14ac:dyDescent="0.35">
      <c r="A885" s="178" t="s">
        <v>1867</v>
      </c>
      <c r="B885" s="178" t="s">
        <v>1868</v>
      </c>
      <c r="C885" s="178" t="s">
        <v>475</v>
      </c>
      <c r="D885" s="178" t="s">
        <v>57</v>
      </c>
      <c r="E885">
        <v>3098.04</v>
      </c>
      <c r="F885">
        <v>464.71</v>
      </c>
      <c r="G885">
        <v>3562.75</v>
      </c>
    </row>
    <row r="886" spans="1:7" x14ac:dyDescent="0.35">
      <c r="A886" s="178" t="s">
        <v>913</v>
      </c>
      <c r="B886" s="178" t="s">
        <v>1869</v>
      </c>
      <c r="C886" s="178" t="s">
        <v>429</v>
      </c>
      <c r="D886" s="178" t="s">
        <v>1870</v>
      </c>
      <c r="E886">
        <v>2790.45</v>
      </c>
      <c r="F886">
        <v>418.57</v>
      </c>
      <c r="G886">
        <v>3209.02</v>
      </c>
    </row>
    <row r="887" spans="1:7" x14ac:dyDescent="0.35">
      <c r="A887" s="178" t="s">
        <v>1871</v>
      </c>
      <c r="B887" s="178" t="s">
        <v>1872</v>
      </c>
      <c r="C887" s="178" t="s">
        <v>475</v>
      </c>
      <c r="D887" s="178" t="s">
        <v>57</v>
      </c>
      <c r="E887">
        <v>3591.75</v>
      </c>
      <c r="F887">
        <v>538.76</v>
      </c>
      <c r="G887">
        <v>4130.51</v>
      </c>
    </row>
    <row r="888" spans="1:7" x14ac:dyDescent="0.35">
      <c r="A888" s="178" t="s">
        <v>856</v>
      </c>
      <c r="B888" s="178" t="s">
        <v>1873</v>
      </c>
      <c r="C888" s="178" t="s">
        <v>475</v>
      </c>
      <c r="D888" s="178" t="s">
        <v>57</v>
      </c>
      <c r="E888">
        <v>2376.4499999999998</v>
      </c>
      <c r="F888">
        <v>356.48</v>
      </c>
      <c r="G888">
        <v>2732.93</v>
      </c>
    </row>
    <row r="889" spans="1:7" x14ac:dyDescent="0.35">
      <c r="A889" s="178" t="s">
        <v>532</v>
      </c>
      <c r="B889" s="178" t="s">
        <v>1874</v>
      </c>
      <c r="C889" s="178" t="s">
        <v>475</v>
      </c>
      <c r="D889" s="178" t="s">
        <v>57</v>
      </c>
      <c r="E889">
        <v>11779.3</v>
      </c>
      <c r="F889">
        <v>1766.9</v>
      </c>
      <c r="G889">
        <v>13546.2</v>
      </c>
    </row>
    <row r="890" spans="1:7" x14ac:dyDescent="0.35">
      <c r="A890" s="178" t="s">
        <v>851</v>
      </c>
      <c r="B890" s="178" t="s">
        <v>1875</v>
      </c>
      <c r="C890" s="178" t="s">
        <v>475</v>
      </c>
      <c r="D890" s="178" t="s">
        <v>57</v>
      </c>
      <c r="E890">
        <v>500</v>
      </c>
      <c r="F890">
        <v>75</v>
      </c>
      <c r="G890">
        <v>575</v>
      </c>
    </row>
    <row r="891" spans="1:7" x14ac:dyDescent="0.35">
      <c r="A891" s="178" t="s">
        <v>1876</v>
      </c>
      <c r="B891" s="178" t="s">
        <v>1877</v>
      </c>
      <c r="C891" s="178" t="s">
        <v>475</v>
      </c>
      <c r="D891" s="178" t="s">
        <v>1878</v>
      </c>
      <c r="E891">
        <v>3010.65</v>
      </c>
      <c r="F891">
        <v>451.6</v>
      </c>
      <c r="G891">
        <v>3462.25</v>
      </c>
    </row>
    <row r="892" spans="1:7" x14ac:dyDescent="0.35">
      <c r="A892" s="178" t="s">
        <v>490</v>
      </c>
      <c r="B892" s="178" t="s">
        <v>1879</v>
      </c>
      <c r="C892" s="178" t="s">
        <v>475</v>
      </c>
      <c r="D892" s="178" t="s">
        <v>1880</v>
      </c>
      <c r="E892">
        <v>2481</v>
      </c>
      <c r="F892">
        <v>372.16</v>
      </c>
      <c r="G892">
        <v>2853.16</v>
      </c>
    </row>
    <row r="893" spans="1:7" x14ac:dyDescent="0.35">
      <c r="A893" s="178" t="s">
        <v>1881</v>
      </c>
      <c r="B893" s="178" t="s">
        <v>1882</v>
      </c>
      <c r="C893" s="178" t="s">
        <v>475</v>
      </c>
      <c r="D893" s="178" t="s">
        <v>1883</v>
      </c>
      <c r="E893">
        <v>3204.15</v>
      </c>
      <c r="F893">
        <v>480.62</v>
      </c>
      <c r="G893">
        <v>3684.77</v>
      </c>
    </row>
    <row r="894" spans="1:7" x14ac:dyDescent="0.35">
      <c r="A894" s="178" t="s">
        <v>1403</v>
      </c>
      <c r="B894" s="178" t="s">
        <v>1884</v>
      </c>
      <c r="C894" s="178" t="s">
        <v>475</v>
      </c>
      <c r="D894" s="178" t="s">
        <v>942</v>
      </c>
      <c r="E894">
        <v>5290</v>
      </c>
      <c r="F894">
        <v>793.5</v>
      </c>
      <c r="G894">
        <v>6083.5</v>
      </c>
    </row>
    <row r="895" spans="1:7" x14ac:dyDescent="0.35">
      <c r="A895" s="178" t="s">
        <v>1885</v>
      </c>
      <c r="B895" s="178" t="s">
        <v>1886</v>
      </c>
      <c r="C895" s="178" t="s">
        <v>475</v>
      </c>
      <c r="D895" s="178" t="s">
        <v>1887</v>
      </c>
      <c r="E895">
        <v>17674.5</v>
      </c>
      <c r="F895">
        <v>2651.18</v>
      </c>
      <c r="G895">
        <v>20325.68</v>
      </c>
    </row>
    <row r="896" spans="1:7" x14ac:dyDescent="0.35">
      <c r="A896" s="178" t="s">
        <v>1503</v>
      </c>
      <c r="B896" s="178" t="s">
        <v>1888</v>
      </c>
      <c r="C896" s="178" t="s">
        <v>475</v>
      </c>
      <c r="D896" s="178" t="s">
        <v>1505</v>
      </c>
      <c r="E896">
        <v>3111.7</v>
      </c>
      <c r="F896">
        <v>466.76</v>
      </c>
      <c r="G896">
        <v>3578.46</v>
      </c>
    </row>
    <row r="897" spans="1:7" x14ac:dyDescent="0.35">
      <c r="A897" s="178" t="s">
        <v>1889</v>
      </c>
      <c r="B897" s="178" t="s">
        <v>1890</v>
      </c>
      <c r="C897" s="178" t="s">
        <v>475</v>
      </c>
      <c r="D897" s="178" t="s">
        <v>57</v>
      </c>
      <c r="E897">
        <v>2822.17</v>
      </c>
      <c r="F897">
        <v>423.33</v>
      </c>
      <c r="G897">
        <v>3245.5</v>
      </c>
    </row>
    <row r="898" spans="1:7" x14ac:dyDescent="0.35">
      <c r="A898" s="178" t="s">
        <v>1891</v>
      </c>
      <c r="B898" s="178" t="s">
        <v>1892</v>
      </c>
      <c r="C898" s="178" t="s">
        <v>475</v>
      </c>
      <c r="D898" s="178" t="s">
        <v>57</v>
      </c>
      <c r="E898">
        <v>1453.64</v>
      </c>
      <c r="F898">
        <v>218.05</v>
      </c>
      <c r="G898">
        <v>1671.69</v>
      </c>
    </row>
    <row r="899" spans="1:7" x14ac:dyDescent="0.35">
      <c r="A899" s="178" t="s">
        <v>1200</v>
      </c>
      <c r="B899" s="178" t="s">
        <v>1893</v>
      </c>
      <c r="C899" s="178" t="s">
        <v>475</v>
      </c>
      <c r="D899" s="178" t="s">
        <v>1894</v>
      </c>
      <c r="E899">
        <v>4870.45</v>
      </c>
      <c r="F899">
        <v>730.57</v>
      </c>
      <c r="G899">
        <v>5601.02</v>
      </c>
    </row>
    <row r="900" spans="1:7" x14ac:dyDescent="0.35">
      <c r="A900" s="178" t="s">
        <v>1513</v>
      </c>
      <c r="B900" s="178" t="s">
        <v>1895</v>
      </c>
      <c r="C900" s="178" t="s">
        <v>475</v>
      </c>
      <c r="D900" s="178" t="s">
        <v>1515</v>
      </c>
      <c r="E900">
        <v>20934.8</v>
      </c>
      <c r="F900">
        <v>3140.22</v>
      </c>
      <c r="G900">
        <v>24075.02</v>
      </c>
    </row>
    <row r="901" spans="1:7" x14ac:dyDescent="0.35">
      <c r="A901" s="178" t="s">
        <v>679</v>
      </c>
      <c r="B901" s="178" t="s">
        <v>1896</v>
      </c>
      <c r="C901" s="178" t="s">
        <v>475</v>
      </c>
      <c r="D901" s="178" t="s">
        <v>57</v>
      </c>
      <c r="E901">
        <v>4454</v>
      </c>
      <c r="F901">
        <v>668.1</v>
      </c>
      <c r="G901">
        <v>5122.1000000000004</v>
      </c>
    </row>
    <row r="902" spans="1:7" x14ac:dyDescent="0.35">
      <c r="A902" s="178" t="s">
        <v>1897</v>
      </c>
      <c r="B902" s="178" t="s">
        <v>1898</v>
      </c>
      <c r="C902" s="178" t="s">
        <v>475</v>
      </c>
      <c r="D902" s="178" t="s">
        <v>57</v>
      </c>
      <c r="E902">
        <v>3961.5</v>
      </c>
      <c r="F902">
        <v>594.22</v>
      </c>
      <c r="G902">
        <v>4555.72</v>
      </c>
    </row>
    <row r="903" spans="1:7" x14ac:dyDescent="0.35">
      <c r="A903" s="178" t="s">
        <v>1899</v>
      </c>
      <c r="B903" s="178" t="s">
        <v>1900</v>
      </c>
      <c r="C903" s="178" t="s">
        <v>475</v>
      </c>
      <c r="D903" s="178" t="s">
        <v>57</v>
      </c>
      <c r="E903">
        <v>1074.45</v>
      </c>
      <c r="F903">
        <v>161.16999999999999</v>
      </c>
      <c r="G903">
        <v>1235.6199999999999</v>
      </c>
    </row>
    <row r="904" spans="1:7" x14ac:dyDescent="0.35">
      <c r="A904" s="178" t="s">
        <v>1901</v>
      </c>
      <c r="B904" s="178" t="s">
        <v>1902</v>
      </c>
      <c r="C904" s="178" t="s">
        <v>475</v>
      </c>
      <c r="D904" s="178" t="s">
        <v>1903</v>
      </c>
      <c r="E904">
        <v>8997.65</v>
      </c>
      <c r="F904">
        <v>1349.65</v>
      </c>
      <c r="G904">
        <v>10347.299999999999</v>
      </c>
    </row>
    <row r="905" spans="1:7" x14ac:dyDescent="0.35">
      <c r="A905" s="178" t="s">
        <v>490</v>
      </c>
      <c r="B905" s="178" t="s">
        <v>1904</v>
      </c>
      <c r="C905" s="178" t="s">
        <v>475</v>
      </c>
      <c r="D905" s="178" t="s">
        <v>57</v>
      </c>
      <c r="E905">
        <v>1425.5</v>
      </c>
      <c r="F905">
        <v>213.83</v>
      </c>
      <c r="G905">
        <v>1639.33</v>
      </c>
    </row>
    <row r="906" spans="1:7" x14ac:dyDescent="0.35">
      <c r="A906" s="178" t="s">
        <v>1905</v>
      </c>
      <c r="B906" s="178" t="s">
        <v>1906</v>
      </c>
      <c r="C906" s="178" t="s">
        <v>475</v>
      </c>
      <c r="D906" s="178" t="s">
        <v>1715</v>
      </c>
      <c r="E906">
        <v>1512</v>
      </c>
      <c r="F906">
        <v>226.8</v>
      </c>
      <c r="G906">
        <v>1738.8</v>
      </c>
    </row>
    <row r="907" spans="1:7" x14ac:dyDescent="0.35">
      <c r="A907" s="178" t="s">
        <v>493</v>
      </c>
      <c r="B907" s="178" t="s">
        <v>1907</v>
      </c>
      <c r="C907" s="178" t="s">
        <v>475</v>
      </c>
      <c r="D907" s="178" t="s">
        <v>57</v>
      </c>
      <c r="E907">
        <v>3270.6</v>
      </c>
      <c r="F907">
        <v>490.59</v>
      </c>
      <c r="G907">
        <v>3761.19</v>
      </c>
    </row>
    <row r="908" spans="1:7" x14ac:dyDescent="0.35">
      <c r="A908" s="178" t="s">
        <v>490</v>
      </c>
      <c r="B908" s="178" t="s">
        <v>1908</v>
      </c>
      <c r="C908" s="178" t="s">
        <v>475</v>
      </c>
      <c r="D908" s="178" t="s">
        <v>1909</v>
      </c>
      <c r="E908">
        <v>1122.3</v>
      </c>
      <c r="F908">
        <v>168.35</v>
      </c>
      <c r="G908">
        <v>1290.6500000000001</v>
      </c>
    </row>
    <row r="909" spans="1:7" x14ac:dyDescent="0.35">
      <c r="A909" s="178" t="s">
        <v>372</v>
      </c>
      <c r="B909" s="178" t="s">
        <v>1910</v>
      </c>
      <c r="C909" s="178" t="s">
        <v>475</v>
      </c>
      <c r="D909" s="178" t="s">
        <v>57</v>
      </c>
      <c r="E909">
        <v>11787.2</v>
      </c>
      <c r="F909">
        <v>1768.08</v>
      </c>
      <c r="G909">
        <v>13555.28</v>
      </c>
    </row>
    <row r="910" spans="1:7" x14ac:dyDescent="0.35">
      <c r="A910" s="178" t="s">
        <v>1329</v>
      </c>
      <c r="B910" s="178" t="s">
        <v>1911</v>
      </c>
      <c r="C910" s="178" t="s">
        <v>475</v>
      </c>
      <c r="D910">
        <v>105823</v>
      </c>
      <c r="E910">
        <v>4763.3999999999996</v>
      </c>
      <c r="F910">
        <v>714.51</v>
      </c>
      <c r="G910">
        <v>5477.91</v>
      </c>
    </row>
    <row r="911" spans="1:7" x14ac:dyDescent="0.35">
      <c r="A911" s="178" t="s">
        <v>1329</v>
      </c>
      <c r="B911" s="178" t="s">
        <v>1912</v>
      </c>
      <c r="C911" s="178" t="s">
        <v>475</v>
      </c>
      <c r="D911">
        <v>105822</v>
      </c>
      <c r="E911">
        <v>1363.4</v>
      </c>
      <c r="F911">
        <v>204.51</v>
      </c>
      <c r="G911">
        <v>1567.91</v>
      </c>
    </row>
    <row r="912" spans="1:7" x14ac:dyDescent="0.35">
      <c r="A912" s="178" t="s">
        <v>853</v>
      </c>
      <c r="B912" s="178" t="s">
        <v>1913</v>
      </c>
      <c r="C912" s="178" t="s">
        <v>475</v>
      </c>
      <c r="D912" s="178" t="s">
        <v>57</v>
      </c>
      <c r="E912">
        <v>3024</v>
      </c>
      <c r="F912">
        <v>453.6</v>
      </c>
      <c r="G912">
        <v>3477.6</v>
      </c>
    </row>
    <row r="913" spans="1:7" x14ac:dyDescent="0.35">
      <c r="A913" s="178" t="s">
        <v>372</v>
      </c>
      <c r="B913" s="178" t="s">
        <v>1914</v>
      </c>
      <c r="C913" s="178" t="s">
        <v>475</v>
      </c>
      <c r="D913" s="178" t="s">
        <v>57</v>
      </c>
      <c r="E913">
        <v>18775.25</v>
      </c>
      <c r="F913">
        <v>2816.29</v>
      </c>
      <c r="G913">
        <v>21591.54</v>
      </c>
    </row>
    <row r="914" spans="1:7" x14ac:dyDescent="0.35">
      <c r="A914" s="178" t="s">
        <v>1915</v>
      </c>
      <c r="B914" s="178" t="s">
        <v>1916</v>
      </c>
      <c r="C914" s="178" t="s">
        <v>475</v>
      </c>
      <c r="D914" s="178" t="s">
        <v>57</v>
      </c>
      <c r="E914">
        <v>7733.7</v>
      </c>
      <c r="F914">
        <v>1160.06</v>
      </c>
      <c r="G914">
        <v>8893.76</v>
      </c>
    </row>
    <row r="915" spans="1:7" x14ac:dyDescent="0.35">
      <c r="A915" s="178" t="s">
        <v>620</v>
      </c>
      <c r="B915" s="178" t="s">
        <v>1917</v>
      </c>
      <c r="C915" s="178" t="s">
        <v>475</v>
      </c>
      <c r="D915" s="178" t="s">
        <v>57</v>
      </c>
      <c r="E915">
        <v>2983.5</v>
      </c>
      <c r="F915">
        <v>447.53</v>
      </c>
      <c r="G915">
        <v>3431.03</v>
      </c>
    </row>
    <row r="916" spans="1:7" x14ac:dyDescent="0.35">
      <c r="A916" s="178" t="s">
        <v>503</v>
      </c>
      <c r="B916" s="178" t="s">
        <v>1918</v>
      </c>
      <c r="C916" s="178" t="s">
        <v>475</v>
      </c>
      <c r="D916" s="178" t="s">
        <v>57</v>
      </c>
      <c r="E916">
        <v>21875</v>
      </c>
      <c r="F916">
        <v>3281.26</v>
      </c>
      <c r="G916">
        <v>25156.26</v>
      </c>
    </row>
    <row r="917" spans="1:7" x14ac:dyDescent="0.35">
      <c r="A917" s="178" t="s">
        <v>637</v>
      </c>
      <c r="B917" s="178" t="s">
        <v>1919</v>
      </c>
      <c r="C917" s="178" t="s">
        <v>475</v>
      </c>
      <c r="D917" s="178" t="s">
        <v>57</v>
      </c>
      <c r="E917">
        <v>30885.3</v>
      </c>
      <c r="F917">
        <v>4632.8</v>
      </c>
      <c r="G917">
        <v>35518.1</v>
      </c>
    </row>
    <row r="918" spans="1:7" x14ac:dyDescent="0.35">
      <c r="A918" s="178" t="s">
        <v>388</v>
      </c>
      <c r="B918" s="178" t="s">
        <v>1920</v>
      </c>
      <c r="C918" s="178" t="s">
        <v>475</v>
      </c>
      <c r="D918" s="178" t="s">
        <v>57</v>
      </c>
      <c r="E918">
        <v>1299.3</v>
      </c>
      <c r="F918">
        <v>194.9</v>
      </c>
      <c r="G918">
        <v>1494.2</v>
      </c>
    </row>
    <row r="919" spans="1:7" x14ac:dyDescent="0.35">
      <c r="A919" s="178" t="s">
        <v>383</v>
      </c>
      <c r="B919" s="178" t="s">
        <v>1921</v>
      </c>
      <c r="C919" s="178" t="s">
        <v>475</v>
      </c>
      <c r="D919" s="178" t="s">
        <v>57</v>
      </c>
      <c r="E919">
        <v>1330</v>
      </c>
      <c r="F919">
        <v>199.5</v>
      </c>
      <c r="G919">
        <v>1529.5</v>
      </c>
    </row>
    <row r="920" spans="1:7" x14ac:dyDescent="0.35">
      <c r="A920" s="178" t="s">
        <v>388</v>
      </c>
      <c r="B920" s="178" t="s">
        <v>1922</v>
      </c>
      <c r="C920" s="178" t="s">
        <v>475</v>
      </c>
      <c r="D920" s="178" t="s">
        <v>57</v>
      </c>
      <c r="E920">
        <v>1040.05</v>
      </c>
      <c r="F920">
        <v>156.01</v>
      </c>
      <c r="G920">
        <v>1196.06</v>
      </c>
    </row>
    <row r="921" spans="1:7" x14ac:dyDescent="0.35">
      <c r="A921" s="178" t="s">
        <v>1923</v>
      </c>
      <c r="B921" s="178" t="s">
        <v>1924</v>
      </c>
      <c r="C921" s="178" t="s">
        <v>475</v>
      </c>
      <c r="D921" s="178" t="s">
        <v>57</v>
      </c>
      <c r="E921">
        <v>1134.5999999999999</v>
      </c>
      <c r="F921">
        <v>170.19</v>
      </c>
      <c r="G921">
        <v>1304.79</v>
      </c>
    </row>
    <row r="922" spans="1:7" x14ac:dyDescent="0.35">
      <c r="A922" s="178" t="s">
        <v>1409</v>
      </c>
      <c r="B922" s="178" t="s">
        <v>1925</v>
      </c>
      <c r="C922" s="178" t="s">
        <v>475</v>
      </c>
      <c r="D922" s="178" t="s">
        <v>1420</v>
      </c>
      <c r="E922">
        <v>2029.6</v>
      </c>
      <c r="F922">
        <v>304.44</v>
      </c>
      <c r="G922">
        <v>2334.04</v>
      </c>
    </row>
    <row r="923" spans="1:7" x14ac:dyDescent="0.35">
      <c r="A923" s="178" t="s">
        <v>1926</v>
      </c>
      <c r="B923" s="178" t="s">
        <v>1927</v>
      </c>
      <c r="C923" s="178" t="s">
        <v>475</v>
      </c>
      <c r="D923" s="178" t="s">
        <v>57</v>
      </c>
      <c r="E923">
        <v>11624.4</v>
      </c>
      <c r="F923">
        <v>1743.66</v>
      </c>
      <c r="G923">
        <v>13368.06</v>
      </c>
    </row>
    <row r="924" spans="1:7" x14ac:dyDescent="0.35">
      <c r="A924" s="178" t="s">
        <v>1610</v>
      </c>
      <c r="B924" s="178" t="s">
        <v>1928</v>
      </c>
      <c r="C924" s="178" t="s">
        <v>482</v>
      </c>
      <c r="D924" s="178" t="s">
        <v>1929</v>
      </c>
      <c r="E924">
        <v>9204.6</v>
      </c>
      <c r="F924">
        <v>1380.69</v>
      </c>
      <c r="G924">
        <v>10585.29</v>
      </c>
    </row>
    <row r="925" spans="1:7" x14ac:dyDescent="0.35">
      <c r="A925" s="178" t="s">
        <v>940</v>
      </c>
      <c r="B925" s="178" t="s">
        <v>1930</v>
      </c>
      <c r="C925" s="178" t="s">
        <v>482</v>
      </c>
      <c r="D925" s="178" t="s">
        <v>942</v>
      </c>
      <c r="E925">
        <v>8051.4</v>
      </c>
      <c r="F925">
        <v>1207.71</v>
      </c>
      <c r="G925">
        <v>9259.11</v>
      </c>
    </row>
    <row r="926" spans="1:7" x14ac:dyDescent="0.35">
      <c r="A926" s="178" t="s">
        <v>1157</v>
      </c>
      <c r="B926" s="178" t="s">
        <v>1931</v>
      </c>
      <c r="C926" s="178" t="s">
        <v>482</v>
      </c>
      <c r="D926" s="178" t="s">
        <v>1932</v>
      </c>
      <c r="E926">
        <v>1337.6</v>
      </c>
      <c r="F926">
        <v>200.64</v>
      </c>
      <c r="G926">
        <v>1538.24</v>
      </c>
    </row>
    <row r="927" spans="1:7" x14ac:dyDescent="0.35">
      <c r="A927" s="178" t="s">
        <v>1933</v>
      </c>
      <c r="B927" s="178" t="s">
        <v>1934</v>
      </c>
      <c r="C927" s="178" t="s">
        <v>482</v>
      </c>
      <c r="D927" s="178" t="s">
        <v>57</v>
      </c>
      <c r="E927">
        <v>1014.8</v>
      </c>
      <c r="F927">
        <v>152.22</v>
      </c>
      <c r="G927">
        <v>1167.02</v>
      </c>
    </row>
    <row r="928" spans="1:7" x14ac:dyDescent="0.35">
      <c r="A928" s="178" t="s">
        <v>563</v>
      </c>
      <c r="B928" s="178" t="s">
        <v>1935</v>
      </c>
      <c r="C928" s="178" t="s">
        <v>482</v>
      </c>
      <c r="D928" s="178" t="s">
        <v>57</v>
      </c>
      <c r="E928">
        <v>7729.8</v>
      </c>
      <c r="F928">
        <v>1159.47</v>
      </c>
      <c r="G928">
        <v>8889.27</v>
      </c>
    </row>
    <row r="929" spans="1:7" x14ac:dyDescent="0.35">
      <c r="A929" s="178" t="s">
        <v>1936</v>
      </c>
      <c r="B929" s="178" t="s">
        <v>1937</v>
      </c>
      <c r="C929" s="178" t="s">
        <v>482</v>
      </c>
      <c r="D929" s="178" t="s">
        <v>1938</v>
      </c>
      <c r="E929">
        <v>5205.2</v>
      </c>
      <c r="F929">
        <v>780.78</v>
      </c>
      <c r="G929">
        <v>5985.98</v>
      </c>
    </row>
    <row r="930" spans="1:7" x14ac:dyDescent="0.35">
      <c r="A930" s="178" t="s">
        <v>1383</v>
      </c>
      <c r="B930" s="178" t="s">
        <v>1939</v>
      </c>
      <c r="C930" s="178" t="s">
        <v>482</v>
      </c>
      <c r="D930" s="178" t="s">
        <v>57</v>
      </c>
      <c r="E930">
        <v>1430.75</v>
      </c>
      <c r="F930">
        <v>214.61</v>
      </c>
      <c r="G930">
        <v>1645.36</v>
      </c>
    </row>
    <row r="931" spans="1:7" x14ac:dyDescent="0.35">
      <c r="A931" s="178" t="s">
        <v>1732</v>
      </c>
      <c r="B931" s="178" t="s">
        <v>1940</v>
      </c>
      <c r="C931" s="178" t="s">
        <v>482</v>
      </c>
      <c r="D931" s="178" t="s">
        <v>57</v>
      </c>
      <c r="E931">
        <v>3252.75</v>
      </c>
      <c r="F931">
        <v>487.91</v>
      </c>
      <c r="G931">
        <v>3740.66</v>
      </c>
    </row>
    <row r="932" spans="1:7" x14ac:dyDescent="0.35">
      <c r="A932" s="178" t="s">
        <v>1915</v>
      </c>
      <c r="B932" s="178" t="s">
        <v>1941</v>
      </c>
      <c r="C932" s="178" t="s">
        <v>482</v>
      </c>
      <c r="D932" s="178" t="s">
        <v>57</v>
      </c>
      <c r="E932">
        <v>2738.4</v>
      </c>
      <c r="F932">
        <v>410.76</v>
      </c>
      <c r="G932">
        <v>3149.16</v>
      </c>
    </row>
    <row r="933" spans="1:7" x14ac:dyDescent="0.35">
      <c r="A933" s="178" t="s">
        <v>1942</v>
      </c>
      <c r="B933" s="178" t="s">
        <v>1943</v>
      </c>
      <c r="C933" s="178" t="s">
        <v>482</v>
      </c>
      <c r="D933" s="178" t="s">
        <v>57</v>
      </c>
      <c r="E933">
        <v>772.8</v>
      </c>
      <c r="F933">
        <v>115.92</v>
      </c>
      <c r="G933">
        <v>888.72</v>
      </c>
    </row>
    <row r="934" spans="1:7" x14ac:dyDescent="0.35">
      <c r="A934" s="178" t="s">
        <v>683</v>
      </c>
      <c r="B934" s="178" t="s">
        <v>1944</v>
      </c>
      <c r="C934" s="178" t="s">
        <v>482</v>
      </c>
      <c r="D934" s="178" t="s">
        <v>57</v>
      </c>
      <c r="E934">
        <v>6113.5</v>
      </c>
      <c r="F934">
        <v>917.03</v>
      </c>
      <c r="G934">
        <v>7030.53</v>
      </c>
    </row>
    <row r="935" spans="1:7" x14ac:dyDescent="0.35">
      <c r="A935" s="178" t="s">
        <v>1061</v>
      </c>
      <c r="B935" s="178" t="s">
        <v>1945</v>
      </c>
      <c r="C935" s="178" t="s">
        <v>482</v>
      </c>
      <c r="D935" s="178" t="s">
        <v>57</v>
      </c>
      <c r="E935">
        <v>2805.42</v>
      </c>
      <c r="F935">
        <v>420.82</v>
      </c>
      <c r="G935">
        <v>3226.24</v>
      </c>
    </row>
    <row r="936" spans="1:7" x14ac:dyDescent="0.35">
      <c r="A936" s="178" t="s">
        <v>1313</v>
      </c>
      <c r="B936" s="178" t="s">
        <v>1946</v>
      </c>
      <c r="C936" s="178" t="s">
        <v>482</v>
      </c>
      <c r="D936" s="178" t="s">
        <v>57</v>
      </c>
      <c r="E936">
        <v>2508.25</v>
      </c>
      <c r="F936">
        <v>376.24</v>
      </c>
      <c r="G936">
        <v>2884.49</v>
      </c>
    </row>
    <row r="937" spans="1:7" x14ac:dyDescent="0.35">
      <c r="A937" s="178" t="s">
        <v>1522</v>
      </c>
      <c r="B937" s="178" t="s">
        <v>1947</v>
      </c>
      <c r="C937" s="178" t="s">
        <v>482</v>
      </c>
      <c r="D937" s="178" t="s">
        <v>1524</v>
      </c>
      <c r="E937">
        <v>1263</v>
      </c>
      <c r="F937">
        <v>189.45</v>
      </c>
      <c r="G937">
        <v>1452.45</v>
      </c>
    </row>
    <row r="938" spans="1:7" x14ac:dyDescent="0.35">
      <c r="A938" s="178" t="s">
        <v>568</v>
      </c>
      <c r="B938" s="178" t="s">
        <v>1948</v>
      </c>
      <c r="C938" s="178" t="s">
        <v>482</v>
      </c>
      <c r="D938" s="178" t="s">
        <v>1289</v>
      </c>
      <c r="E938">
        <v>6878.3</v>
      </c>
      <c r="F938">
        <v>1031.76</v>
      </c>
      <c r="G938">
        <v>7910.06</v>
      </c>
    </row>
    <row r="939" spans="1:7" x14ac:dyDescent="0.35">
      <c r="A939" s="178" t="s">
        <v>1319</v>
      </c>
      <c r="B939" s="178" t="s">
        <v>1949</v>
      </c>
      <c r="C939" s="178" t="s">
        <v>482</v>
      </c>
      <c r="D939" s="178" t="s">
        <v>57</v>
      </c>
      <c r="E939">
        <v>16722.650000000001</v>
      </c>
      <c r="F939">
        <v>2508.4</v>
      </c>
      <c r="G939">
        <v>19231.05</v>
      </c>
    </row>
    <row r="940" spans="1:7" x14ac:dyDescent="0.35">
      <c r="A940" s="178" t="s">
        <v>1950</v>
      </c>
      <c r="B940" s="178" t="s">
        <v>1951</v>
      </c>
      <c r="C940" s="178" t="s">
        <v>482</v>
      </c>
      <c r="D940" s="178" t="s">
        <v>57</v>
      </c>
      <c r="E940">
        <v>2952</v>
      </c>
      <c r="F940">
        <v>442.8</v>
      </c>
      <c r="G940">
        <v>3394.8</v>
      </c>
    </row>
    <row r="941" spans="1:7" x14ac:dyDescent="0.35">
      <c r="A941" s="178" t="s">
        <v>357</v>
      </c>
      <c r="B941" s="178" t="s">
        <v>1952</v>
      </c>
      <c r="C941" s="178" t="s">
        <v>482</v>
      </c>
      <c r="D941" s="178" t="s">
        <v>57</v>
      </c>
      <c r="E941">
        <v>7645.8</v>
      </c>
      <c r="F941">
        <v>1146.8699999999999</v>
      </c>
      <c r="G941">
        <v>8792.67</v>
      </c>
    </row>
    <row r="942" spans="1:7" x14ac:dyDescent="0.35">
      <c r="A942" s="178" t="s">
        <v>866</v>
      </c>
      <c r="B942" s="178" t="s">
        <v>1953</v>
      </c>
      <c r="C942" s="178" t="s">
        <v>482</v>
      </c>
      <c r="D942" s="178" t="s">
        <v>1954</v>
      </c>
      <c r="E942">
        <v>3315.5</v>
      </c>
      <c r="F942">
        <v>497.33</v>
      </c>
      <c r="G942">
        <v>3812.83</v>
      </c>
    </row>
    <row r="943" spans="1:7" x14ac:dyDescent="0.35">
      <c r="A943" s="178" t="s">
        <v>447</v>
      </c>
      <c r="B943" s="178" t="s">
        <v>1955</v>
      </c>
      <c r="C943" s="178" t="s">
        <v>482</v>
      </c>
      <c r="D943" s="178" t="s">
        <v>57</v>
      </c>
      <c r="E943">
        <v>10862.95</v>
      </c>
      <c r="F943">
        <v>1629.44</v>
      </c>
      <c r="G943">
        <v>12492.39</v>
      </c>
    </row>
    <row r="944" spans="1:7" x14ac:dyDescent="0.35">
      <c r="A944" s="178" t="s">
        <v>357</v>
      </c>
      <c r="B944" s="178" t="s">
        <v>1956</v>
      </c>
      <c r="C944" s="178" t="s">
        <v>482</v>
      </c>
      <c r="D944" s="178" t="s">
        <v>1957</v>
      </c>
      <c r="E944">
        <v>1296.75</v>
      </c>
      <c r="F944">
        <v>194.51</v>
      </c>
      <c r="G944">
        <v>1491.26</v>
      </c>
    </row>
    <row r="945" spans="1:7" x14ac:dyDescent="0.35">
      <c r="A945" s="178" t="s">
        <v>478</v>
      </c>
      <c r="B945" s="178" t="s">
        <v>1958</v>
      </c>
      <c r="C945" s="178" t="s">
        <v>482</v>
      </c>
      <c r="D945" s="178" t="s">
        <v>57</v>
      </c>
      <c r="E945">
        <v>1598.4</v>
      </c>
      <c r="F945">
        <v>239.76</v>
      </c>
      <c r="G945">
        <v>1838.16</v>
      </c>
    </row>
    <row r="946" spans="1:7" x14ac:dyDescent="0.35">
      <c r="A946" s="178" t="s">
        <v>1959</v>
      </c>
      <c r="B946" s="178" t="s">
        <v>1960</v>
      </c>
      <c r="C946" s="178" t="s">
        <v>482</v>
      </c>
      <c r="D946" s="178" t="s">
        <v>57</v>
      </c>
      <c r="E946">
        <v>1347.5</v>
      </c>
      <c r="F946">
        <v>202.13</v>
      </c>
      <c r="G946">
        <v>1549.63</v>
      </c>
    </row>
    <row r="947" spans="1:7" x14ac:dyDescent="0.35">
      <c r="A947" s="178" t="s">
        <v>513</v>
      </c>
      <c r="B947" s="178" t="s">
        <v>1961</v>
      </c>
      <c r="C947" s="178" t="s">
        <v>482</v>
      </c>
      <c r="D947" s="178" t="s">
        <v>57</v>
      </c>
      <c r="E947">
        <v>1576.05</v>
      </c>
      <c r="F947">
        <v>236.41</v>
      </c>
      <c r="G947">
        <v>1812.46</v>
      </c>
    </row>
    <row r="948" spans="1:7" x14ac:dyDescent="0.35">
      <c r="A948" s="178" t="s">
        <v>1962</v>
      </c>
      <c r="B948" s="178" t="s">
        <v>1963</v>
      </c>
      <c r="C948" s="178" t="s">
        <v>482</v>
      </c>
      <c r="D948" s="178" t="s">
        <v>57</v>
      </c>
      <c r="E948">
        <v>3484.8</v>
      </c>
      <c r="F948">
        <v>522.73</v>
      </c>
      <c r="G948">
        <v>4007.53</v>
      </c>
    </row>
    <row r="949" spans="1:7" x14ac:dyDescent="0.35">
      <c r="A949" s="178" t="s">
        <v>802</v>
      </c>
      <c r="B949" s="178" t="s">
        <v>1964</v>
      </c>
      <c r="C949" s="178" t="s">
        <v>482</v>
      </c>
      <c r="D949" s="178" t="s">
        <v>57</v>
      </c>
      <c r="E949">
        <v>915.9</v>
      </c>
      <c r="F949">
        <v>137.38999999999999</v>
      </c>
      <c r="G949">
        <v>1053.29</v>
      </c>
    </row>
    <row r="950" spans="1:7" x14ac:dyDescent="0.35">
      <c r="A950" s="178" t="s">
        <v>1724</v>
      </c>
      <c r="B950" s="178" t="s">
        <v>1965</v>
      </c>
      <c r="C950" s="178" t="s">
        <v>482</v>
      </c>
      <c r="D950" s="178" t="s">
        <v>1966</v>
      </c>
      <c r="E950">
        <v>915.6</v>
      </c>
      <c r="F950">
        <v>137.34</v>
      </c>
      <c r="G950">
        <v>1052.94</v>
      </c>
    </row>
    <row r="951" spans="1:7" x14ac:dyDescent="0.35">
      <c r="A951" s="178" t="s">
        <v>918</v>
      </c>
      <c r="B951" s="178" t="s">
        <v>1967</v>
      </c>
      <c r="C951" s="178" t="s">
        <v>482</v>
      </c>
      <c r="D951" s="178" t="s">
        <v>57</v>
      </c>
      <c r="E951">
        <v>24549.8</v>
      </c>
      <c r="F951">
        <v>3682.47</v>
      </c>
      <c r="G951">
        <v>28232.27</v>
      </c>
    </row>
    <row r="952" spans="1:7" x14ac:dyDescent="0.35">
      <c r="A952" s="178" t="s">
        <v>510</v>
      </c>
      <c r="B952" s="178" t="s">
        <v>1968</v>
      </c>
      <c r="C952" s="178" t="s">
        <v>482</v>
      </c>
      <c r="D952" s="178" t="s">
        <v>1969</v>
      </c>
      <c r="E952">
        <v>155</v>
      </c>
      <c r="F952">
        <v>23.25</v>
      </c>
      <c r="G952">
        <v>178.25</v>
      </c>
    </row>
    <row r="953" spans="1:7" x14ac:dyDescent="0.35">
      <c r="A953" s="178" t="s">
        <v>933</v>
      </c>
      <c r="B953" s="178" t="s">
        <v>1970</v>
      </c>
      <c r="C953" s="178" t="s">
        <v>482</v>
      </c>
      <c r="D953" s="178" t="s">
        <v>57</v>
      </c>
      <c r="E953">
        <v>36681.949999999997</v>
      </c>
      <c r="F953">
        <v>5502.29</v>
      </c>
      <c r="G953">
        <v>42184.24</v>
      </c>
    </row>
    <row r="954" spans="1:7" x14ac:dyDescent="0.35">
      <c r="A954" s="178" t="s">
        <v>1942</v>
      </c>
      <c r="B954" s="178" t="s">
        <v>1971</v>
      </c>
      <c r="C954" s="178" t="s">
        <v>482</v>
      </c>
      <c r="D954" s="178" t="s">
        <v>57</v>
      </c>
      <c r="E954">
        <v>1538.65</v>
      </c>
      <c r="F954">
        <v>230.8</v>
      </c>
      <c r="G954">
        <v>1769.45</v>
      </c>
    </row>
    <row r="955" spans="1:7" x14ac:dyDescent="0.35">
      <c r="A955" s="178" t="s">
        <v>1501</v>
      </c>
      <c r="B955" s="178" t="s">
        <v>1972</v>
      </c>
      <c r="C955" s="178" t="s">
        <v>482</v>
      </c>
      <c r="D955" s="178" t="s">
        <v>57</v>
      </c>
      <c r="E955">
        <v>722.4</v>
      </c>
      <c r="F955">
        <v>108.36</v>
      </c>
      <c r="G955">
        <v>830.76</v>
      </c>
    </row>
    <row r="956" spans="1:7" x14ac:dyDescent="0.35">
      <c r="A956" s="178" t="s">
        <v>652</v>
      </c>
      <c r="B956" s="178" t="s">
        <v>1973</v>
      </c>
      <c r="C956" s="178" t="s">
        <v>482</v>
      </c>
      <c r="D956" s="178" t="s">
        <v>57</v>
      </c>
      <c r="E956">
        <v>4179</v>
      </c>
      <c r="F956">
        <v>626.85</v>
      </c>
      <c r="G956">
        <v>4805.8500000000004</v>
      </c>
    </row>
    <row r="957" spans="1:7" x14ac:dyDescent="0.35">
      <c r="A957" s="178" t="s">
        <v>496</v>
      </c>
      <c r="B957" s="178" t="s">
        <v>1974</v>
      </c>
      <c r="C957" s="178" t="s">
        <v>482</v>
      </c>
      <c r="D957" s="178" t="s">
        <v>1975</v>
      </c>
      <c r="E957">
        <v>4917.8999999999996</v>
      </c>
      <c r="F957">
        <v>737.69</v>
      </c>
      <c r="G957">
        <v>5655.59</v>
      </c>
    </row>
    <row r="958" spans="1:7" x14ac:dyDescent="0.35">
      <c r="A958" s="178" t="s">
        <v>496</v>
      </c>
      <c r="B958" s="178" t="s">
        <v>1976</v>
      </c>
      <c r="C958" s="178" t="s">
        <v>482</v>
      </c>
      <c r="D958" s="178" t="s">
        <v>1475</v>
      </c>
      <c r="E958">
        <v>7903.4</v>
      </c>
      <c r="F958">
        <v>1185.51</v>
      </c>
      <c r="G958">
        <v>9088.91</v>
      </c>
    </row>
    <row r="959" spans="1:7" x14ac:dyDescent="0.35">
      <c r="A959" s="178" t="s">
        <v>1977</v>
      </c>
      <c r="B959" s="178" t="s">
        <v>1978</v>
      </c>
      <c r="C959" s="178" t="s">
        <v>482</v>
      </c>
      <c r="D959">
        <v>1002099</v>
      </c>
      <c r="E959">
        <v>13344.1</v>
      </c>
      <c r="F959">
        <v>2001.62</v>
      </c>
      <c r="G959">
        <v>15345.72</v>
      </c>
    </row>
    <row r="960" spans="1:7" x14ac:dyDescent="0.35">
      <c r="A960" s="178" t="s">
        <v>1979</v>
      </c>
      <c r="B960" s="178" t="s">
        <v>1980</v>
      </c>
      <c r="C960" s="178" t="s">
        <v>482</v>
      </c>
      <c r="D960" s="178" t="s">
        <v>57</v>
      </c>
      <c r="E960">
        <v>2907.75</v>
      </c>
      <c r="F960">
        <v>436.16</v>
      </c>
      <c r="G960">
        <v>3343.91</v>
      </c>
    </row>
    <row r="961" spans="1:7" x14ac:dyDescent="0.35">
      <c r="A961" s="178" t="s">
        <v>1981</v>
      </c>
      <c r="B961" s="178" t="s">
        <v>1982</v>
      </c>
      <c r="C961" s="178" t="s">
        <v>482</v>
      </c>
      <c r="D961" s="178" t="s">
        <v>57</v>
      </c>
      <c r="E961">
        <v>7141.8</v>
      </c>
      <c r="F961">
        <v>1071.28</v>
      </c>
      <c r="G961">
        <v>8213.08</v>
      </c>
    </row>
    <row r="962" spans="1:7" x14ac:dyDescent="0.35">
      <c r="A962" s="178" t="s">
        <v>1537</v>
      </c>
      <c r="B962" s="178" t="s">
        <v>1983</v>
      </c>
      <c r="C962" s="178" t="s">
        <v>482</v>
      </c>
      <c r="D962" s="178" t="s">
        <v>57</v>
      </c>
      <c r="E962">
        <v>1412.9</v>
      </c>
      <c r="F962">
        <v>211.94</v>
      </c>
      <c r="G962">
        <v>1624.84</v>
      </c>
    </row>
    <row r="963" spans="1:7" x14ac:dyDescent="0.35">
      <c r="A963" s="178" t="s">
        <v>1984</v>
      </c>
      <c r="B963" s="178" t="s">
        <v>1985</v>
      </c>
      <c r="C963" s="178" t="s">
        <v>482</v>
      </c>
      <c r="D963" s="178" t="s">
        <v>57</v>
      </c>
      <c r="E963">
        <v>1671</v>
      </c>
      <c r="F963">
        <v>250.65</v>
      </c>
      <c r="G963">
        <v>1921.65</v>
      </c>
    </row>
    <row r="964" spans="1:7" x14ac:dyDescent="0.35">
      <c r="A964" s="178" t="s">
        <v>1986</v>
      </c>
      <c r="B964" s="178" t="s">
        <v>1987</v>
      </c>
      <c r="C964" s="178" t="s">
        <v>482</v>
      </c>
      <c r="D964" s="178" t="s">
        <v>57</v>
      </c>
      <c r="E964">
        <v>3127.6</v>
      </c>
      <c r="F964">
        <v>469.14</v>
      </c>
      <c r="G964">
        <v>3596.74</v>
      </c>
    </row>
    <row r="965" spans="1:7" x14ac:dyDescent="0.35">
      <c r="A965" s="178" t="s">
        <v>679</v>
      </c>
      <c r="B965" s="178" t="s">
        <v>1988</v>
      </c>
      <c r="C965" s="178" t="s">
        <v>482</v>
      </c>
      <c r="D965" s="178" t="s">
        <v>57</v>
      </c>
      <c r="E965">
        <v>6050.55</v>
      </c>
      <c r="F965">
        <v>907.58</v>
      </c>
      <c r="G965">
        <v>6958.13</v>
      </c>
    </row>
    <row r="966" spans="1:7" x14ac:dyDescent="0.35">
      <c r="A966" s="178" t="s">
        <v>388</v>
      </c>
      <c r="B966" s="178" t="s">
        <v>1989</v>
      </c>
      <c r="C966" s="178" t="s">
        <v>482</v>
      </c>
      <c r="D966" s="178" t="s">
        <v>57</v>
      </c>
      <c r="E966">
        <v>1576.75</v>
      </c>
      <c r="F966">
        <v>236.51</v>
      </c>
      <c r="G966">
        <v>1813.26</v>
      </c>
    </row>
    <row r="967" spans="1:7" x14ac:dyDescent="0.35">
      <c r="A967" s="178" t="s">
        <v>1990</v>
      </c>
      <c r="B967" s="178" t="s">
        <v>1991</v>
      </c>
      <c r="C967" s="178" t="s">
        <v>482</v>
      </c>
      <c r="D967" s="178" t="s">
        <v>57</v>
      </c>
      <c r="E967">
        <v>2378.5</v>
      </c>
      <c r="F967">
        <v>356.78</v>
      </c>
      <c r="G967">
        <v>2735.28</v>
      </c>
    </row>
    <row r="968" spans="1:7" x14ac:dyDescent="0.35">
      <c r="A968" s="178" t="s">
        <v>616</v>
      </c>
      <c r="B968" s="178" t="s">
        <v>1992</v>
      </c>
      <c r="C968" s="178" t="s">
        <v>482</v>
      </c>
      <c r="D968" s="178" t="s">
        <v>57</v>
      </c>
      <c r="E968">
        <v>1242</v>
      </c>
      <c r="F968">
        <v>186.3</v>
      </c>
      <c r="G968">
        <v>1428.3</v>
      </c>
    </row>
    <row r="969" spans="1:7" x14ac:dyDescent="0.35">
      <c r="A969" s="178" t="s">
        <v>1993</v>
      </c>
      <c r="B969" s="178" t="s">
        <v>1994</v>
      </c>
      <c r="C969" s="178" t="s">
        <v>482</v>
      </c>
      <c r="D969" s="178" t="s">
        <v>57</v>
      </c>
      <c r="E969">
        <v>2773.5</v>
      </c>
      <c r="F969">
        <v>416.03</v>
      </c>
      <c r="G969">
        <v>3189.53</v>
      </c>
    </row>
    <row r="970" spans="1:7" x14ac:dyDescent="0.35">
      <c r="A970" s="178" t="s">
        <v>868</v>
      </c>
      <c r="B970" s="178" t="s">
        <v>1995</v>
      </c>
      <c r="C970" s="178" t="s">
        <v>482</v>
      </c>
      <c r="D970" s="178" t="s">
        <v>57</v>
      </c>
      <c r="E970">
        <v>8478.75</v>
      </c>
      <c r="F970">
        <v>1271.82</v>
      </c>
      <c r="G970">
        <v>9750.57</v>
      </c>
    </row>
    <row r="971" spans="1:7" x14ac:dyDescent="0.35">
      <c r="A971" s="178" t="s">
        <v>1996</v>
      </c>
      <c r="B971" s="178" t="s">
        <v>1997</v>
      </c>
      <c r="C971" s="178" t="s">
        <v>482</v>
      </c>
      <c r="D971" s="178" t="s">
        <v>1998</v>
      </c>
      <c r="E971">
        <v>7968.3</v>
      </c>
      <c r="F971">
        <v>1195.25</v>
      </c>
      <c r="G971">
        <v>9163.5499999999993</v>
      </c>
    </row>
    <row r="972" spans="1:7" x14ac:dyDescent="0.35">
      <c r="A972" s="178" t="s">
        <v>409</v>
      </c>
      <c r="B972" s="178" t="s">
        <v>1999</v>
      </c>
      <c r="C972" s="178" t="s">
        <v>482</v>
      </c>
      <c r="D972" s="178" t="s">
        <v>57</v>
      </c>
      <c r="E972">
        <v>985.6</v>
      </c>
      <c r="F972">
        <v>147.84</v>
      </c>
      <c r="G972">
        <v>1133.44</v>
      </c>
    </row>
    <row r="973" spans="1:7" x14ac:dyDescent="0.35">
      <c r="A973" s="178" t="s">
        <v>2000</v>
      </c>
      <c r="B973" s="178" t="s">
        <v>2001</v>
      </c>
      <c r="C973" s="178" t="s">
        <v>482</v>
      </c>
      <c r="D973" s="178" t="s">
        <v>2002</v>
      </c>
      <c r="E973">
        <v>1528.1</v>
      </c>
      <c r="F973">
        <v>229.22</v>
      </c>
      <c r="G973">
        <v>1757.32</v>
      </c>
    </row>
    <row r="974" spans="1:7" x14ac:dyDescent="0.35">
      <c r="A974" s="178" t="s">
        <v>2003</v>
      </c>
      <c r="B974" s="178" t="s">
        <v>2004</v>
      </c>
      <c r="C974" s="178" t="s">
        <v>482</v>
      </c>
      <c r="D974" s="178" t="s">
        <v>57</v>
      </c>
      <c r="E974">
        <v>2249.9899999999998</v>
      </c>
      <c r="F974">
        <v>337.5</v>
      </c>
      <c r="G974">
        <v>2587.4899999999998</v>
      </c>
    </row>
    <row r="975" spans="1:7" x14ac:dyDescent="0.35">
      <c r="A975" s="178" t="s">
        <v>709</v>
      </c>
      <c r="B975" s="178" t="s">
        <v>2005</v>
      </c>
      <c r="C975" s="178" t="s">
        <v>482</v>
      </c>
      <c r="D975" s="178" t="s">
        <v>57</v>
      </c>
      <c r="E975">
        <v>6650.2</v>
      </c>
      <c r="F975">
        <v>997.54</v>
      </c>
      <c r="G975">
        <v>7647.74</v>
      </c>
    </row>
    <row r="976" spans="1:7" x14ac:dyDescent="0.35">
      <c r="A976" s="178" t="s">
        <v>383</v>
      </c>
      <c r="B976" s="178" t="s">
        <v>2006</v>
      </c>
      <c r="C976" s="178" t="s">
        <v>482</v>
      </c>
      <c r="D976" s="178" t="s">
        <v>57</v>
      </c>
      <c r="E976">
        <v>1599.8</v>
      </c>
      <c r="F976">
        <v>239.97</v>
      </c>
      <c r="G976">
        <v>1839.77</v>
      </c>
    </row>
    <row r="977" spans="1:7" x14ac:dyDescent="0.35">
      <c r="A977" s="178" t="s">
        <v>2007</v>
      </c>
      <c r="B977" s="178" t="s">
        <v>2008</v>
      </c>
      <c r="C977" s="178" t="s">
        <v>482</v>
      </c>
      <c r="D977" s="178" t="s">
        <v>2009</v>
      </c>
      <c r="E977">
        <v>20930.099999999999</v>
      </c>
      <c r="F977">
        <v>3139.52</v>
      </c>
      <c r="G977">
        <v>24069.62</v>
      </c>
    </row>
    <row r="978" spans="1:7" x14ac:dyDescent="0.35">
      <c r="A978" s="178" t="s">
        <v>2010</v>
      </c>
      <c r="B978" s="178" t="s">
        <v>2011</v>
      </c>
      <c r="C978" s="178" t="s">
        <v>482</v>
      </c>
      <c r="D978" s="178" t="s">
        <v>57</v>
      </c>
      <c r="E978">
        <v>883.95</v>
      </c>
      <c r="F978">
        <v>132.59</v>
      </c>
      <c r="G978">
        <v>1016.54</v>
      </c>
    </row>
    <row r="979" spans="1:7" x14ac:dyDescent="0.35">
      <c r="A979" s="178" t="s">
        <v>454</v>
      </c>
      <c r="B979" s="178" t="s">
        <v>2012</v>
      </c>
      <c r="C979" s="178" t="s">
        <v>482</v>
      </c>
      <c r="D979" s="178" t="s">
        <v>57</v>
      </c>
      <c r="E979">
        <v>769.5</v>
      </c>
      <c r="F979">
        <v>115.43</v>
      </c>
      <c r="G979">
        <v>884.93</v>
      </c>
    </row>
    <row r="980" spans="1:7" x14ac:dyDescent="0.35">
      <c r="A980" s="178" t="s">
        <v>2007</v>
      </c>
      <c r="B980" s="178" t="s">
        <v>2013</v>
      </c>
      <c r="C980" s="178" t="s">
        <v>482</v>
      </c>
      <c r="D980" s="178" t="s">
        <v>2014</v>
      </c>
      <c r="E980">
        <v>18220.7</v>
      </c>
      <c r="F980">
        <v>2733.11</v>
      </c>
      <c r="G980">
        <v>20953.810000000001</v>
      </c>
    </row>
    <row r="981" spans="1:7" x14ac:dyDescent="0.35">
      <c r="A981" s="178" t="s">
        <v>1993</v>
      </c>
      <c r="B981" s="178" t="s">
        <v>2015</v>
      </c>
      <c r="C981" s="178" t="s">
        <v>482</v>
      </c>
      <c r="D981" s="178" t="s">
        <v>57</v>
      </c>
      <c r="E981">
        <v>1635.4</v>
      </c>
      <c r="F981">
        <v>245.31</v>
      </c>
      <c r="G981">
        <v>1880.71</v>
      </c>
    </row>
    <row r="982" spans="1:7" x14ac:dyDescent="0.35">
      <c r="A982" s="178" t="s">
        <v>1368</v>
      </c>
      <c r="B982" s="178" t="s">
        <v>2016</v>
      </c>
      <c r="C982" s="178" t="s">
        <v>482</v>
      </c>
      <c r="D982" s="178" t="s">
        <v>57</v>
      </c>
      <c r="E982">
        <v>805.95</v>
      </c>
      <c r="F982">
        <v>120.89</v>
      </c>
      <c r="G982">
        <v>926.84</v>
      </c>
    </row>
    <row r="983" spans="1:7" x14ac:dyDescent="0.35">
      <c r="A983" s="178" t="s">
        <v>866</v>
      </c>
      <c r="B983" s="178" t="s">
        <v>2017</v>
      </c>
      <c r="C983" s="178" t="s">
        <v>482</v>
      </c>
      <c r="D983" s="178" t="s">
        <v>57</v>
      </c>
      <c r="E983">
        <v>29430.65</v>
      </c>
      <c r="F983">
        <v>4414.6000000000004</v>
      </c>
      <c r="G983">
        <v>33845.25</v>
      </c>
    </row>
    <row r="984" spans="1:7" x14ac:dyDescent="0.35">
      <c r="A984" s="178" t="s">
        <v>326</v>
      </c>
      <c r="B984" s="178" t="s">
        <v>2018</v>
      </c>
      <c r="C984" s="178" t="s">
        <v>482</v>
      </c>
      <c r="D984" s="178" t="s">
        <v>2019</v>
      </c>
      <c r="E984">
        <v>964.75</v>
      </c>
      <c r="F984">
        <v>144.71</v>
      </c>
      <c r="G984">
        <v>1109.46</v>
      </c>
    </row>
    <row r="985" spans="1:7" x14ac:dyDescent="0.35">
      <c r="A985" s="178" t="s">
        <v>2020</v>
      </c>
      <c r="B985" s="178" t="s">
        <v>2021</v>
      </c>
      <c r="C985" s="178" t="s">
        <v>482</v>
      </c>
      <c r="D985" s="178" t="s">
        <v>57</v>
      </c>
      <c r="E985">
        <v>1512.3</v>
      </c>
      <c r="F985">
        <v>226.85</v>
      </c>
      <c r="G985">
        <v>1739.15</v>
      </c>
    </row>
    <row r="986" spans="1:7" x14ac:dyDescent="0.35">
      <c r="A986" s="178" t="s">
        <v>451</v>
      </c>
      <c r="B986" s="178" t="s">
        <v>2022</v>
      </c>
      <c r="C986" s="178" t="s">
        <v>482</v>
      </c>
      <c r="D986">
        <v>36309</v>
      </c>
      <c r="E986">
        <v>2863.2</v>
      </c>
      <c r="F986">
        <v>429.48</v>
      </c>
      <c r="G986">
        <v>3292.68</v>
      </c>
    </row>
    <row r="987" spans="1:7" x14ac:dyDescent="0.35">
      <c r="A987" s="178" t="s">
        <v>904</v>
      </c>
      <c r="B987" s="178" t="s">
        <v>2023</v>
      </c>
      <c r="C987" s="178" t="s">
        <v>482</v>
      </c>
      <c r="D987" s="178" t="s">
        <v>57</v>
      </c>
      <c r="E987">
        <v>5063</v>
      </c>
      <c r="F987">
        <v>759.45</v>
      </c>
      <c r="G987">
        <v>5822.45</v>
      </c>
    </row>
    <row r="988" spans="1:7" x14ac:dyDescent="0.35">
      <c r="A988" s="178" t="s">
        <v>1147</v>
      </c>
      <c r="B988" s="178" t="s">
        <v>2024</v>
      </c>
      <c r="C988" s="178" t="s">
        <v>482</v>
      </c>
      <c r="D988" s="178" t="s">
        <v>57</v>
      </c>
      <c r="E988">
        <v>1704.79</v>
      </c>
      <c r="F988">
        <v>255.72</v>
      </c>
      <c r="G988">
        <v>1960.51</v>
      </c>
    </row>
    <row r="989" spans="1:7" x14ac:dyDescent="0.35">
      <c r="A989" s="178" t="s">
        <v>804</v>
      </c>
      <c r="B989" s="178" t="s">
        <v>2025</v>
      </c>
      <c r="C989" s="178" t="s">
        <v>482</v>
      </c>
      <c r="D989" s="178" t="s">
        <v>57</v>
      </c>
      <c r="E989">
        <v>8536.7999999999993</v>
      </c>
      <c r="F989">
        <v>1280.52</v>
      </c>
      <c r="G989">
        <v>9817.32</v>
      </c>
    </row>
    <row r="990" spans="1:7" x14ac:dyDescent="0.35">
      <c r="A990" s="178" t="s">
        <v>673</v>
      </c>
      <c r="B990" s="178" t="s">
        <v>2026</v>
      </c>
      <c r="C990" s="178" t="s">
        <v>482</v>
      </c>
      <c r="D990" s="178" t="s">
        <v>57</v>
      </c>
      <c r="E990">
        <v>6340.95</v>
      </c>
      <c r="F990">
        <v>951.14</v>
      </c>
      <c r="G990">
        <v>7292.09</v>
      </c>
    </row>
    <row r="991" spans="1:7" x14ac:dyDescent="0.35">
      <c r="A991" s="178" t="s">
        <v>1059</v>
      </c>
      <c r="B991" s="178" t="s">
        <v>2027</v>
      </c>
      <c r="C991" s="178" t="s">
        <v>482</v>
      </c>
      <c r="D991" s="178" t="s">
        <v>57</v>
      </c>
      <c r="E991">
        <v>921.4</v>
      </c>
      <c r="F991">
        <v>138.21</v>
      </c>
      <c r="G991">
        <v>1059.6099999999999</v>
      </c>
    </row>
    <row r="992" spans="1:7" x14ac:dyDescent="0.35">
      <c r="A992" s="178" t="s">
        <v>503</v>
      </c>
      <c r="B992" s="178" t="s">
        <v>2028</v>
      </c>
      <c r="C992" s="178" t="s">
        <v>482</v>
      </c>
      <c r="D992" s="178" t="s">
        <v>57</v>
      </c>
      <c r="E992">
        <v>14287</v>
      </c>
      <c r="F992">
        <v>2143.0500000000002</v>
      </c>
      <c r="G992">
        <v>16430.05</v>
      </c>
    </row>
    <row r="993" spans="1:7" x14ac:dyDescent="0.35">
      <c r="A993" s="178" t="s">
        <v>1347</v>
      </c>
      <c r="B993" s="178" t="s">
        <v>2029</v>
      </c>
      <c r="C993" s="178" t="s">
        <v>482</v>
      </c>
      <c r="D993" s="178" t="s">
        <v>57</v>
      </c>
      <c r="E993">
        <v>1161.3</v>
      </c>
      <c r="F993">
        <v>174.2</v>
      </c>
      <c r="G993">
        <v>1335.5</v>
      </c>
    </row>
    <row r="994" spans="1:7" x14ac:dyDescent="0.35">
      <c r="A994" s="178" t="s">
        <v>2030</v>
      </c>
      <c r="B994" s="178" t="s">
        <v>2031</v>
      </c>
      <c r="C994" s="178" t="s">
        <v>482</v>
      </c>
      <c r="D994" s="178" t="s">
        <v>57</v>
      </c>
      <c r="E994">
        <v>6750</v>
      </c>
      <c r="F994">
        <v>1012.5</v>
      </c>
      <c r="G994">
        <v>7762.5</v>
      </c>
    </row>
    <row r="995" spans="1:7" x14ac:dyDescent="0.35">
      <c r="A995" s="178" t="s">
        <v>2032</v>
      </c>
      <c r="B995" s="178" t="s">
        <v>2033</v>
      </c>
      <c r="C995" s="178" t="s">
        <v>482</v>
      </c>
      <c r="D995" s="178" t="s">
        <v>57</v>
      </c>
      <c r="E995">
        <v>1200</v>
      </c>
      <c r="F995">
        <v>180</v>
      </c>
      <c r="G995">
        <v>1380</v>
      </c>
    </row>
    <row r="996" spans="1:7" x14ac:dyDescent="0.35">
      <c r="A996" s="178" t="s">
        <v>380</v>
      </c>
      <c r="B996" s="178" t="s">
        <v>2034</v>
      </c>
      <c r="C996" s="178" t="s">
        <v>501</v>
      </c>
      <c r="D996" s="178" t="s">
        <v>57</v>
      </c>
      <c r="E996">
        <v>766.5</v>
      </c>
      <c r="F996">
        <v>114.98</v>
      </c>
      <c r="G996">
        <v>881.48</v>
      </c>
    </row>
    <row r="997" spans="1:7" x14ac:dyDescent="0.35">
      <c r="A997" s="178" t="s">
        <v>554</v>
      </c>
      <c r="B997" s="178" t="s">
        <v>2035</v>
      </c>
      <c r="C997" s="178" t="s">
        <v>501</v>
      </c>
      <c r="D997" s="178" t="s">
        <v>2036</v>
      </c>
      <c r="E997">
        <v>37871.599999999999</v>
      </c>
      <c r="F997">
        <v>5680.74</v>
      </c>
      <c r="G997">
        <v>43552.34</v>
      </c>
    </row>
    <row r="998" spans="1:7" x14ac:dyDescent="0.35">
      <c r="A998" s="178" t="s">
        <v>639</v>
      </c>
      <c r="B998" s="178" t="s">
        <v>2037</v>
      </c>
      <c r="C998" s="178" t="s">
        <v>501</v>
      </c>
      <c r="D998" s="178" t="s">
        <v>57</v>
      </c>
      <c r="E998">
        <v>646.54999999999995</v>
      </c>
      <c r="F998">
        <v>96.98</v>
      </c>
      <c r="G998">
        <v>743.53</v>
      </c>
    </row>
    <row r="999" spans="1:7" x14ac:dyDescent="0.35">
      <c r="A999" s="178" t="s">
        <v>2038</v>
      </c>
      <c r="B999" s="178" t="s">
        <v>2039</v>
      </c>
      <c r="C999" s="178" t="s">
        <v>501</v>
      </c>
      <c r="D999" s="178" t="s">
        <v>1337</v>
      </c>
      <c r="E999">
        <v>856.95</v>
      </c>
      <c r="F999">
        <v>128.54</v>
      </c>
      <c r="G999">
        <v>985.49</v>
      </c>
    </row>
    <row r="1000" spans="1:7" x14ac:dyDescent="0.35">
      <c r="A1000" s="178" t="s">
        <v>1276</v>
      </c>
      <c r="B1000" s="178" t="s">
        <v>2040</v>
      </c>
      <c r="C1000" s="178" t="s">
        <v>501</v>
      </c>
      <c r="D1000" s="178" t="s">
        <v>2041</v>
      </c>
      <c r="E1000">
        <v>2701.5</v>
      </c>
      <c r="F1000">
        <v>405.23</v>
      </c>
      <c r="G1000">
        <v>3106.73</v>
      </c>
    </row>
    <row r="1001" spans="1:7" x14ac:dyDescent="0.35">
      <c r="A1001" s="178" t="s">
        <v>1558</v>
      </c>
      <c r="B1001" s="178" t="s">
        <v>2042</v>
      </c>
      <c r="C1001" s="178" t="s">
        <v>501</v>
      </c>
      <c r="D1001" s="178" t="s">
        <v>2043</v>
      </c>
      <c r="E1001">
        <v>7785.05</v>
      </c>
      <c r="F1001">
        <v>1167.76</v>
      </c>
      <c r="G1001">
        <v>8952.81</v>
      </c>
    </row>
    <row r="1002" spans="1:7" x14ac:dyDescent="0.35">
      <c r="A1002" s="178" t="s">
        <v>2044</v>
      </c>
      <c r="B1002" s="178" t="s">
        <v>2045</v>
      </c>
      <c r="C1002" s="178" t="s">
        <v>501</v>
      </c>
      <c r="D1002" s="178" t="s">
        <v>2046</v>
      </c>
      <c r="E1002">
        <v>985.5</v>
      </c>
      <c r="F1002">
        <v>147.83000000000001</v>
      </c>
      <c r="G1002">
        <v>1133.33</v>
      </c>
    </row>
    <row r="1003" spans="1:7" x14ac:dyDescent="0.35">
      <c r="A1003" s="178" t="s">
        <v>2047</v>
      </c>
      <c r="B1003" s="178" t="s">
        <v>2048</v>
      </c>
      <c r="C1003" s="178" t="s">
        <v>501</v>
      </c>
      <c r="D1003" s="178" t="s">
        <v>2049</v>
      </c>
      <c r="E1003">
        <v>902.5</v>
      </c>
      <c r="F1003">
        <v>135.38</v>
      </c>
      <c r="G1003">
        <v>1037.8800000000001</v>
      </c>
    </row>
    <row r="1004" spans="1:7" x14ac:dyDescent="0.35">
      <c r="A1004" s="178" t="s">
        <v>1885</v>
      </c>
      <c r="B1004" s="178" t="s">
        <v>2050</v>
      </c>
      <c r="C1004" s="178" t="s">
        <v>501</v>
      </c>
      <c r="D1004" s="178" t="s">
        <v>2051</v>
      </c>
      <c r="E1004">
        <v>1336.9</v>
      </c>
      <c r="F1004">
        <v>200.54</v>
      </c>
      <c r="G1004">
        <v>1537.44</v>
      </c>
    </row>
    <row r="1005" spans="1:7" x14ac:dyDescent="0.35">
      <c r="A1005" s="178" t="s">
        <v>2052</v>
      </c>
      <c r="B1005" s="178" t="s">
        <v>2053</v>
      </c>
      <c r="C1005" s="178" t="s">
        <v>501</v>
      </c>
      <c r="D1005" s="178" t="s">
        <v>57</v>
      </c>
      <c r="E1005">
        <v>1548</v>
      </c>
      <c r="F1005">
        <v>232.2</v>
      </c>
      <c r="G1005">
        <v>1780.2</v>
      </c>
    </row>
    <row r="1006" spans="1:7" x14ac:dyDescent="0.35">
      <c r="A1006" s="178" t="s">
        <v>2054</v>
      </c>
      <c r="B1006" s="178" t="s">
        <v>2055</v>
      </c>
      <c r="C1006" s="178" t="s">
        <v>501</v>
      </c>
      <c r="D1006" s="178" t="s">
        <v>57</v>
      </c>
      <c r="E1006">
        <v>2028</v>
      </c>
      <c r="F1006">
        <v>304.2</v>
      </c>
      <c r="G1006">
        <v>2332.1999999999998</v>
      </c>
    </row>
    <row r="1007" spans="1:7" x14ac:dyDescent="0.35">
      <c r="A1007" s="178" t="s">
        <v>2056</v>
      </c>
      <c r="B1007" s="178" t="s">
        <v>2057</v>
      </c>
      <c r="C1007" s="178" t="s">
        <v>501</v>
      </c>
      <c r="D1007" s="178" t="s">
        <v>57</v>
      </c>
      <c r="E1007">
        <v>1461.6</v>
      </c>
      <c r="F1007">
        <v>219.24</v>
      </c>
      <c r="G1007">
        <v>1680.84</v>
      </c>
    </row>
    <row r="1008" spans="1:7" x14ac:dyDescent="0.35">
      <c r="A1008" s="178" t="s">
        <v>510</v>
      </c>
      <c r="B1008" s="178" t="s">
        <v>2058</v>
      </c>
      <c r="C1008" s="178" t="s">
        <v>501</v>
      </c>
      <c r="D1008" s="178" t="s">
        <v>2059</v>
      </c>
      <c r="E1008">
        <v>4375</v>
      </c>
      <c r="F1008">
        <v>656.25</v>
      </c>
      <c r="G1008">
        <v>5031.25</v>
      </c>
    </row>
    <row r="1009" spans="1:7" x14ac:dyDescent="0.35">
      <c r="A1009" s="178" t="s">
        <v>566</v>
      </c>
      <c r="B1009" s="178" t="s">
        <v>2060</v>
      </c>
      <c r="C1009" s="178" t="s">
        <v>501</v>
      </c>
      <c r="D1009" s="178" t="s">
        <v>57</v>
      </c>
      <c r="E1009">
        <v>8538.25</v>
      </c>
      <c r="F1009">
        <v>1280.74</v>
      </c>
      <c r="G1009">
        <v>9818.99</v>
      </c>
    </row>
    <row r="1010" spans="1:7" x14ac:dyDescent="0.35">
      <c r="A1010" s="178" t="s">
        <v>1689</v>
      </c>
      <c r="B1010" s="178" t="s">
        <v>2061</v>
      </c>
      <c r="C1010" s="178" t="s">
        <v>501</v>
      </c>
      <c r="D1010" s="178" t="s">
        <v>57</v>
      </c>
      <c r="E1010">
        <v>1190</v>
      </c>
      <c r="F1010">
        <v>178.5</v>
      </c>
      <c r="G1010">
        <v>1368.5</v>
      </c>
    </row>
    <row r="1011" spans="1:7" x14ac:dyDescent="0.35">
      <c r="A1011" s="178" t="s">
        <v>315</v>
      </c>
      <c r="B1011" s="178" t="s">
        <v>2062</v>
      </c>
      <c r="C1011" s="178" t="s">
        <v>501</v>
      </c>
      <c r="D1011" s="178" t="s">
        <v>57</v>
      </c>
      <c r="E1011">
        <v>1665.2</v>
      </c>
      <c r="F1011">
        <v>249.78</v>
      </c>
      <c r="G1011">
        <v>1914.98</v>
      </c>
    </row>
    <row r="1012" spans="1:7" x14ac:dyDescent="0.35">
      <c r="A1012" s="178" t="s">
        <v>549</v>
      </c>
      <c r="B1012" s="178" t="s">
        <v>2063</v>
      </c>
      <c r="C1012" s="178" t="s">
        <v>501</v>
      </c>
      <c r="D1012" s="178" t="s">
        <v>1355</v>
      </c>
      <c r="E1012">
        <v>13916.8</v>
      </c>
      <c r="F1012">
        <v>2087.52</v>
      </c>
      <c r="G1012">
        <v>16004.32</v>
      </c>
    </row>
    <row r="1013" spans="1:7" x14ac:dyDescent="0.35">
      <c r="A1013" s="178" t="s">
        <v>1465</v>
      </c>
      <c r="B1013" s="178" t="s">
        <v>2064</v>
      </c>
      <c r="C1013" s="178" t="s">
        <v>501</v>
      </c>
      <c r="D1013" s="178" t="s">
        <v>57</v>
      </c>
      <c r="E1013">
        <v>2326.1</v>
      </c>
      <c r="F1013">
        <v>348.92</v>
      </c>
      <c r="G1013">
        <v>2675.02</v>
      </c>
    </row>
    <row r="1014" spans="1:7" x14ac:dyDescent="0.35">
      <c r="A1014" s="178" t="s">
        <v>679</v>
      </c>
      <c r="B1014" s="178" t="s">
        <v>2065</v>
      </c>
      <c r="C1014" s="178" t="s">
        <v>501</v>
      </c>
      <c r="D1014" s="178" t="s">
        <v>57</v>
      </c>
      <c r="E1014">
        <v>671.5</v>
      </c>
      <c r="F1014">
        <v>100.73</v>
      </c>
      <c r="G1014">
        <v>772.23</v>
      </c>
    </row>
    <row r="1015" spans="1:7" x14ac:dyDescent="0.35">
      <c r="A1015" s="178" t="s">
        <v>802</v>
      </c>
      <c r="B1015" s="178" t="s">
        <v>2066</v>
      </c>
      <c r="C1015" s="178" t="s">
        <v>501</v>
      </c>
      <c r="D1015" s="178" t="s">
        <v>57</v>
      </c>
      <c r="E1015">
        <v>1576.05</v>
      </c>
      <c r="F1015">
        <v>236.41</v>
      </c>
      <c r="G1015">
        <v>1812.46</v>
      </c>
    </row>
    <row r="1016" spans="1:7" x14ac:dyDescent="0.35">
      <c r="A1016" s="178" t="s">
        <v>2067</v>
      </c>
      <c r="B1016" s="178" t="s">
        <v>2068</v>
      </c>
      <c r="C1016" s="178" t="s">
        <v>501</v>
      </c>
      <c r="D1016" s="178" t="s">
        <v>57</v>
      </c>
      <c r="E1016">
        <v>25891.7</v>
      </c>
      <c r="F1016">
        <v>3883.79</v>
      </c>
      <c r="G1016">
        <v>29775.49</v>
      </c>
    </row>
    <row r="1017" spans="1:7" x14ac:dyDescent="0.35">
      <c r="A1017" s="178" t="s">
        <v>1757</v>
      </c>
      <c r="B1017" s="178" t="s">
        <v>2069</v>
      </c>
      <c r="C1017" s="178" t="s">
        <v>501</v>
      </c>
      <c r="D1017" s="178" t="s">
        <v>57</v>
      </c>
      <c r="E1017">
        <v>302.54000000000002</v>
      </c>
      <c r="F1017">
        <v>45.38</v>
      </c>
      <c r="G1017">
        <v>347.92</v>
      </c>
    </row>
    <row r="1018" spans="1:7" x14ac:dyDescent="0.35">
      <c r="A1018" s="178" t="s">
        <v>960</v>
      </c>
      <c r="B1018" s="178" t="s">
        <v>2070</v>
      </c>
      <c r="C1018" s="178" t="s">
        <v>501</v>
      </c>
      <c r="D1018" s="178" t="s">
        <v>57</v>
      </c>
      <c r="E1018">
        <v>825.6</v>
      </c>
      <c r="F1018">
        <v>123.84</v>
      </c>
      <c r="G1018">
        <v>949.44</v>
      </c>
    </row>
    <row r="1019" spans="1:7" x14ac:dyDescent="0.35">
      <c r="A1019" s="178" t="s">
        <v>1176</v>
      </c>
      <c r="B1019" s="178" t="s">
        <v>2071</v>
      </c>
      <c r="C1019" s="178" t="s">
        <v>501</v>
      </c>
      <c r="D1019" s="178" t="s">
        <v>57</v>
      </c>
      <c r="E1019">
        <v>623.5</v>
      </c>
      <c r="F1019">
        <v>93.53</v>
      </c>
      <c r="G1019">
        <v>717.03</v>
      </c>
    </row>
    <row r="1020" spans="1:7" x14ac:dyDescent="0.35">
      <c r="A1020" s="178" t="s">
        <v>2072</v>
      </c>
      <c r="B1020" s="178" t="s">
        <v>2073</v>
      </c>
      <c r="C1020" s="178" t="s">
        <v>501</v>
      </c>
      <c r="D1020" s="178" t="s">
        <v>57</v>
      </c>
      <c r="E1020">
        <v>2967.5</v>
      </c>
      <c r="F1020">
        <v>445.12</v>
      </c>
      <c r="G1020">
        <v>3412.62</v>
      </c>
    </row>
    <row r="1021" spans="1:7" x14ac:dyDescent="0.35">
      <c r="A1021" s="178" t="s">
        <v>2074</v>
      </c>
      <c r="B1021" s="178" t="s">
        <v>2075</v>
      </c>
      <c r="C1021" s="178" t="s">
        <v>501</v>
      </c>
      <c r="D1021" s="178" t="s">
        <v>57</v>
      </c>
      <c r="E1021">
        <v>1106</v>
      </c>
      <c r="F1021">
        <v>165.9</v>
      </c>
      <c r="G1021">
        <v>1271.9000000000001</v>
      </c>
    </row>
    <row r="1022" spans="1:7" x14ac:dyDescent="0.35">
      <c r="A1022" s="178" t="s">
        <v>681</v>
      </c>
      <c r="B1022" s="178" t="s">
        <v>2076</v>
      </c>
      <c r="C1022" s="178" t="s">
        <v>501</v>
      </c>
      <c r="D1022" s="178" t="s">
        <v>57</v>
      </c>
      <c r="E1022">
        <v>40467.599999999999</v>
      </c>
      <c r="F1022">
        <v>6070.14</v>
      </c>
      <c r="G1022">
        <v>46537.74</v>
      </c>
    </row>
    <row r="1023" spans="1:7" x14ac:dyDescent="0.35">
      <c r="A1023" s="178" t="s">
        <v>521</v>
      </c>
      <c r="B1023" s="178" t="s">
        <v>2077</v>
      </c>
      <c r="C1023" s="178" t="s">
        <v>501</v>
      </c>
      <c r="D1023" s="178" t="s">
        <v>57</v>
      </c>
      <c r="E1023">
        <v>1165.3</v>
      </c>
      <c r="F1023">
        <v>174.8</v>
      </c>
      <c r="G1023">
        <v>1340.1</v>
      </c>
    </row>
    <row r="1024" spans="1:7" x14ac:dyDescent="0.35">
      <c r="A1024" s="178" t="s">
        <v>388</v>
      </c>
      <c r="B1024" s="178" t="s">
        <v>2078</v>
      </c>
      <c r="C1024" s="178" t="s">
        <v>501</v>
      </c>
      <c r="D1024" s="178" t="s">
        <v>57</v>
      </c>
      <c r="E1024">
        <v>2501.5</v>
      </c>
      <c r="F1024">
        <v>375.23</v>
      </c>
      <c r="G1024">
        <v>2876.73</v>
      </c>
    </row>
    <row r="1025" spans="1:7" x14ac:dyDescent="0.35">
      <c r="A1025" s="178" t="s">
        <v>2079</v>
      </c>
      <c r="B1025" s="178" t="s">
        <v>2080</v>
      </c>
      <c r="C1025" s="178" t="s">
        <v>501</v>
      </c>
      <c r="D1025" s="178" t="s">
        <v>2081</v>
      </c>
      <c r="E1025">
        <v>16327.7</v>
      </c>
      <c r="F1025">
        <v>2449.16</v>
      </c>
      <c r="G1025">
        <v>18776.86</v>
      </c>
    </row>
    <row r="1026" spans="1:7" x14ac:dyDescent="0.35">
      <c r="A1026" s="178" t="s">
        <v>2082</v>
      </c>
      <c r="B1026" s="178" t="s">
        <v>2083</v>
      </c>
      <c r="C1026" s="178" t="s">
        <v>501</v>
      </c>
      <c r="D1026" s="178" t="s">
        <v>2084</v>
      </c>
      <c r="E1026">
        <v>920</v>
      </c>
      <c r="F1026">
        <v>138</v>
      </c>
      <c r="G1026">
        <v>1058</v>
      </c>
    </row>
    <row r="1027" spans="1:7" x14ac:dyDescent="0.35">
      <c r="A1027" s="178" t="s">
        <v>388</v>
      </c>
      <c r="B1027" s="178" t="s">
        <v>2085</v>
      </c>
      <c r="C1027" s="178" t="s">
        <v>501</v>
      </c>
      <c r="D1027" s="178" t="s">
        <v>57</v>
      </c>
      <c r="E1027">
        <v>1241.5</v>
      </c>
      <c r="F1027">
        <v>186.23</v>
      </c>
      <c r="G1027">
        <v>1427.73</v>
      </c>
    </row>
    <row r="1028" spans="1:7" x14ac:dyDescent="0.35">
      <c r="A1028" s="178" t="s">
        <v>639</v>
      </c>
      <c r="B1028" s="178" t="s">
        <v>2086</v>
      </c>
      <c r="C1028" s="178" t="s">
        <v>501</v>
      </c>
      <c r="D1028" s="178" t="s">
        <v>2087</v>
      </c>
      <c r="E1028">
        <v>6665.4</v>
      </c>
      <c r="F1028">
        <v>999.81</v>
      </c>
      <c r="G1028">
        <v>7665.21</v>
      </c>
    </row>
    <row r="1029" spans="1:7" x14ac:dyDescent="0.35">
      <c r="A1029" s="178" t="s">
        <v>652</v>
      </c>
      <c r="B1029" s="178" t="s">
        <v>2088</v>
      </c>
      <c r="C1029" s="178" t="s">
        <v>501</v>
      </c>
      <c r="D1029" s="178" t="s">
        <v>57</v>
      </c>
      <c r="E1029">
        <v>6561.15</v>
      </c>
      <c r="F1029">
        <v>984.17</v>
      </c>
      <c r="G1029">
        <v>7545.32</v>
      </c>
    </row>
    <row r="1030" spans="1:7" x14ac:dyDescent="0.35">
      <c r="A1030" s="178" t="s">
        <v>2089</v>
      </c>
      <c r="B1030" s="178" t="s">
        <v>2090</v>
      </c>
      <c r="C1030" s="178" t="s">
        <v>501</v>
      </c>
      <c r="D1030" s="178" t="s">
        <v>57</v>
      </c>
      <c r="E1030">
        <v>2000</v>
      </c>
      <c r="F1030">
        <v>300</v>
      </c>
      <c r="G1030">
        <v>2300</v>
      </c>
    </row>
    <row r="1031" spans="1:7" x14ac:dyDescent="0.35">
      <c r="A1031" s="178" t="s">
        <v>490</v>
      </c>
      <c r="B1031" s="178" t="s">
        <v>2091</v>
      </c>
      <c r="C1031" s="178" t="s">
        <v>501</v>
      </c>
      <c r="D1031" s="178" t="s">
        <v>1909</v>
      </c>
      <c r="E1031">
        <v>933.6</v>
      </c>
      <c r="F1031">
        <v>140.04</v>
      </c>
      <c r="G1031">
        <v>1073.6400000000001</v>
      </c>
    </row>
    <row r="1032" spans="1:7" x14ac:dyDescent="0.35">
      <c r="A1032" s="178" t="s">
        <v>1445</v>
      </c>
      <c r="B1032" s="178" t="s">
        <v>2092</v>
      </c>
      <c r="C1032" s="178" t="s">
        <v>501</v>
      </c>
      <c r="D1032" s="178" t="s">
        <v>57</v>
      </c>
      <c r="E1032">
        <v>3633.5</v>
      </c>
      <c r="F1032">
        <v>545.04</v>
      </c>
      <c r="G1032">
        <v>4178.54</v>
      </c>
    </row>
    <row r="1033" spans="1:7" x14ac:dyDescent="0.35">
      <c r="A1033" s="178" t="s">
        <v>1123</v>
      </c>
      <c r="B1033" s="178" t="s">
        <v>2093</v>
      </c>
      <c r="C1033" s="178" t="s">
        <v>501</v>
      </c>
      <c r="D1033" s="178" t="s">
        <v>57</v>
      </c>
      <c r="E1033">
        <v>724.5</v>
      </c>
      <c r="F1033">
        <v>108.68</v>
      </c>
      <c r="G1033">
        <v>833.18</v>
      </c>
    </row>
    <row r="1034" spans="1:7" x14ac:dyDescent="0.35">
      <c r="A1034" s="178" t="s">
        <v>372</v>
      </c>
      <c r="B1034" s="178" t="s">
        <v>2094</v>
      </c>
      <c r="C1034" s="178" t="s">
        <v>501</v>
      </c>
      <c r="D1034" s="178" t="s">
        <v>476</v>
      </c>
      <c r="E1034">
        <v>1507.85</v>
      </c>
      <c r="F1034">
        <v>226.18</v>
      </c>
      <c r="G1034">
        <v>1734.03</v>
      </c>
    </row>
    <row r="1035" spans="1:7" x14ac:dyDescent="0.35">
      <c r="A1035" s="178" t="s">
        <v>451</v>
      </c>
      <c r="B1035" s="178" t="s">
        <v>2095</v>
      </c>
      <c r="C1035" s="178" t="s">
        <v>501</v>
      </c>
      <c r="D1035">
        <v>36358</v>
      </c>
      <c r="E1035">
        <v>9007.5</v>
      </c>
      <c r="F1035">
        <v>1351.13</v>
      </c>
      <c r="G1035">
        <v>10358.629999999999</v>
      </c>
    </row>
    <row r="1036" spans="1:7" x14ac:dyDescent="0.35">
      <c r="A1036" s="178" t="s">
        <v>451</v>
      </c>
      <c r="B1036" s="178" t="s">
        <v>2096</v>
      </c>
      <c r="C1036" s="178" t="s">
        <v>501</v>
      </c>
      <c r="D1036">
        <v>36357</v>
      </c>
      <c r="E1036">
        <v>10161.6</v>
      </c>
      <c r="F1036">
        <v>1524.24</v>
      </c>
      <c r="G1036">
        <v>11685.84</v>
      </c>
    </row>
    <row r="1037" spans="1:7" x14ac:dyDescent="0.35">
      <c r="A1037" s="178" t="s">
        <v>2097</v>
      </c>
      <c r="B1037" s="178" t="s">
        <v>2098</v>
      </c>
      <c r="C1037" s="178" t="s">
        <v>501</v>
      </c>
      <c r="D1037" s="178" t="s">
        <v>2099</v>
      </c>
      <c r="E1037">
        <v>1116.5</v>
      </c>
      <c r="F1037">
        <v>167.48</v>
      </c>
      <c r="G1037">
        <v>1283.98</v>
      </c>
    </row>
    <row r="1038" spans="1:7" x14ac:dyDescent="0.35">
      <c r="A1038" s="178" t="s">
        <v>451</v>
      </c>
      <c r="B1038" s="178" t="s">
        <v>2100</v>
      </c>
      <c r="C1038" s="178" t="s">
        <v>501</v>
      </c>
      <c r="D1038">
        <v>36367</v>
      </c>
      <c r="E1038">
        <v>11560.8</v>
      </c>
      <c r="F1038">
        <v>1734.12</v>
      </c>
      <c r="G1038">
        <v>13294.92</v>
      </c>
    </row>
    <row r="1039" spans="1:7" x14ac:dyDescent="0.35">
      <c r="A1039" s="178" t="s">
        <v>630</v>
      </c>
      <c r="B1039" s="178" t="s">
        <v>2101</v>
      </c>
      <c r="C1039" s="178" t="s">
        <v>501</v>
      </c>
      <c r="D1039">
        <v>7309</v>
      </c>
      <c r="E1039">
        <v>11779.6</v>
      </c>
      <c r="F1039">
        <v>1766.94</v>
      </c>
      <c r="G1039">
        <v>13546.54</v>
      </c>
    </row>
    <row r="1040" spans="1:7" x14ac:dyDescent="0.35">
      <c r="A1040" s="178" t="s">
        <v>1049</v>
      </c>
      <c r="B1040" s="178" t="s">
        <v>2102</v>
      </c>
      <c r="C1040" s="178" t="s">
        <v>501</v>
      </c>
      <c r="D1040" s="178" t="s">
        <v>57</v>
      </c>
      <c r="E1040">
        <v>40884</v>
      </c>
      <c r="F1040">
        <v>6132.6</v>
      </c>
      <c r="G1040">
        <v>47016.6</v>
      </c>
    </row>
    <row r="1041" spans="1:7" x14ac:dyDescent="0.35">
      <c r="A1041" s="178" t="s">
        <v>2103</v>
      </c>
      <c r="B1041" s="178" t="s">
        <v>2104</v>
      </c>
      <c r="C1041" s="178" t="s">
        <v>501</v>
      </c>
      <c r="D1041" s="178" t="s">
        <v>57</v>
      </c>
      <c r="E1041">
        <v>2244.85</v>
      </c>
      <c r="F1041">
        <v>336.73</v>
      </c>
      <c r="G1041">
        <v>2581.58</v>
      </c>
    </row>
    <row r="1042" spans="1:7" x14ac:dyDescent="0.35">
      <c r="A1042" s="178" t="s">
        <v>451</v>
      </c>
      <c r="B1042" s="178" t="s">
        <v>2105</v>
      </c>
      <c r="C1042" s="178" t="s">
        <v>501</v>
      </c>
      <c r="D1042" s="178" t="s">
        <v>2106</v>
      </c>
      <c r="E1042">
        <v>1908.2</v>
      </c>
      <c r="F1042">
        <v>286.23</v>
      </c>
      <c r="G1042">
        <v>2194.4299999999998</v>
      </c>
    </row>
    <row r="1043" spans="1:7" x14ac:dyDescent="0.35">
      <c r="A1043" s="178" t="s">
        <v>573</v>
      </c>
      <c r="B1043" s="178" t="s">
        <v>2107</v>
      </c>
      <c r="C1043" s="178" t="s">
        <v>501</v>
      </c>
      <c r="D1043" s="178" t="s">
        <v>57</v>
      </c>
      <c r="E1043">
        <v>2662.5</v>
      </c>
      <c r="F1043">
        <v>399.38</v>
      </c>
      <c r="G1043">
        <v>3061.88</v>
      </c>
    </row>
    <row r="1044" spans="1:7" x14ac:dyDescent="0.35">
      <c r="A1044" s="178" t="s">
        <v>2108</v>
      </c>
      <c r="B1044" s="178" t="s">
        <v>2109</v>
      </c>
      <c r="C1044" s="178" t="s">
        <v>501</v>
      </c>
      <c r="D1044" s="178" t="s">
        <v>57</v>
      </c>
      <c r="E1044">
        <v>1397.5</v>
      </c>
      <c r="F1044">
        <v>209.63</v>
      </c>
      <c r="G1044">
        <v>1607.13</v>
      </c>
    </row>
    <row r="1045" spans="1:7" x14ac:dyDescent="0.35">
      <c r="A1045" s="178" t="s">
        <v>627</v>
      </c>
      <c r="B1045" s="178" t="s">
        <v>2110</v>
      </c>
      <c r="C1045" s="178" t="s">
        <v>501</v>
      </c>
      <c r="D1045" s="178" t="s">
        <v>57</v>
      </c>
      <c r="E1045">
        <v>1456.9</v>
      </c>
      <c r="F1045">
        <v>218.53</v>
      </c>
      <c r="G1045">
        <v>1675.43</v>
      </c>
    </row>
    <row r="1046" spans="1:7" x14ac:dyDescent="0.35">
      <c r="A1046" s="178" t="s">
        <v>2111</v>
      </c>
      <c r="B1046" s="178" t="s">
        <v>2112</v>
      </c>
      <c r="C1046" s="178" t="s">
        <v>501</v>
      </c>
      <c r="D1046" s="178" t="s">
        <v>57</v>
      </c>
      <c r="E1046">
        <v>4797.1000000000004</v>
      </c>
      <c r="F1046">
        <v>719.57</v>
      </c>
      <c r="G1046">
        <v>5516.67</v>
      </c>
    </row>
    <row r="1047" spans="1:7" x14ac:dyDescent="0.35">
      <c r="A1047" s="178" t="s">
        <v>2113</v>
      </c>
      <c r="B1047" s="178" t="s">
        <v>2114</v>
      </c>
      <c r="C1047" s="178" t="s">
        <v>501</v>
      </c>
      <c r="D1047" s="178" t="s">
        <v>57</v>
      </c>
      <c r="E1047">
        <v>2537</v>
      </c>
      <c r="F1047">
        <v>380.56</v>
      </c>
      <c r="G1047">
        <v>2917.56</v>
      </c>
    </row>
    <row r="1048" spans="1:7" x14ac:dyDescent="0.35">
      <c r="A1048" s="178" t="s">
        <v>2115</v>
      </c>
      <c r="B1048" s="178" t="s">
        <v>2116</v>
      </c>
      <c r="C1048" s="178" t="s">
        <v>501</v>
      </c>
      <c r="D1048" s="178" t="s">
        <v>57</v>
      </c>
      <c r="E1048">
        <v>1350</v>
      </c>
      <c r="F1048">
        <v>202.5</v>
      </c>
      <c r="G1048">
        <v>1552.5</v>
      </c>
    </row>
    <row r="1049" spans="1:7" x14ac:dyDescent="0.35">
      <c r="A1049" s="178" t="s">
        <v>2117</v>
      </c>
      <c r="B1049" s="178" t="s">
        <v>2118</v>
      </c>
      <c r="C1049" s="178" t="s">
        <v>501</v>
      </c>
      <c r="D1049" s="178" t="s">
        <v>57</v>
      </c>
      <c r="E1049">
        <v>1736.35</v>
      </c>
      <c r="F1049">
        <v>260.45</v>
      </c>
      <c r="G1049">
        <v>1996.8</v>
      </c>
    </row>
    <row r="1050" spans="1:7" x14ac:dyDescent="0.35">
      <c r="A1050" s="178" t="s">
        <v>1591</v>
      </c>
      <c r="B1050" s="178" t="s">
        <v>2119</v>
      </c>
      <c r="C1050" s="178" t="s">
        <v>501</v>
      </c>
      <c r="D1050" s="178" t="s">
        <v>57</v>
      </c>
      <c r="E1050">
        <v>688</v>
      </c>
      <c r="F1050">
        <v>103.2</v>
      </c>
      <c r="G1050">
        <v>791.2</v>
      </c>
    </row>
    <row r="1051" spans="1:7" x14ac:dyDescent="0.35">
      <c r="A1051" s="178" t="s">
        <v>532</v>
      </c>
      <c r="B1051" s="178" t="s">
        <v>2120</v>
      </c>
      <c r="C1051" s="178" t="s">
        <v>501</v>
      </c>
      <c r="D1051" s="178" t="s">
        <v>57</v>
      </c>
      <c r="E1051">
        <v>4555.8999999999996</v>
      </c>
      <c r="F1051">
        <v>683.39</v>
      </c>
      <c r="G1051">
        <v>5239.29</v>
      </c>
    </row>
    <row r="1052" spans="1:7" x14ac:dyDescent="0.35">
      <c r="A1052" s="178" t="s">
        <v>962</v>
      </c>
      <c r="B1052" s="178" t="s">
        <v>2121</v>
      </c>
      <c r="C1052" s="178" t="s">
        <v>501</v>
      </c>
      <c r="D1052" s="178" t="s">
        <v>57</v>
      </c>
      <c r="E1052">
        <v>693</v>
      </c>
      <c r="F1052">
        <v>103.95</v>
      </c>
      <c r="G1052">
        <v>796.95</v>
      </c>
    </row>
    <row r="1053" spans="1:7" x14ac:dyDescent="0.35">
      <c r="A1053" s="178" t="s">
        <v>372</v>
      </c>
      <c r="B1053" s="178" t="s">
        <v>2122</v>
      </c>
      <c r="C1053" s="178" t="s">
        <v>501</v>
      </c>
      <c r="D1053" s="178" t="s">
        <v>57</v>
      </c>
      <c r="E1053">
        <v>65277.45</v>
      </c>
      <c r="F1053">
        <v>9791.6200000000008</v>
      </c>
      <c r="G1053">
        <v>75069.070000000007</v>
      </c>
    </row>
    <row r="1054" spans="1:7" x14ac:dyDescent="0.35">
      <c r="A1054" s="178" t="s">
        <v>2123</v>
      </c>
      <c r="B1054" s="178" t="s">
        <v>2124</v>
      </c>
      <c r="C1054" s="178" t="s">
        <v>501</v>
      </c>
      <c r="D1054" s="178" t="s">
        <v>57</v>
      </c>
      <c r="E1054">
        <v>1224.3</v>
      </c>
      <c r="F1054">
        <v>183.65</v>
      </c>
      <c r="G1054">
        <v>1407.95</v>
      </c>
    </row>
    <row r="1055" spans="1:7" x14ac:dyDescent="0.35">
      <c r="A1055" s="178" t="s">
        <v>454</v>
      </c>
      <c r="B1055" s="178" t="s">
        <v>2125</v>
      </c>
      <c r="C1055" s="178" t="s">
        <v>501</v>
      </c>
      <c r="D1055" s="178" t="s">
        <v>57</v>
      </c>
      <c r="E1055">
        <v>1749.9</v>
      </c>
      <c r="F1055">
        <v>262.49</v>
      </c>
      <c r="G1055">
        <v>2012.39</v>
      </c>
    </row>
    <row r="1056" spans="1:7" x14ac:dyDescent="0.35">
      <c r="A1056" s="178" t="s">
        <v>2126</v>
      </c>
      <c r="B1056" s="178" t="s">
        <v>2127</v>
      </c>
      <c r="C1056" s="178" t="s">
        <v>517</v>
      </c>
      <c r="D1056">
        <v>2160</v>
      </c>
      <c r="E1056">
        <v>1324.8</v>
      </c>
      <c r="F1056">
        <v>198.72</v>
      </c>
      <c r="G1056">
        <v>1523.52</v>
      </c>
    </row>
    <row r="1057" spans="1:7" x14ac:dyDescent="0.35">
      <c r="A1057" s="178" t="s">
        <v>372</v>
      </c>
      <c r="B1057" s="178" t="s">
        <v>2128</v>
      </c>
      <c r="C1057" s="178" t="s">
        <v>517</v>
      </c>
      <c r="D1057" s="178" t="s">
        <v>57</v>
      </c>
      <c r="E1057">
        <v>2024.6</v>
      </c>
      <c r="F1057">
        <v>303.69</v>
      </c>
      <c r="G1057">
        <v>2328.29</v>
      </c>
    </row>
    <row r="1058" spans="1:7" x14ac:dyDescent="0.35">
      <c r="A1058" s="178" t="s">
        <v>661</v>
      </c>
      <c r="B1058" s="178" t="s">
        <v>2129</v>
      </c>
      <c r="C1058" s="178" t="s">
        <v>517</v>
      </c>
      <c r="D1058" s="178" t="s">
        <v>2130</v>
      </c>
      <c r="E1058">
        <v>18987.95</v>
      </c>
      <c r="F1058">
        <v>2848.19</v>
      </c>
      <c r="G1058">
        <v>21836.14</v>
      </c>
    </row>
    <row r="1059" spans="1:7" x14ac:dyDescent="0.35">
      <c r="A1059" s="178" t="s">
        <v>597</v>
      </c>
      <c r="B1059" s="178" t="s">
        <v>2131</v>
      </c>
      <c r="C1059" s="178" t="s">
        <v>517</v>
      </c>
      <c r="D1059" s="178" t="s">
        <v>57</v>
      </c>
      <c r="E1059">
        <v>6135.65</v>
      </c>
      <c r="F1059">
        <v>920.35</v>
      </c>
      <c r="G1059">
        <v>7056</v>
      </c>
    </row>
    <row r="1060" spans="1:7" x14ac:dyDescent="0.35">
      <c r="A1060" s="178" t="s">
        <v>2132</v>
      </c>
      <c r="B1060" s="178" t="s">
        <v>2133</v>
      </c>
      <c r="C1060" s="178" t="s">
        <v>517</v>
      </c>
      <c r="D1060" s="178" t="s">
        <v>57</v>
      </c>
      <c r="E1060">
        <v>7374.6</v>
      </c>
      <c r="F1060">
        <v>1106.19</v>
      </c>
      <c r="G1060">
        <v>8480.7900000000009</v>
      </c>
    </row>
    <row r="1061" spans="1:7" x14ac:dyDescent="0.35">
      <c r="A1061" s="178" t="s">
        <v>2134</v>
      </c>
      <c r="B1061" s="178" t="s">
        <v>2135</v>
      </c>
      <c r="C1061" s="178" t="s">
        <v>517</v>
      </c>
      <c r="D1061" s="178" t="s">
        <v>57</v>
      </c>
      <c r="E1061">
        <v>2960.1</v>
      </c>
      <c r="F1061">
        <v>444.02</v>
      </c>
      <c r="G1061">
        <v>3404.12</v>
      </c>
    </row>
    <row r="1062" spans="1:7" x14ac:dyDescent="0.35">
      <c r="A1062" s="178" t="s">
        <v>2134</v>
      </c>
      <c r="B1062" s="178" t="s">
        <v>2136</v>
      </c>
      <c r="C1062" s="178" t="s">
        <v>517</v>
      </c>
      <c r="D1062" s="178" t="s">
        <v>57</v>
      </c>
      <c r="E1062">
        <v>4701.2</v>
      </c>
      <c r="F1062">
        <v>705.18</v>
      </c>
      <c r="G1062">
        <v>5406.38</v>
      </c>
    </row>
    <row r="1063" spans="1:7" x14ac:dyDescent="0.35">
      <c r="A1063" s="178" t="s">
        <v>2137</v>
      </c>
      <c r="B1063" s="178" t="s">
        <v>2138</v>
      </c>
      <c r="C1063" s="178" t="s">
        <v>517</v>
      </c>
      <c r="D1063" s="178" t="s">
        <v>2139</v>
      </c>
      <c r="E1063">
        <v>1480</v>
      </c>
      <c r="F1063">
        <v>222</v>
      </c>
      <c r="G1063">
        <v>1702</v>
      </c>
    </row>
    <row r="1064" spans="1:7" x14ac:dyDescent="0.35">
      <c r="A1064" s="178" t="s">
        <v>2140</v>
      </c>
      <c r="B1064" s="178" t="s">
        <v>2141</v>
      </c>
      <c r="C1064" s="178" t="s">
        <v>517</v>
      </c>
      <c r="D1064" s="178" t="s">
        <v>57</v>
      </c>
      <c r="E1064">
        <v>13361.45</v>
      </c>
      <c r="F1064">
        <v>2004.22</v>
      </c>
      <c r="G1064">
        <v>15365.67</v>
      </c>
    </row>
    <row r="1065" spans="1:7" x14ac:dyDescent="0.35">
      <c r="A1065" s="178" t="s">
        <v>2142</v>
      </c>
      <c r="B1065" s="178" t="s">
        <v>2143</v>
      </c>
      <c r="C1065" s="178" t="s">
        <v>517</v>
      </c>
      <c r="D1065" s="178" t="s">
        <v>2144</v>
      </c>
      <c r="E1065">
        <v>15285.9</v>
      </c>
      <c r="F1065">
        <v>2292.89</v>
      </c>
      <c r="G1065">
        <v>17578.79</v>
      </c>
    </row>
    <row r="1066" spans="1:7" x14ac:dyDescent="0.35">
      <c r="A1066" s="178" t="s">
        <v>2145</v>
      </c>
      <c r="B1066" s="178" t="s">
        <v>2146</v>
      </c>
      <c r="C1066" s="178" t="s">
        <v>517</v>
      </c>
      <c r="D1066" s="178" t="s">
        <v>57</v>
      </c>
      <c r="E1066">
        <v>1182.5999999999999</v>
      </c>
      <c r="F1066">
        <v>177.39</v>
      </c>
      <c r="G1066">
        <v>1359.99</v>
      </c>
    </row>
    <row r="1067" spans="1:7" x14ac:dyDescent="0.35">
      <c r="A1067" s="178" t="s">
        <v>1432</v>
      </c>
      <c r="B1067" s="178" t="s">
        <v>2147</v>
      </c>
      <c r="C1067" s="178" t="s">
        <v>517</v>
      </c>
      <c r="D1067" s="178" t="s">
        <v>57</v>
      </c>
      <c r="E1067">
        <v>915.9</v>
      </c>
      <c r="F1067">
        <v>137.38999999999999</v>
      </c>
      <c r="G1067">
        <v>1053.29</v>
      </c>
    </row>
    <row r="1068" spans="1:7" x14ac:dyDescent="0.35">
      <c r="A1068" s="178" t="s">
        <v>868</v>
      </c>
      <c r="B1068" s="178" t="s">
        <v>2148</v>
      </c>
      <c r="C1068" s="178" t="s">
        <v>517</v>
      </c>
      <c r="D1068" s="178" t="s">
        <v>57</v>
      </c>
      <c r="E1068">
        <v>2972</v>
      </c>
      <c r="F1068">
        <v>445.8</v>
      </c>
      <c r="G1068">
        <v>3417.8</v>
      </c>
    </row>
    <row r="1069" spans="1:7" x14ac:dyDescent="0.35">
      <c r="A1069" s="178" t="s">
        <v>357</v>
      </c>
      <c r="B1069" s="178" t="s">
        <v>2149</v>
      </c>
      <c r="C1069" s="178" t="s">
        <v>517</v>
      </c>
      <c r="D1069" s="178" t="s">
        <v>57</v>
      </c>
      <c r="E1069">
        <v>2216</v>
      </c>
      <c r="F1069">
        <v>332.4</v>
      </c>
      <c r="G1069">
        <v>2548.4</v>
      </c>
    </row>
    <row r="1070" spans="1:7" x14ac:dyDescent="0.35">
      <c r="A1070" s="178" t="s">
        <v>535</v>
      </c>
      <c r="B1070" s="178" t="s">
        <v>2150</v>
      </c>
      <c r="C1070" s="178" t="s">
        <v>517</v>
      </c>
      <c r="D1070" s="178" t="s">
        <v>57</v>
      </c>
      <c r="E1070">
        <v>2760.4</v>
      </c>
      <c r="F1070">
        <v>414.06</v>
      </c>
      <c r="G1070">
        <v>3174.46</v>
      </c>
    </row>
    <row r="1071" spans="1:7" x14ac:dyDescent="0.35">
      <c r="A1071" s="178" t="s">
        <v>503</v>
      </c>
      <c r="B1071" s="178" t="s">
        <v>2151</v>
      </c>
      <c r="C1071" s="178" t="s">
        <v>517</v>
      </c>
      <c r="D1071" s="178" t="s">
        <v>57</v>
      </c>
      <c r="E1071">
        <v>12178.25</v>
      </c>
      <c r="F1071">
        <v>1826.74</v>
      </c>
      <c r="G1071">
        <v>14004.99</v>
      </c>
    </row>
    <row r="1072" spans="1:7" x14ac:dyDescent="0.35">
      <c r="A1072" s="178" t="s">
        <v>2152</v>
      </c>
      <c r="B1072" s="178" t="s">
        <v>2153</v>
      </c>
      <c r="C1072" s="178" t="s">
        <v>517</v>
      </c>
      <c r="D1072" s="178" t="s">
        <v>57</v>
      </c>
      <c r="E1072">
        <v>1449.05</v>
      </c>
      <c r="F1072">
        <v>217.36</v>
      </c>
      <c r="G1072">
        <v>1666.41</v>
      </c>
    </row>
    <row r="1073" spans="1:7" x14ac:dyDescent="0.35">
      <c r="A1073" s="178" t="s">
        <v>2154</v>
      </c>
      <c r="B1073" s="178" t="s">
        <v>2155</v>
      </c>
      <c r="C1073" s="178" t="s">
        <v>517</v>
      </c>
      <c r="D1073" s="178" t="s">
        <v>57</v>
      </c>
      <c r="E1073">
        <v>864.3</v>
      </c>
      <c r="F1073">
        <v>129.65</v>
      </c>
      <c r="G1073">
        <v>993.95</v>
      </c>
    </row>
    <row r="1074" spans="1:7" x14ac:dyDescent="0.35">
      <c r="A1074" s="178" t="s">
        <v>620</v>
      </c>
      <c r="B1074" s="178" t="s">
        <v>2156</v>
      </c>
      <c r="C1074" s="178" t="s">
        <v>517</v>
      </c>
      <c r="D1074" s="178" t="s">
        <v>57</v>
      </c>
      <c r="E1074">
        <v>1357.9</v>
      </c>
      <c r="F1074">
        <v>203.69</v>
      </c>
      <c r="G1074">
        <v>1561.59</v>
      </c>
    </row>
    <row r="1075" spans="1:7" x14ac:dyDescent="0.35">
      <c r="A1075" s="178" t="s">
        <v>451</v>
      </c>
      <c r="B1075" s="178" t="s">
        <v>2157</v>
      </c>
      <c r="C1075" s="178" t="s">
        <v>517</v>
      </c>
      <c r="D1075">
        <v>36390</v>
      </c>
      <c r="E1075">
        <v>14539.9</v>
      </c>
      <c r="F1075">
        <v>2180.9899999999998</v>
      </c>
      <c r="G1075">
        <v>16720.89</v>
      </c>
    </row>
    <row r="1076" spans="1:7" x14ac:dyDescent="0.35">
      <c r="A1076" s="178" t="s">
        <v>683</v>
      </c>
      <c r="B1076" s="178" t="s">
        <v>2158</v>
      </c>
      <c r="C1076" s="178" t="s">
        <v>517</v>
      </c>
      <c r="D1076" s="178" t="s">
        <v>57</v>
      </c>
      <c r="E1076">
        <v>2485.15</v>
      </c>
      <c r="F1076">
        <v>372.77</v>
      </c>
      <c r="G1076">
        <v>2857.92</v>
      </c>
    </row>
    <row r="1077" spans="1:7" x14ac:dyDescent="0.35">
      <c r="A1077" s="178" t="s">
        <v>960</v>
      </c>
      <c r="B1077" s="178" t="s">
        <v>2159</v>
      </c>
      <c r="C1077" s="178" t="s">
        <v>517</v>
      </c>
      <c r="D1077" s="178" t="s">
        <v>57</v>
      </c>
      <c r="E1077">
        <v>10250.049999999999</v>
      </c>
      <c r="F1077">
        <v>1537.52</v>
      </c>
      <c r="G1077">
        <v>11787.57</v>
      </c>
    </row>
    <row r="1078" spans="1:7" x14ac:dyDescent="0.35">
      <c r="A1078" s="178" t="s">
        <v>1507</v>
      </c>
      <c r="B1078" s="178" t="s">
        <v>2160</v>
      </c>
      <c r="C1078" s="178" t="s">
        <v>517</v>
      </c>
      <c r="D1078" s="178" t="s">
        <v>57</v>
      </c>
      <c r="E1078">
        <v>6827.7</v>
      </c>
      <c r="F1078">
        <v>1024.1600000000001</v>
      </c>
      <c r="G1078">
        <v>7851.86</v>
      </c>
    </row>
    <row r="1079" spans="1:7" x14ac:dyDescent="0.35">
      <c r="A1079" s="178" t="s">
        <v>1645</v>
      </c>
      <c r="B1079" s="178" t="s">
        <v>2161</v>
      </c>
      <c r="C1079" s="178" t="s">
        <v>517</v>
      </c>
      <c r="D1079" s="178" t="s">
        <v>57</v>
      </c>
      <c r="E1079">
        <v>2704.7</v>
      </c>
      <c r="F1079">
        <v>405.71</v>
      </c>
      <c r="G1079">
        <v>3110.41</v>
      </c>
    </row>
    <row r="1080" spans="1:7" x14ac:dyDescent="0.35">
      <c r="A1080" s="178" t="s">
        <v>2162</v>
      </c>
      <c r="B1080" s="178" t="s">
        <v>2163</v>
      </c>
      <c r="C1080" s="178" t="s">
        <v>517</v>
      </c>
      <c r="D1080" s="178" t="s">
        <v>2164</v>
      </c>
      <c r="E1080">
        <v>10415.549999999999</v>
      </c>
      <c r="F1080">
        <v>1562.33</v>
      </c>
      <c r="G1080">
        <v>11977.88</v>
      </c>
    </row>
    <row r="1081" spans="1:7" x14ac:dyDescent="0.35">
      <c r="A1081" s="178" t="s">
        <v>2165</v>
      </c>
      <c r="B1081" s="178" t="s">
        <v>2166</v>
      </c>
      <c r="C1081" s="178" t="s">
        <v>517</v>
      </c>
      <c r="D1081" s="178" t="s">
        <v>57</v>
      </c>
      <c r="E1081">
        <v>3132.5</v>
      </c>
      <c r="F1081">
        <v>469.88</v>
      </c>
      <c r="G1081">
        <v>3602.38</v>
      </c>
    </row>
    <row r="1082" spans="1:7" x14ac:dyDescent="0.35">
      <c r="A1082" s="178" t="s">
        <v>1513</v>
      </c>
      <c r="B1082" s="178" t="s">
        <v>2167</v>
      </c>
      <c r="C1082" s="178" t="s">
        <v>517</v>
      </c>
      <c r="D1082" s="178" t="s">
        <v>1515</v>
      </c>
      <c r="E1082">
        <v>12525.06</v>
      </c>
      <c r="F1082">
        <v>1878.76</v>
      </c>
      <c r="G1082">
        <v>14403.82</v>
      </c>
    </row>
    <row r="1083" spans="1:7" x14ac:dyDescent="0.35">
      <c r="A1083" s="178" t="s">
        <v>1539</v>
      </c>
      <c r="B1083" s="178" t="s">
        <v>2168</v>
      </c>
      <c r="C1083" s="178" t="s">
        <v>517</v>
      </c>
      <c r="D1083" s="178" t="s">
        <v>57</v>
      </c>
      <c r="E1083">
        <v>3106.8</v>
      </c>
      <c r="F1083">
        <v>466.02</v>
      </c>
      <c r="G1083">
        <v>3572.82</v>
      </c>
    </row>
    <row r="1084" spans="1:7" x14ac:dyDescent="0.35">
      <c r="A1084" s="178" t="s">
        <v>425</v>
      </c>
      <c r="B1084" s="178" t="s">
        <v>2169</v>
      </c>
      <c r="C1084" s="178" t="s">
        <v>517</v>
      </c>
      <c r="D1084" s="178" t="s">
        <v>2170</v>
      </c>
      <c r="E1084">
        <v>15089.1</v>
      </c>
      <c r="F1084">
        <v>2263.37</v>
      </c>
      <c r="G1084">
        <v>17352.47</v>
      </c>
    </row>
    <row r="1085" spans="1:7" x14ac:dyDescent="0.35">
      <c r="A1085" s="178" t="s">
        <v>2171</v>
      </c>
      <c r="B1085" s="178" t="s">
        <v>2172</v>
      </c>
      <c r="C1085" s="178" t="s">
        <v>517</v>
      </c>
      <c r="D1085" s="178" t="s">
        <v>2173</v>
      </c>
      <c r="E1085">
        <v>143841.45000000001</v>
      </c>
      <c r="F1085" s="178" t="s">
        <v>57</v>
      </c>
      <c r="G1085">
        <v>143841.45000000001</v>
      </c>
    </row>
    <row r="1086" spans="1:7" x14ac:dyDescent="0.35">
      <c r="A1086" s="178" t="s">
        <v>1118</v>
      </c>
      <c r="B1086" s="178" t="s">
        <v>2174</v>
      </c>
      <c r="C1086" s="178" t="s">
        <v>517</v>
      </c>
      <c r="D1086" s="178" t="s">
        <v>57</v>
      </c>
      <c r="E1086">
        <v>1330</v>
      </c>
      <c r="F1086">
        <v>199.5</v>
      </c>
      <c r="G1086">
        <v>1529.5</v>
      </c>
    </row>
    <row r="1087" spans="1:7" x14ac:dyDescent="0.35">
      <c r="A1087" s="178" t="s">
        <v>2010</v>
      </c>
      <c r="B1087" s="178" t="s">
        <v>2175</v>
      </c>
      <c r="C1087" s="178" t="s">
        <v>517</v>
      </c>
      <c r="D1087" s="178" t="s">
        <v>57</v>
      </c>
      <c r="E1087">
        <v>1655.85</v>
      </c>
      <c r="F1087">
        <v>248.38</v>
      </c>
      <c r="G1087">
        <v>1904.23</v>
      </c>
    </row>
    <row r="1088" spans="1:7" x14ac:dyDescent="0.35">
      <c r="A1088" s="178" t="s">
        <v>624</v>
      </c>
      <c r="B1088" s="178" t="s">
        <v>2176</v>
      </c>
      <c r="C1088" s="178" t="s">
        <v>517</v>
      </c>
      <c r="D1088" s="178" t="s">
        <v>57</v>
      </c>
      <c r="E1088">
        <v>9286.65</v>
      </c>
      <c r="F1088">
        <v>1393</v>
      </c>
      <c r="G1088">
        <v>10679.65</v>
      </c>
    </row>
    <row r="1089" spans="1:7" x14ac:dyDescent="0.35">
      <c r="A1089" s="178" t="s">
        <v>949</v>
      </c>
      <c r="B1089" s="178" t="s">
        <v>2177</v>
      </c>
      <c r="C1089" s="178" t="s">
        <v>517</v>
      </c>
      <c r="D1089" s="178" t="s">
        <v>2178</v>
      </c>
      <c r="E1089">
        <v>7309.4</v>
      </c>
      <c r="F1089">
        <v>1096.4100000000001</v>
      </c>
      <c r="G1089">
        <v>8405.81</v>
      </c>
    </row>
    <row r="1090" spans="1:7" x14ac:dyDescent="0.35">
      <c r="A1090" s="178" t="s">
        <v>2179</v>
      </c>
      <c r="B1090" s="178" t="s">
        <v>2180</v>
      </c>
      <c r="C1090" s="178" t="s">
        <v>517</v>
      </c>
      <c r="D1090" s="178" t="s">
        <v>57</v>
      </c>
      <c r="E1090">
        <v>1524.6</v>
      </c>
      <c r="F1090">
        <v>228.69</v>
      </c>
      <c r="G1090">
        <v>1753.29</v>
      </c>
    </row>
    <row r="1091" spans="1:7" x14ac:dyDescent="0.35">
      <c r="A1091" s="178" t="s">
        <v>2181</v>
      </c>
      <c r="B1091" s="178" t="s">
        <v>2182</v>
      </c>
      <c r="C1091" s="178" t="s">
        <v>517</v>
      </c>
      <c r="D1091" s="178" t="s">
        <v>57</v>
      </c>
      <c r="E1091">
        <v>2227.5</v>
      </c>
      <c r="F1091">
        <v>334.13</v>
      </c>
      <c r="G1091">
        <v>2561.63</v>
      </c>
    </row>
    <row r="1092" spans="1:7" x14ac:dyDescent="0.35">
      <c r="A1092" s="178" t="s">
        <v>454</v>
      </c>
      <c r="B1092" s="178" t="s">
        <v>2183</v>
      </c>
      <c r="C1092" s="178" t="s">
        <v>517</v>
      </c>
      <c r="D1092" s="178" t="s">
        <v>2184</v>
      </c>
      <c r="E1092">
        <v>1601.25</v>
      </c>
      <c r="F1092">
        <v>240.19</v>
      </c>
      <c r="G1092">
        <v>1841.44</v>
      </c>
    </row>
    <row r="1093" spans="1:7" x14ac:dyDescent="0.35">
      <c r="A1093" s="178" t="s">
        <v>1867</v>
      </c>
      <c r="B1093" s="178" t="s">
        <v>2185</v>
      </c>
      <c r="C1093" s="178" t="s">
        <v>517</v>
      </c>
      <c r="D1093" s="178" t="s">
        <v>57</v>
      </c>
      <c r="E1093">
        <v>9007.44</v>
      </c>
      <c r="F1093">
        <v>1351.13</v>
      </c>
      <c r="G1093">
        <v>10358.57</v>
      </c>
    </row>
    <row r="1094" spans="1:7" x14ac:dyDescent="0.35">
      <c r="A1094" s="178" t="s">
        <v>1110</v>
      </c>
      <c r="B1094" s="178" t="s">
        <v>2186</v>
      </c>
      <c r="C1094" s="178" t="s">
        <v>517</v>
      </c>
      <c r="D1094" s="178" t="s">
        <v>57</v>
      </c>
      <c r="E1094">
        <v>1930.45</v>
      </c>
      <c r="F1094">
        <v>289.57</v>
      </c>
      <c r="G1094">
        <v>2220.02</v>
      </c>
    </row>
    <row r="1095" spans="1:7" x14ac:dyDescent="0.35">
      <c r="A1095" s="178" t="s">
        <v>616</v>
      </c>
      <c r="B1095" s="178" t="s">
        <v>2187</v>
      </c>
      <c r="C1095" s="178" t="s">
        <v>517</v>
      </c>
      <c r="D1095" s="178" t="s">
        <v>57</v>
      </c>
      <c r="E1095">
        <v>1092.75</v>
      </c>
      <c r="F1095">
        <v>163.91</v>
      </c>
      <c r="G1095">
        <v>1256.6600000000001</v>
      </c>
    </row>
    <row r="1096" spans="1:7" x14ac:dyDescent="0.35">
      <c r="A1096" s="178" t="s">
        <v>2188</v>
      </c>
      <c r="B1096" s="178" t="s">
        <v>2189</v>
      </c>
      <c r="C1096" s="178" t="s">
        <v>517</v>
      </c>
      <c r="D1096" s="178" t="s">
        <v>2190</v>
      </c>
      <c r="E1096">
        <v>15830.4</v>
      </c>
      <c r="F1096">
        <v>2374.56</v>
      </c>
      <c r="G1096">
        <v>18204.96</v>
      </c>
    </row>
    <row r="1097" spans="1:7" x14ac:dyDescent="0.35">
      <c r="A1097" s="178" t="s">
        <v>1262</v>
      </c>
      <c r="B1097" s="178" t="s">
        <v>2191</v>
      </c>
      <c r="C1097" s="178" t="s">
        <v>517</v>
      </c>
      <c r="D1097" s="178" t="s">
        <v>57</v>
      </c>
      <c r="E1097">
        <v>3459.3</v>
      </c>
      <c r="F1097">
        <v>518.9</v>
      </c>
      <c r="G1097">
        <v>3978.2</v>
      </c>
    </row>
    <row r="1098" spans="1:7" x14ac:dyDescent="0.35">
      <c r="A1098" s="178" t="s">
        <v>447</v>
      </c>
      <c r="B1098" s="178" t="s">
        <v>2192</v>
      </c>
      <c r="C1098" s="178" t="s">
        <v>517</v>
      </c>
      <c r="D1098" s="178" t="s">
        <v>57</v>
      </c>
      <c r="E1098">
        <v>1020.8</v>
      </c>
      <c r="F1098">
        <v>153.12</v>
      </c>
      <c r="G1098">
        <v>1173.92</v>
      </c>
    </row>
    <row r="1099" spans="1:7" x14ac:dyDescent="0.35">
      <c r="A1099" s="178" t="s">
        <v>868</v>
      </c>
      <c r="B1099" s="178" t="s">
        <v>2193</v>
      </c>
      <c r="C1099" s="178" t="s">
        <v>517</v>
      </c>
      <c r="D1099" s="178" t="s">
        <v>57</v>
      </c>
      <c r="E1099">
        <v>5754.5</v>
      </c>
      <c r="F1099">
        <v>863.17</v>
      </c>
      <c r="G1099">
        <v>6617.67</v>
      </c>
    </row>
    <row r="1100" spans="1:7" x14ac:dyDescent="0.35">
      <c r="A1100" s="178" t="s">
        <v>2194</v>
      </c>
      <c r="B1100" s="178" t="s">
        <v>2195</v>
      </c>
      <c r="C1100" s="178" t="s">
        <v>517</v>
      </c>
      <c r="D1100" s="178" t="s">
        <v>57</v>
      </c>
      <c r="E1100">
        <v>1714.65</v>
      </c>
      <c r="F1100">
        <v>257.2</v>
      </c>
      <c r="G1100">
        <v>1971.85</v>
      </c>
    </row>
    <row r="1101" spans="1:7" x14ac:dyDescent="0.35">
      <c r="A1101" s="178" t="s">
        <v>377</v>
      </c>
      <c r="B1101" s="178" t="s">
        <v>2196</v>
      </c>
      <c r="C1101" s="178" t="s">
        <v>517</v>
      </c>
      <c r="D1101" s="178" t="s">
        <v>57</v>
      </c>
      <c r="E1101">
        <v>12301.7</v>
      </c>
      <c r="F1101">
        <v>1845.26</v>
      </c>
      <c r="G1101">
        <v>14146.96</v>
      </c>
    </row>
    <row r="1102" spans="1:7" x14ac:dyDescent="0.35">
      <c r="A1102" s="178" t="s">
        <v>1403</v>
      </c>
      <c r="B1102" s="178" t="s">
        <v>2197</v>
      </c>
      <c r="C1102" s="178" t="s">
        <v>517</v>
      </c>
      <c r="D1102" s="178" t="s">
        <v>942</v>
      </c>
      <c r="E1102">
        <v>1060</v>
      </c>
      <c r="F1102">
        <v>159</v>
      </c>
      <c r="G1102">
        <v>1219</v>
      </c>
    </row>
    <row r="1103" spans="1:7" x14ac:dyDescent="0.35">
      <c r="A1103" s="178" t="s">
        <v>347</v>
      </c>
      <c r="B1103" s="178" t="s">
        <v>2198</v>
      </c>
      <c r="C1103" s="178" t="s">
        <v>517</v>
      </c>
      <c r="D1103" s="178" t="s">
        <v>57</v>
      </c>
      <c r="E1103">
        <v>26389.3</v>
      </c>
      <c r="F1103">
        <v>3958.41</v>
      </c>
      <c r="G1103">
        <v>30347.71</v>
      </c>
    </row>
    <row r="1104" spans="1:7" x14ac:dyDescent="0.35">
      <c r="A1104" s="178" t="s">
        <v>605</v>
      </c>
      <c r="B1104" s="178" t="s">
        <v>2199</v>
      </c>
      <c r="C1104" s="178" t="s">
        <v>517</v>
      </c>
      <c r="D1104" s="178" t="s">
        <v>57</v>
      </c>
      <c r="E1104">
        <v>731</v>
      </c>
      <c r="F1104">
        <v>109.65</v>
      </c>
      <c r="G1104">
        <v>840.65</v>
      </c>
    </row>
    <row r="1105" spans="1:7" x14ac:dyDescent="0.35">
      <c r="A1105" s="178" t="s">
        <v>332</v>
      </c>
      <c r="B1105" s="178" t="s">
        <v>2200</v>
      </c>
      <c r="C1105" s="178" t="s">
        <v>517</v>
      </c>
      <c r="D1105" s="178" t="s">
        <v>57</v>
      </c>
      <c r="E1105">
        <v>2572.21</v>
      </c>
      <c r="F1105">
        <v>385.84</v>
      </c>
      <c r="G1105">
        <v>2958.05</v>
      </c>
    </row>
    <row r="1106" spans="1:7" x14ac:dyDescent="0.35">
      <c r="A1106" s="178" t="s">
        <v>532</v>
      </c>
      <c r="B1106" s="178" t="s">
        <v>2201</v>
      </c>
      <c r="C1106" s="178" t="s">
        <v>517</v>
      </c>
      <c r="D1106" s="178" t="s">
        <v>57</v>
      </c>
      <c r="E1106">
        <v>3993.4</v>
      </c>
      <c r="F1106">
        <v>599.02</v>
      </c>
      <c r="G1106">
        <v>4592.42</v>
      </c>
    </row>
    <row r="1107" spans="1:7" x14ac:dyDescent="0.35">
      <c r="A1107" s="178" t="s">
        <v>451</v>
      </c>
      <c r="B1107" s="178" t="s">
        <v>2202</v>
      </c>
      <c r="C1107" s="178" t="s">
        <v>539</v>
      </c>
      <c r="D1107">
        <v>36474</v>
      </c>
      <c r="E1107">
        <v>16353</v>
      </c>
      <c r="F1107">
        <v>2452.9499999999998</v>
      </c>
      <c r="G1107">
        <v>18805.95</v>
      </c>
    </row>
    <row r="1108" spans="1:7" x14ac:dyDescent="0.35">
      <c r="A1108" s="178" t="s">
        <v>856</v>
      </c>
      <c r="B1108" s="178" t="s">
        <v>2203</v>
      </c>
      <c r="C1108" s="178" t="s">
        <v>517</v>
      </c>
      <c r="D1108" s="178" t="s">
        <v>57</v>
      </c>
      <c r="E1108">
        <v>1476</v>
      </c>
      <c r="F1108">
        <v>221.4</v>
      </c>
      <c r="G1108">
        <v>1697.4</v>
      </c>
    </row>
    <row r="1109" spans="1:7" x14ac:dyDescent="0.35">
      <c r="A1109" s="178" t="s">
        <v>2204</v>
      </c>
      <c r="B1109" s="178" t="s">
        <v>2205</v>
      </c>
      <c r="C1109" s="178" t="s">
        <v>517</v>
      </c>
      <c r="D1109" s="178" t="s">
        <v>57</v>
      </c>
      <c r="E1109">
        <v>2667.9</v>
      </c>
      <c r="F1109">
        <v>400.19</v>
      </c>
      <c r="G1109">
        <v>3068.09</v>
      </c>
    </row>
    <row r="1110" spans="1:7" x14ac:dyDescent="0.35">
      <c r="A1110" s="178" t="s">
        <v>1070</v>
      </c>
      <c r="B1110" s="178" t="s">
        <v>2206</v>
      </c>
      <c r="C1110" s="178" t="s">
        <v>517</v>
      </c>
      <c r="D1110" s="178" t="s">
        <v>57</v>
      </c>
      <c r="E1110">
        <v>1295.8499999999999</v>
      </c>
      <c r="F1110">
        <v>194.38</v>
      </c>
      <c r="G1110">
        <v>1490.23</v>
      </c>
    </row>
    <row r="1111" spans="1:7" x14ac:dyDescent="0.35">
      <c r="A1111" s="178" t="s">
        <v>2207</v>
      </c>
      <c r="B1111" s="178" t="s">
        <v>2208</v>
      </c>
      <c r="C1111" s="178" t="s">
        <v>517</v>
      </c>
      <c r="D1111" s="178" t="s">
        <v>1337</v>
      </c>
      <c r="E1111">
        <v>1651.8</v>
      </c>
      <c r="F1111">
        <v>247.78</v>
      </c>
      <c r="G1111">
        <v>1899.58</v>
      </c>
    </row>
    <row r="1112" spans="1:7" x14ac:dyDescent="0.35">
      <c r="A1112" s="178" t="s">
        <v>454</v>
      </c>
      <c r="B1112" s="178" t="s">
        <v>2209</v>
      </c>
      <c r="C1112" s="178" t="s">
        <v>517</v>
      </c>
      <c r="D1112" s="178" t="s">
        <v>2210</v>
      </c>
      <c r="E1112">
        <v>5927.4</v>
      </c>
      <c r="F1112">
        <v>889.11</v>
      </c>
      <c r="G1112">
        <v>6816.51</v>
      </c>
    </row>
    <row r="1113" spans="1:7" x14ac:dyDescent="0.35">
      <c r="A1113" s="178" t="s">
        <v>1680</v>
      </c>
      <c r="B1113" s="178" t="s">
        <v>2211</v>
      </c>
      <c r="C1113" s="178" t="s">
        <v>517</v>
      </c>
      <c r="D1113" s="178" t="s">
        <v>57</v>
      </c>
      <c r="E1113">
        <v>1052.5</v>
      </c>
      <c r="F1113">
        <v>157.88</v>
      </c>
      <c r="G1113">
        <v>1210.3800000000001</v>
      </c>
    </row>
    <row r="1114" spans="1:7" x14ac:dyDescent="0.35">
      <c r="A1114" s="178" t="s">
        <v>582</v>
      </c>
      <c r="B1114" s="178" t="s">
        <v>2212</v>
      </c>
      <c r="C1114" s="178" t="s">
        <v>539</v>
      </c>
      <c r="D1114" s="178" t="s">
        <v>57</v>
      </c>
      <c r="E1114">
        <v>4082.4</v>
      </c>
      <c r="F1114">
        <v>612.36</v>
      </c>
      <c r="G1114">
        <v>4694.76</v>
      </c>
    </row>
    <row r="1115" spans="1:7" x14ac:dyDescent="0.35">
      <c r="A1115" s="178" t="s">
        <v>2213</v>
      </c>
      <c r="B1115" s="178" t="s">
        <v>2214</v>
      </c>
      <c r="C1115" s="178" t="s">
        <v>539</v>
      </c>
      <c r="D1115" s="178" t="s">
        <v>2215</v>
      </c>
      <c r="E1115">
        <v>712.5</v>
      </c>
      <c r="F1115">
        <v>106.88</v>
      </c>
      <c r="G1115">
        <v>819.38</v>
      </c>
    </row>
    <row r="1116" spans="1:7" x14ac:dyDescent="0.35">
      <c r="A1116" s="178" t="s">
        <v>722</v>
      </c>
      <c r="B1116" s="178" t="s">
        <v>2216</v>
      </c>
      <c r="C1116" s="178" t="s">
        <v>539</v>
      </c>
      <c r="D1116" s="178" t="s">
        <v>57</v>
      </c>
      <c r="E1116">
        <v>1776.45</v>
      </c>
      <c r="F1116">
        <v>266.47000000000003</v>
      </c>
      <c r="G1116">
        <v>2042.92</v>
      </c>
    </row>
    <row r="1117" spans="1:7" x14ac:dyDescent="0.35">
      <c r="A1117" s="178" t="s">
        <v>566</v>
      </c>
      <c r="B1117" s="178" t="s">
        <v>2217</v>
      </c>
      <c r="C1117" s="178" t="s">
        <v>539</v>
      </c>
      <c r="D1117" s="178" t="s">
        <v>57</v>
      </c>
      <c r="E1117">
        <v>8045.25</v>
      </c>
      <c r="F1117">
        <v>1206.79</v>
      </c>
      <c r="G1117">
        <v>9252.0400000000009</v>
      </c>
    </row>
    <row r="1118" spans="1:7" x14ac:dyDescent="0.35">
      <c r="A1118" s="178" t="s">
        <v>1933</v>
      </c>
      <c r="B1118" s="178" t="s">
        <v>2218</v>
      </c>
      <c r="C1118" s="178" t="s">
        <v>539</v>
      </c>
      <c r="D1118" s="178" t="s">
        <v>57</v>
      </c>
      <c r="E1118">
        <v>1522.2</v>
      </c>
      <c r="F1118">
        <v>228.33</v>
      </c>
      <c r="G1118">
        <v>1750.53</v>
      </c>
    </row>
    <row r="1119" spans="1:7" x14ac:dyDescent="0.35">
      <c r="A1119" s="178" t="s">
        <v>2219</v>
      </c>
      <c r="B1119" s="178" t="s">
        <v>2220</v>
      </c>
      <c r="C1119" s="178" t="s">
        <v>539</v>
      </c>
      <c r="D1119" s="178" t="s">
        <v>57</v>
      </c>
      <c r="E1119">
        <v>450</v>
      </c>
      <c r="F1119">
        <v>67.5</v>
      </c>
      <c r="G1119">
        <v>517.5</v>
      </c>
    </row>
    <row r="1120" spans="1:7" x14ac:dyDescent="0.35">
      <c r="A1120" s="178" t="s">
        <v>1370</v>
      </c>
      <c r="B1120" s="178" t="s">
        <v>2221</v>
      </c>
      <c r="C1120" s="178" t="s">
        <v>539</v>
      </c>
      <c r="D1120" s="178" t="s">
        <v>1372</v>
      </c>
      <c r="E1120">
        <v>7700</v>
      </c>
      <c r="F1120">
        <v>1155</v>
      </c>
      <c r="G1120">
        <v>8855</v>
      </c>
    </row>
    <row r="1121" spans="1:7" x14ac:dyDescent="0.35">
      <c r="A1121" s="178" t="s">
        <v>2222</v>
      </c>
      <c r="B1121" s="178" t="s">
        <v>2223</v>
      </c>
      <c r="C1121" s="178" t="s">
        <v>539</v>
      </c>
      <c r="D1121" s="178" t="s">
        <v>57</v>
      </c>
      <c r="E1121">
        <v>9979.2000000000007</v>
      </c>
      <c r="F1121">
        <v>1496.88</v>
      </c>
      <c r="G1121">
        <v>11476.08</v>
      </c>
    </row>
    <row r="1122" spans="1:7" x14ac:dyDescent="0.35">
      <c r="A1122" s="178" t="s">
        <v>526</v>
      </c>
      <c r="B1122" s="178" t="s">
        <v>2224</v>
      </c>
      <c r="C1122" s="178" t="s">
        <v>539</v>
      </c>
      <c r="D1122" s="178" t="s">
        <v>2225</v>
      </c>
      <c r="E1122">
        <v>5042.25</v>
      </c>
      <c r="F1122">
        <v>756.34</v>
      </c>
      <c r="G1122">
        <v>5798.59</v>
      </c>
    </row>
    <row r="1123" spans="1:7" x14ac:dyDescent="0.35">
      <c r="A1123" s="178" t="s">
        <v>916</v>
      </c>
      <c r="B1123" s="178" t="s">
        <v>2226</v>
      </c>
      <c r="C1123" s="178" t="s">
        <v>539</v>
      </c>
      <c r="D1123" s="178" t="s">
        <v>57</v>
      </c>
      <c r="E1123">
        <v>2830.5</v>
      </c>
      <c r="F1123">
        <v>424.58</v>
      </c>
      <c r="G1123">
        <v>3255.08</v>
      </c>
    </row>
    <row r="1124" spans="1:7" x14ac:dyDescent="0.35">
      <c r="A1124" s="178" t="s">
        <v>363</v>
      </c>
      <c r="B1124" s="178" t="s">
        <v>2227</v>
      </c>
      <c r="C1124" s="178" t="s">
        <v>539</v>
      </c>
      <c r="D1124" s="178" t="s">
        <v>57</v>
      </c>
      <c r="E1124">
        <v>3486</v>
      </c>
      <c r="F1124">
        <v>522.9</v>
      </c>
      <c r="G1124">
        <v>4008.9</v>
      </c>
    </row>
    <row r="1125" spans="1:7" x14ac:dyDescent="0.35">
      <c r="A1125" s="178" t="s">
        <v>326</v>
      </c>
      <c r="B1125" s="178" t="s">
        <v>2228</v>
      </c>
      <c r="C1125" s="178" t="s">
        <v>539</v>
      </c>
      <c r="D1125" s="178" t="s">
        <v>2229</v>
      </c>
      <c r="E1125">
        <v>651.54999999999995</v>
      </c>
      <c r="F1125">
        <v>97.73</v>
      </c>
      <c r="G1125">
        <v>749.28</v>
      </c>
    </row>
    <row r="1126" spans="1:7" x14ac:dyDescent="0.35">
      <c r="A1126" s="178" t="s">
        <v>2230</v>
      </c>
      <c r="B1126" s="178" t="s">
        <v>2231</v>
      </c>
      <c r="C1126" s="178" t="s">
        <v>539</v>
      </c>
      <c r="D1126" s="178" t="s">
        <v>2232</v>
      </c>
      <c r="E1126">
        <v>731</v>
      </c>
      <c r="F1126">
        <v>109.65</v>
      </c>
      <c r="G1126">
        <v>840.65</v>
      </c>
    </row>
    <row r="1127" spans="1:7" x14ac:dyDescent="0.35">
      <c r="A1127" s="178" t="s">
        <v>798</v>
      </c>
      <c r="B1127" s="178" t="s">
        <v>2233</v>
      </c>
      <c r="C1127" s="178" t="s">
        <v>539</v>
      </c>
      <c r="D1127" s="178" t="s">
        <v>57</v>
      </c>
      <c r="E1127">
        <v>1688.75</v>
      </c>
      <c r="F1127">
        <v>253.32</v>
      </c>
      <c r="G1127">
        <v>1942.07</v>
      </c>
    </row>
    <row r="1128" spans="1:7" x14ac:dyDescent="0.35">
      <c r="A1128" s="178" t="s">
        <v>563</v>
      </c>
      <c r="B1128" s="178" t="s">
        <v>2234</v>
      </c>
      <c r="C1128" s="178" t="s">
        <v>539</v>
      </c>
      <c r="D1128" s="178" t="s">
        <v>57</v>
      </c>
      <c r="E1128">
        <v>14490</v>
      </c>
      <c r="F1128">
        <v>2173.5</v>
      </c>
      <c r="G1128">
        <v>16663.5</v>
      </c>
    </row>
    <row r="1129" spans="1:7" x14ac:dyDescent="0.35">
      <c r="A1129" s="178" t="s">
        <v>326</v>
      </c>
      <c r="B1129" s="178" t="s">
        <v>2235</v>
      </c>
      <c r="C1129" s="178" t="s">
        <v>539</v>
      </c>
      <c r="D1129" s="178" t="s">
        <v>2229</v>
      </c>
      <c r="E1129">
        <v>676.45</v>
      </c>
      <c r="F1129">
        <v>101.47</v>
      </c>
      <c r="G1129">
        <v>777.92</v>
      </c>
    </row>
    <row r="1130" spans="1:7" x14ac:dyDescent="0.35">
      <c r="A1130" s="178" t="s">
        <v>490</v>
      </c>
      <c r="B1130" s="178" t="s">
        <v>2236</v>
      </c>
      <c r="C1130" s="178" t="s">
        <v>539</v>
      </c>
      <c r="D1130" s="178" t="s">
        <v>1880</v>
      </c>
      <c r="E1130">
        <v>3928.2</v>
      </c>
      <c r="F1130">
        <v>589.24</v>
      </c>
      <c r="G1130">
        <v>4517.4399999999996</v>
      </c>
    </row>
    <row r="1131" spans="1:7" x14ac:dyDescent="0.35">
      <c r="A1131" s="178" t="s">
        <v>1276</v>
      </c>
      <c r="B1131" s="178" t="s">
        <v>2237</v>
      </c>
      <c r="C1131" s="178" t="s">
        <v>539</v>
      </c>
      <c r="D1131" s="178" t="s">
        <v>2238</v>
      </c>
      <c r="E1131">
        <v>1561.4</v>
      </c>
      <c r="F1131">
        <v>234.21</v>
      </c>
      <c r="G1131">
        <v>1795.61</v>
      </c>
    </row>
    <row r="1132" spans="1:7" x14ac:dyDescent="0.35">
      <c r="A1132" s="178" t="s">
        <v>866</v>
      </c>
      <c r="B1132" s="178" t="s">
        <v>2239</v>
      </c>
      <c r="C1132" s="178" t="s">
        <v>539</v>
      </c>
      <c r="D1132" s="178" t="s">
        <v>1880</v>
      </c>
      <c r="E1132">
        <v>1378.5</v>
      </c>
      <c r="F1132">
        <v>206.77</v>
      </c>
      <c r="G1132">
        <v>1585.27</v>
      </c>
    </row>
    <row r="1133" spans="1:7" x14ac:dyDescent="0.35">
      <c r="A1133" s="178" t="s">
        <v>490</v>
      </c>
      <c r="B1133" s="178" t="s">
        <v>2240</v>
      </c>
      <c r="C1133" s="178" t="s">
        <v>539</v>
      </c>
      <c r="D1133" s="178" t="s">
        <v>2241</v>
      </c>
      <c r="E1133">
        <v>2685</v>
      </c>
      <c r="F1133">
        <v>402.75</v>
      </c>
      <c r="G1133">
        <v>3087.75</v>
      </c>
    </row>
    <row r="1134" spans="1:7" x14ac:dyDescent="0.35">
      <c r="A1134" s="178" t="s">
        <v>2242</v>
      </c>
      <c r="B1134" s="178" t="s">
        <v>2243</v>
      </c>
      <c r="C1134" s="178" t="s">
        <v>539</v>
      </c>
      <c r="D1134" s="178" t="s">
        <v>2244</v>
      </c>
      <c r="E1134">
        <v>4469.8500000000004</v>
      </c>
      <c r="F1134">
        <v>670.48</v>
      </c>
      <c r="G1134">
        <v>5140.33</v>
      </c>
    </row>
    <row r="1135" spans="1:7" x14ac:dyDescent="0.35">
      <c r="A1135" s="178" t="s">
        <v>1622</v>
      </c>
      <c r="B1135" s="178" t="s">
        <v>2245</v>
      </c>
      <c r="C1135" s="178" t="s">
        <v>539</v>
      </c>
      <c r="D1135" s="178" t="s">
        <v>57</v>
      </c>
      <c r="E1135">
        <v>10246.9</v>
      </c>
      <c r="F1135">
        <v>1537.04</v>
      </c>
      <c r="G1135">
        <v>11783.94</v>
      </c>
    </row>
    <row r="1136" spans="1:7" x14ac:dyDescent="0.35">
      <c r="A1136" s="178" t="s">
        <v>2246</v>
      </c>
      <c r="B1136" s="178" t="s">
        <v>2247</v>
      </c>
      <c r="C1136" s="178" t="s">
        <v>539</v>
      </c>
      <c r="D1136" s="178" t="s">
        <v>2248</v>
      </c>
      <c r="E1136">
        <v>3660.95</v>
      </c>
      <c r="F1136">
        <v>549.14</v>
      </c>
      <c r="G1136">
        <v>4210.09</v>
      </c>
    </row>
    <row r="1137" spans="1:7" x14ac:dyDescent="0.35">
      <c r="A1137" s="178" t="s">
        <v>654</v>
      </c>
      <c r="B1137" s="178" t="s">
        <v>2249</v>
      </c>
      <c r="C1137" s="178" t="s">
        <v>539</v>
      </c>
      <c r="D1137" s="178" t="s">
        <v>57</v>
      </c>
      <c r="E1137">
        <v>5830</v>
      </c>
      <c r="F1137">
        <v>874.5</v>
      </c>
      <c r="G1137">
        <v>6704.5</v>
      </c>
    </row>
    <row r="1138" spans="1:7" x14ac:dyDescent="0.35">
      <c r="A1138" s="178" t="s">
        <v>839</v>
      </c>
      <c r="B1138" s="178" t="s">
        <v>2250</v>
      </c>
      <c r="C1138" s="178" t="s">
        <v>539</v>
      </c>
      <c r="D1138" s="178" t="s">
        <v>57</v>
      </c>
      <c r="E1138">
        <v>3241.45</v>
      </c>
      <c r="F1138">
        <v>486.22</v>
      </c>
      <c r="G1138">
        <v>3727.67</v>
      </c>
    </row>
    <row r="1139" spans="1:7" x14ac:dyDescent="0.35">
      <c r="A1139" s="178" t="s">
        <v>1881</v>
      </c>
      <c r="B1139" s="178" t="s">
        <v>2251</v>
      </c>
      <c r="C1139" s="178" t="s">
        <v>539</v>
      </c>
      <c r="D1139" s="178" t="s">
        <v>1883</v>
      </c>
      <c r="E1139">
        <v>1599.75</v>
      </c>
      <c r="F1139">
        <v>239.96</v>
      </c>
      <c r="G1139">
        <v>1839.71</v>
      </c>
    </row>
    <row r="1140" spans="1:7" x14ac:dyDescent="0.35">
      <c r="A1140" s="178" t="s">
        <v>949</v>
      </c>
      <c r="B1140" s="178" t="s">
        <v>2252</v>
      </c>
      <c r="C1140" s="178" t="s">
        <v>539</v>
      </c>
      <c r="D1140" s="178" t="s">
        <v>57</v>
      </c>
      <c r="E1140">
        <v>32881.949999999997</v>
      </c>
      <c r="F1140">
        <v>4932.29</v>
      </c>
      <c r="G1140">
        <v>37814.239999999998</v>
      </c>
    </row>
    <row r="1141" spans="1:7" x14ac:dyDescent="0.35">
      <c r="A1141" s="178" t="s">
        <v>573</v>
      </c>
      <c r="B1141" s="178" t="s">
        <v>2253</v>
      </c>
      <c r="C1141" s="178" t="s">
        <v>539</v>
      </c>
      <c r="D1141" s="178" t="s">
        <v>57</v>
      </c>
      <c r="E1141">
        <v>3577.04</v>
      </c>
      <c r="F1141">
        <v>536.54999999999995</v>
      </c>
      <c r="G1141">
        <v>4113.59</v>
      </c>
    </row>
    <row r="1142" spans="1:7" x14ac:dyDescent="0.35">
      <c r="A1142" s="178" t="s">
        <v>425</v>
      </c>
      <c r="B1142" s="178" t="s">
        <v>2254</v>
      </c>
      <c r="C1142" s="178" t="s">
        <v>539</v>
      </c>
      <c r="D1142" s="178" t="s">
        <v>2170</v>
      </c>
      <c r="E1142">
        <v>2866.5</v>
      </c>
      <c r="F1142">
        <v>429.98</v>
      </c>
      <c r="G1142">
        <v>3296.48</v>
      </c>
    </row>
    <row r="1143" spans="1:7" x14ac:dyDescent="0.35">
      <c r="A1143" s="178" t="s">
        <v>535</v>
      </c>
      <c r="B1143" s="178" t="s">
        <v>2255</v>
      </c>
      <c r="C1143" s="178" t="s">
        <v>539</v>
      </c>
      <c r="D1143" s="178" t="s">
        <v>57</v>
      </c>
      <c r="E1143">
        <v>14860.65</v>
      </c>
      <c r="F1143">
        <v>2229.1</v>
      </c>
      <c r="G1143">
        <v>17089.75</v>
      </c>
    </row>
    <row r="1144" spans="1:7" x14ac:dyDescent="0.35">
      <c r="A1144" s="178" t="s">
        <v>2142</v>
      </c>
      <c r="B1144" s="178" t="s">
        <v>2256</v>
      </c>
      <c r="C1144" s="178" t="s">
        <v>539</v>
      </c>
      <c r="D1144" s="178" t="s">
        <v>2144</v>
      </c>
      <c r="E1144">
        <v>4328.25</v>
      </c>
      <c r="F1144">
        <v>649.24</v>
      </c>
      <c r="G1144">
        <v>4977.49</v>
      </c>
    </row>
    <row r="1145" spans="1:7" x14ac:dyDescent="0.35">
      <c r="A1145" s="178" t="s">
        <v>496</v>
      </c>
      <c r="B1145" s="178" t="s">
        <v>2257</v>
      </c>
      <c r="C1145" s="178" t="s">
        <v>539</v>
      </c>
      <c r="D1145" s="178" t="s">
        <v>57</v>
      </c>
      <c r="E1145">
        <v>2395.1</v>
      </c>
      <c r="F1145">
        <v>359.27</v>
      </c>
      <c r="G1145">
        <v>2754.37</v>
      </c>
    </row>
    <row r="1146" spans="1:7" x14ac:dyDescent="0.35">
      <c r="A1146" s="178" t="s">
        <v>388</v>
      </c>
      <c r="B1146" s="178" t="s">
        <v>2258</v>
      </c>
      <c r="C1146" s="178" t="s">
        <v>539</v>
      </c>
      <c r="D1146" s="178" t="s">
        <v>57</v>
      </c>
      <c r="E1146">
        <v>2250</v>
      </c>
      <c r="F1146">
        <v>337.5</v>
      </c>
      <c r="G1146">
        <v>2587.5</v>
      </c>
    </row>
    <row r="1147" spans="1:7" x14ac:dyDescent="0.35">
      <c r="A1147" s="178" t="s">
        <v>2259</v>
      </c>
      <c r="B1147" s="178" t="s">
        <v>2260</v>
      </c>
      <c r="C1147" s="178" t="s">
        <v>539</v>
      </c>
      <c r="D1147" s="178" t="s">
        <v>2261</v>
      </c>
      <c r="E1147">
        <v>2292.0500000000002</v>
      </c>
      <c r="F1147">
        <v>343.81</v>
      </c>
      <c r="G1147">
        <v>2635.86</v>
      </c>
    </row>
    <row r="1148" spans="1:7" x14ac:dyDescent="0.35">
      <c r="A1148" s="178" t="s">
        <v>2262</v>
      </c>
      <c r="B1148" s="178" t="s">
        <v>2263</v>
      </c>
      <c r="C1148" s="178" t="s">
        <v>539</v>
      </c>
      <c r="D1148" s="178" t="s">
        <v>2264</v>
      </c>
      <c r="E1148">
        <v>3603.6</v>
      </c>
      <c r="F1148">
        <v>540.54</v>
      </c>
      <c r="G1148">
        <v>4144.1400000000003</v>
      </c>
    </row>
    <row r="1149" spans="1:7" x14ac:dyDescent="0.35">
      <c r="A1149" s="178" t="s">
        <v>1409</v>
      </c>
      <c r="B1149" s="178" t="s">
        <v>2265</v>
      </c>
      <c r="C1149" s="178" t="s">
        <v>539</v>
      </c>
      <c r="D1149" s="178" t="s">
        <v>1420</v>
      </c>
      <c r="E1149">
        <v>2244.6</v>
      </c>
      <c r="F1149">
        <v>336.69</v>
      </c>
      <c r="G1149">
        <v>2581.29</v>
      </c>
    </row>
    <row r="1150" spans="1:7" x14ac:dyDescent="0.35">
      <c r="A1150" s="178" t="s">
        <v>1409</v>
      </c>
      <c r="B1150" s="178" t="s">
        <v>2266</v>
      </c>
      <c r="C1150" s="178" t="s">
        <v>539</v>
      </c>
      <c r="D1150" s="178" t="s">
        <v>1420</v>
      </c>
      <c r="E1150">
        <v>2025.3</v>
      </c>
      <c r="F1150">
        <v>303.8</v>
      </c>
      <c r="G1150">
        <v>2329.1</v>
      </c>
    </row>
    <row r="1151" spans="1:7" x14ac:dyDescent="0.35">
      <c r="A1151" s="178" t="s">
        <v>1409</v>
      </c>
      <c r="B1151" s="178" t="s">
        <v>2267</v>
      </c>
      <c r="C1151" s="178" t="s">
        <v>539</v>
      </c>
      <c r="D1151" s="178" t="s">
        <v>1424</v>
      </c>
      <c r="E1151">
        <v>1496.4</v>
      </c>
      <c r="F1151">
        <v>224.46</v>
      </c>
      <c r="G1151">
        <v>1720.86</v>
      </c>
    </row>
    <row r="1152" spans="1:7" x14ac:dyDescent="0.35">
      <c r="A1152" s="178" t="s">
        <v>2079</v>
      </c>
      <c r="B1152" s="178" t="s">
        <v>2268</v>
      </c>
      <c r="C1152" s="178" t="s">
        <v>539</v>
      </c>
      <c r="D1152" s="178" t="s">
        <v>2269</v>
      </c>
      <c r="E1152">
        <v>926.9</v>
      </c>
      <c r="F1152">
        <v>139.04</v>
      </c>
      <c r="G1152">
        <v>1065.94</v>
      </c>
    </row>
    <row r="1153" spans="1:7" x14ac:dyDescent="0.35">
      <c r="A1153" s="178" t="s">
        <v>2270</v>
      </c>
      <c r="B1153" s="178" t="s">
        <v>2271</v>
      </c>
      <c r="C1153" s="178" t="s">
        <v>539</v>
      </c>
      <c r="D1153" s="178" t="s">
        <v>57</v>
      </c>
      <c r="E1153">
        <v>705.6</v>
      </c>
      <c r="F1153">
        <v>105.84</v>
      </c>
      <c r="G1153">
        <v>811.44</v>
      </c>
    </row>
    <row r="1154" spans="1:7" x14ac:dyDescent="0.35">
      <c r="A1154" s="178" t="s">
        <v>962</v>
      </c>
      <c r="B1154" s="178" t="s">
        <v>2272</v>
      </c>
      <c r="C1154" s="178" t="s">
        <v>539</v>
      </c>
      <c r="D1154" s="178" t="s">
        <v>57</v>
      </c>
      <c r="E1154">
        <v>1733.2</v>
      </c>
      <c r="F1154">
        <v>259.98</v>
      </c>
      <c r="G1154">
        <v>1993.18</v>
      </c>
    </row>
    <row r="1155" spans="1:7" x14ac:dyDescent="0.35">
      <c r="A1155" s="178" t="s">
        <v>2273</v>
      </c>
      <c r="B1155" s="178" t="s">
        <v>2274</v>
      </c>
      <c r="C1155" s="178" t="s">
        <v>539</v>
      </c>
      <c r="D1155" s="178" t="s">
        <v>2275</v>
      </c>
      <c r="E1155">
        <v>4132.5</v>
      </c>
      <c r="F1155">
        <v>619.88</v>
      </c>
      <c r="G1155">
        <v>4752.38</v>
      </c>
    </row>
    <row r="1156" spans="1:7" x14ac:dyDescent="0.35">
      <c r="A1156" s="178" t="s">
        <v>454</v>
      </c>
      <c r="B1156" s="178" t="s">
        <v>2276</v>
      </c>
      <c r="C1156" s="178" t="s">
        <v>539</v>
      </c>
      <c r="D1156" s="178" t="s">
        <v>57</v>
      </c>
      <c r="E1156">
        <v>1459.5</v>
      </c>
      <c r="F1156">
        <v>218.93</v>
      </c>
      <c r="G1156">
        <v>1678.43</v>
      </c>
    </row>
    <row r="1157" spans="1:7" x14ac:dyDescent="0.35">
      <c r="A1157" s="178" t="s">
        <v>2277</v>
      </c>
      <c r="B1157" s="178" t="s">
        <v>2278</v>
      </c>
      <c r="C1157" s="178" t="s">
        <v>539</v>
      </c>
      <c r="D1157" s="178" t="s">
        <v>57</v>
      </c>
      <c r="E1157">
        <v>18000</v>
      </c>
      <c r="F1157">
        <v>2700</v>
      </c>
      <c r="G1157">
        <v>20700</v>
      </c>
    </row>
    <row r="1158" spans="1:7" x14ac:dyDescent="0.35">
      <c r="A1158" s="178" t="s">
        <v>545</v>
      </c>
      <c r="B1158" s="178" t="s">
        <v>2279</v>
      </c>
      <c r="C1158" s="178" t="s">
        <v>539</v>
      </c>
      <c r="D1158" s="178" t="s">
        <v>57</v>
      </c>
      <c r="E1158">
        <v>4308.6000000000004</v>
      </c>
      <c r="F1158">
        <v>646.29</v>
      </c>
      <c r="G1158">
        <v>4954.8900000000003</v>
      </c>
    </row>
    <row r="1159" spans="1:7" x14ac:dyDescent="0.35">
      <c r="A1159" s="178" t="s">
        <v>447</v>
      </c>
      <c r="B1159" s="178" t="s">
        <v>2280</v>
      </c>
      <c r="C1159" s="178" t="s">
        <v>539</v>
      </c>
      <c r="D1159" s="178" t="s">
        <v>57</v>
      </c>
      <c r="E1159">
        <v>10709.2</v>
      </c>
      <c r="F1159">
        <v>1606.38</v>
      </c>
      <c r="G1159">
        <v>12315.58</v>
      </c>
    </row>
    <row r="1160" spans="1:7" x14ac:dyDescent="0.35">
      <c r="A1160" s="178" t="s">
        <v>616</v>
      </c>
      <c r="B1160" s="178" t="s">
        <v>2281</v>
      </c>
      <c r="C1160" s="178" t="s">
        <v>539</v>
      </c>
      <c r="D1160" s="178" t="s">
        <v>57</v>
      </c>
      <c r="E1160">
        <v>4850.3999999999996</v>
      </c>
      <c r="F1160">
        <v>727.56</v>
      </c>
      <c r="G1160">
        <v>5577.96</v>
      </c>
    </row>
    <row r="1161" spans="1:7" x14ac:dyDescent="0.35">
      <c r="A1161" s="178" t="s">
        <v>573</v>
      </c>
      <c r="B1161" s="178" t="s">
        <v>2282</v>
      </c>
      <c r="C1161" s="178" t="s">
        <v>539</v>
      </c>
      <c r="D1161" s="178" t="s">
        <v>57</v>
      </c>
      <c r="E1161">
        <v>9864.25</v>
      </c>
      <c r="F1161">
        <v>1479.64</v>
      </c>
      <c r="G1161">
        <v>11343.89</v>
      </c>
    </row>
    <row r="1162" spans="1:7" x14ac:dyDescent="0.35">
      <c r="A1162" s="178" t="s">
        <v>451</v>
      </c>
      <c r="B1162" s="178" t="s">
        <v>2283</v>
      </c>
      <c r="C1162" s="178" t="s">
        <v>539</v>
      </c>
      <c r="D1162">
        <v>36463</v>
      </c>
      <c r="E1162">
        <v>25418.400000000001</v>
      </c>
      <c r="F1162">
        <v>3812.76</v>
      </c>
      <c r="G1162">
        <v>29231.16</v>
      </c>
    </row>
    <row r="1163" spans="1:7" x14ac:dyDescent="0.35">
      <c r="A1163" s="178" t="s">
        <v>1806</v>
      </c>
      <c r="B1163" s="178" t="s">
        <v>2284</v>
      </c>
      <c r="C1163" s="178" t="s">
        <v>539</v>
      </c>
      <c r="D1163" s="178" t="s">
        <v>57</v>
      </c>
      <c r="E1163">
        <v>1287.9000000000001</v>
      </c>
      <c r="F1163">
        <v>193.19</v>
      </c>
      <c r="G1163">
        <v>1481.09</v>
      </c>
    </row>
    <row r="1164" spans="1:7" x14ac:dyDescent="0.35">
      <c r="A1164" s="178" t="s">
        <v>2285</v>
      </c>
      <c r="B1164" s="178" t="s">
        <v>2286</v>
      </c>
      <c r="C1164" s="178" t="s">
        <v>539</v>
      </c>
      <c r="D1164" s="178" t="s">
        <v>57</v>
      </c>
      <c r="E1164">
        <v>769.7</v>
      </c>
      <c r="F1164">
        <v>115.46</v>
      </c>
      <c r="G1164">
        <v>885.16</v>
      </c>
    </row>
    <row r="1165" spans="1:7" x14ac:dyDescent="0.35">
      <c r="A1165" s="178" t="s">
        <v>1181</v>
      </c>
      <c r="B1165" s="178" t="s">
        <v>2287</v>
      </c>
      <c r="C1165" s="178" t="s">
        <v>539</v>
      </c>
      <c r="D1165" s="178" t="s">
        <v>57</v>
      </c>
      <c r="E1165">
        <v>2535.65</v>
      </c>
      <c r="F1165">
        <v>380.35</v>
      </c>
      <c r="G1165">
        <v>2916</v>
      </c>
    </row>
    <row r="1166" spans="1:7" x14ac:dyDescent="0.35">
      <c r="A1166" s="178" t="s">
        <v>400</v>
      </c>
      <c r="B1166" s="178" t="s">
        <v>2288</v>
      </c>
      <c r="C1166" s="178" t="s">
        <v>539</v>
      </c>
      <c r="D1166" s="178" t="s">
        <v>57</v>
      </c>
      <c r="E1166">
        <v>1543.8</v>
      </c>
      <c r="F1166">
        <v>231.57</v>
      </c>
      <c r="G1166">
        <v>1775.37</v>
      </c>
    </row>
    <row r="1167" spans="1:7" x14ac:dyDescent="0.35">
      <c r="A1167" s="178" t="s">
        <v>2289</v>
      </c>
      <c r="B1167" s="178" t="s">
        <v>2290</v>
      </c>
      <c r="C1167" s="178" t="s">
        <v>539</v>
      </c>
      <c r="D1167" s="178" t="s">
        <v>57</v>
      </c>
      <c r="E1167">
        <v>842.8</v>
      </c>
      <c r="F1167">
        <v>126.42</v>
      </c>
      <c r="G1167">
        <v>969.22</v>
      </c>
    </row>
    <row r="1168" spans="1:7" x14ac:dyDescent="0.35">
      <c r="A1168" s="178" t="s">
        <v>464</v>
      </c>
      <c r="B1168" s="178" t="s">
        <v>2291</v>
      </c>
      <c r="C1168" s="178" t="s">
        <v>539</v>
      </c>
      <c r="D1168" s="178" t="s">
        <v>57</v>
      </c>
      <c r="E1168">
        <v>1346.4</v>
      </c>
      <c r="F1168">
        <v>201.96</v>
      </c>
      <c r="G1168">
        <v>1548.36</v>
      </c>
    </row>
    <row r="1169" spans="1:7" x14ac:dyDescent="0.35">
      <c r="A1169" s="178" t="s">
        <v>681</v>
      </c>
      <c r="B1169" s="178" t="s">
        <v>2292</v>
      </c>
      <c r="C1169" s="178" t="s">
        <v>539</v>
      </c>
      <c r="D1169" s="178" t="s">
        <v>57</v>
      </c>
      <c r="E1169">
        <v>66600.45</v>
      </c>
      <c r="F1169">
        <v>9990.07</v>
      </c>
      <c r="G1169">
        <v>76590.52</v>
      </c>
    </row>
    <row r="1170" spans="1:7" x14ac:dyDescent="0.35">
      <c r="A1170" s="178" t="s">
        <v>464</v>
      </c>
      <c r="B1170" s="178" t="s">
        <v>2293</v>
      </c>
      <c r="C1170" s="178" t="s">
        <v>539</v>
      </c>
      <c r="D1170" s="178" t="s">
        <v>57</v>
      </c>
      <c r="E1170">
        <v>1360.8</v>
      </c>
      <c r="F1170">
        <v>204.12</v>
      </c>
      <c r="G1170">
        <v>1564.92</v>
      </c>
    </row>
    <row r="1171" spans="1:7" x14ac:dyDescent="0.35">
      <c r="A1171" s="178" t="s">
        <v>451</v>
      </c>
      <c r="B1171" s="178" t="s">
        <v>2294</v>
      </c>
      <c r="C1171" s="178" t="s">
        <v>539</v>
      </c>
      <c r="D1171" s="178" t="s">
        <v>2295</v>
      </c>
      <c r="E1171">
        <v>40543.199999999997</v>
      </c>
      <c r="F1171">
        <v>6081.48</v>
      </c>
      <c r="G1171">
        <v>46624.68</v>
      </c>
    </row>
    <row r="1172" spans="1:7" x14ac:dyDescent="0.35">
      <c r="A1172" s="178" t="s">
        <v>1256</v>
      </c>
      <c r="B1172" s="178" t="s">
        <v>2296</v>
      </c>
      <c r="C1172" s="178" t="s">
        <v>539</v>
      </c>
      <c r="D1172" s="178" t="s">
        <v>57</v>
      </c>
      <c r="E1172">
        <v>601.14</v>
      </c>
      <c r="F1172">
        <v>90.17</v>
      </c>
      <c r="G1172">
        <v>691.31</v>
      </c>
    </row>
    <row r="1173" spans="1:7" x14ac:dyDescent="0.35">
      <c r="A1173" s="178" t="s">
        <v>1276</v>
      </c>
      <c r="B1173" s="178" t="s">
        <v>2297</v>
      </c>
      <c r="C1173" s="178" t="s">
        <v>539</v>
      </c>
      <c r="D1173" s="178" t="s">
        <v>2298</v>
      </c>
      <c r="E1173">
        <v>1639.1</v>
      </c>
      <c r="F1173">
        <v>245.87</v>
      </c>
      <c r="G1173">
        <v>1884.97</v>
      </c>
    </row>
    <row r="1174" spans="1:7" x14ac:dyDescent="0.35">
      <c r="A1174" s="178" t="s">
        <v>1629</v>
      </c>
      <c r="B1174" s="178" t="s">
        <v>2299</v>
      </c>
      <c r="C1174" s="178" t="s">
        <v>539</v>
      </c>
      <c r="D1174" s="178" t="s">
        <v>2300</v>
      </c>
      <c r="E1174">
        <v>37871.599999999999</v>
      </c>
      <c r="F1174">
        <v>5680.74</v>
      </c>
      <c r="G1174">
        <v>43552.34</v>
      </c>
    </row>
    <row r="1175" spans="1:7" x14ac:dyDescent="0.35">
      <c r="A1175" s="178" t="s">
        <v>451</v>
      </c>
      <c r="B1175" s="178" t="s">
        <v>2301</v>
      </c>
      <c r="C1175" s="178" t="s">
        <v>539</v>
      </c>
      <c r="D1175">
        <v>36476</v>
      </c>
      <c r="E1175">
        <v>1908.2</v>
      </c>
      <c r="F1175">
        <v>286.23</v>
      </c>
      <c r="G1175">
        <v>2194.4299999999998</v>
      </c>
    </row>
    <row r="1176" spans="1:7" x14ac:dyDescent="0.35">
      <c r="A1176" s="178" t="s">
        <v>388</v>
      </c>
      <c r="B1176" s="178" t="s">
        <v>2302</v>
      </c>
      <c r="C1176" s="178" t="s">
        <v>539</v>
      </c>
      <c r="D1176" s="178" t="s">
        <v>57</v>
      </c>
      <c r="E1176">
        <v>3401.3</v>
      </c>
      <c r="F1176">
        <v>510.2</v>
      </c>
      <c r="G1176">
        <v>3911.5</v>
      </c>
    </row>
    <row r="1177" spans="1:7" x14ac:dyDescent="0.35">
      <c r="A1177" s="178" t="s">
        <v>591</v>
      </c>
      <c r="B1177" s="178" t="s">
        <v>2303</v>
      </c>
      <c r="C1177" s="178" t="s">
        <v>539</v>
      </c>
      <c r="D1177" s="178" t="s">
        <v>57</v>
      </c>
      <c r="E1177">
        <v>5361.47</v>
      </c>
      <c r="F1177">
        <v>804.23</v>
      </c>
      <c r="G1177">
        <v>6165.7</v>
      </c>
    </row>
    <row r="1178" spans="1:7" x14ac:dyDescent="0.35">
      <c r="A1178" s="178" t="s">
        <v>608</v>
      </c>
      <c r="B1178" s="178" t="s">
        <v>2304</v>
      </c>
      <c r="C1178" s="178" t="s">
        <v>539</v>
      </c>
      <c r="D1178" s="178" t="s">
        <v>57</v>
      </c>
      <c r="E1178">
        <v>1660</v>
      </c>
      <c r="F1178">
        <v>249</v>
      </c>
      <c r="G1178">
        <v>1909</v>
      </c>
    </row>
    <row r="1179" spans="1:7" x14ac:dyDescent="0.35">
      <c r="A1179" s="178" t="s">
        <v>1905</v>
      </c>
      <c r="B1179" s="178" t="s">
        <v>2305</v>
      </c>
      <c r="C1179" s="178" t="s">
        <v>559</v>
      </c>
      <c r="D1179" s="178" t="s">
        <v>1529</v>
      </c>
      <c r="E1179">
        <v>4576.8999999999996</v>
      </c>
      <c r="F1179">
        <v>686.54</v>
      </c>
      <c r="G1179">
        <v>5263.44</v>
      </c>
    </row>
    <row r="1180" spans="1:7" x14ac:dyDescent="0.35">
      <c r="A1180" s="178" t="s">
        <v>2142</v>
      </c>
      <c r="B1180" s="178" t="s">
        <v>2306</v>
      </c>
      <c r="C1180" s="178" t="s">
        <v>559</v>
      </c>
      <c r="D1180" s="178" t="s">
        <v>57</v>
      </c>
      <c r="E1180">
        <v>8139.6</v>
      </c>
      <c r="F1180">
        <v>1220.94</v>
      </c>
      <c r="G1180">
        <v>9360.5400000000009</v>
      </c>
    </row>
    <row r="1181" spans="1:7" x14ac:dyDescent="0.35">
      <c r="A1181" s="178" t="s">
        <v>1342</v>
      </c>
      <c r="B1181" s="178" t="s">
        <v>2307</v>
      </c>
      <c r="C1181" s="178" t="s">
        <v>559</v>
      </c>
      <c r="D1181" s="178" t="s">
        <v>57</v>
      </c>
      <c r="E1181">
        <v>74358</v>
      </c>
      <c r="F1181">
        <v>11153.7</v>
      </c>
      <c r="G1181">
        <v>85511.7</v>
      </c>
    </row>
    <row r="1182" spans="1:7" x14ac:dyDescent="0.35">
      <c r="A1182" s="178" t="s">
        <v>679</v>
      </c>
      <c r="B1182" s="178" t="s">
        <v>2308</v>
      </c>
      <c r="C1182" s="178" t="s">
        <v>559</v>
      </c>
      <c r="D1182" s="178" t="s">
        <v>57</v>
      </c>
      <c r="E1182">
        <v>12542.95</v>
      </c>
      <c r="F1182">
        <v>1881.45</v>
      </c>
      <c r="G1182">
        <v>14424.4</v>
      </c>
    </row>
    <row r="1183" spans="1:7" x14ac:dyDescent="0.35">
      <c r="A1183" s="178" t="s">
        <v>2309</v>
      </c>
      <c r="B1183" s="178" t="s">
        <v>2310</v>
      </c>
      <c r="C1183" s="178" t="s">
        <v>559</v>
      </c>
      <c r="D1183" s="178" t="s">
        <v>57</v>
      </c>
      <c r="E1183">
        <v>2175.8000000000002</v>
      </c>
      <c r="F1183">
        <v>326.38</v>
      </c>
      <c r="G1183">
        <v>2502.1799999999998</v>
      </c>
    </row>
    <row r="1184" spans="1:7" x14ac:dyDescent="0.35">
      <c r="A1184" s="178" t="s">
        <v>374</v>
      </c>
      <c r="B1184" s="178" t="s">
        <v>2311</v>
      </c>
      <c r="C1184" s="178" t="s">
        <v>559</v>
      </c>
      <c r="D1184" s="178" t="s">
        <v>57</v>
      </c>
      <c r="E1184">
        <v>3361.5</v>
      </c>
      <c r="F1184">
        <v>504.23</v>
      </c>
      <c r="G1184">
        <v>3865.73</v>
      </c>
    </row>
    <row r="1185" spans="1:7" x14ac:dyDescent="0.35">
      <c r="A1185" s="178" t="s">
        <v>315</v>
      </c>
      <c r="B1185" s="178" t="s">
        <v>2312</v>
      </c>
      <c r="C1185" s="178" t="s">
        <v>559</v>
      </c>
      <c r="D1185" s="178" t="s">
        <v>57</v>
      </c>
      <c r="E1185">
        <v>2590</v>
      </c>
      <c r="F1185">
        <v>388.5</v>
      </c>
      <c r="G1185">
        <v>2978.5</v>
      </c>
    </row>
    <row r="1186" spans="1:7" x14ac:dyDescent="0.35">
      <c r="A1186" s="178" t="s">
        <v>540</v>
      </c>
      <c r="B1186" s="178" t="s">
        <v>2313</v>
      </c>
      <c r="C1186" s="178" t="s">
        <v>559</v>
      </c>
      <c r="D1186" s="178" t="s">
        <v>57</v>
      </c>
      <c r="E1186">
        <v>7150</v>
      </c>
      <c r="F1186">
        <v>1072.5</v>
      </c>
      <c r="G1186">
        <v>8222.5</v>
      </c>
    </row>
    <row r="1187" spans="1:7" x14ac:dyDescent="0.35">
      <c r="A1187" s="178" t="s">
        <v>478</v>
      </c>
      <c r="B1187" s="178" t="s">
        <v>2314</v>
      </c>
      <c r="C1187" s="178" t="s">
        <v>559</v>
      </c>
      <c r="D1187" s="178" t="s">
        <v>57</v>
      </c>
      <c r="E1187">
        <v>10917.1</v>
      </c>
      <c r="F1187">
        <v>1637.57</v>
      </c>
      <c r="G1187">
        <v>12554.67</v>
      </c>
    </row>
    <row r="1188" spans="1:7" x14ac:dyDescent="0.35">
      <c r="A1188" s="178" t="s">
        <v>554</v>
      </c>
      <c r="B1188" s="178" t="s">
        <v>2315</v>
      </c>
      <c r="C1188" s="178" t="s">
        <v>559</v>
      </c>
      <c r="D1188" s="178" t="s">
        <v>2316</v>
      </c>
      <c r="E1188">
        <v>6925</v>
      </c>
      <c r="F1188">
        <v>1038.75</v>
      </c>
      <c r="G1188">
        <v>7963.75</v>
      </c>
    </row>
    <row r="1189" spans="1:7" x14ac:dyDescent="0.35">
      <c r="A1189" s="178" t="s">
        <v>605</v>
      </c>
      <c r="B1189" s="178" t="s">
        <v>2317</v>
      </c>
      <c r="C1189" s="178" t="s">
        <v>559</v>
      </c>
      <c r="D1189" s="178" t="s">
        <v>57</v>
      </c>
      <c r="E1189">
        <v>2357.75</v>
      </c>
      <c r="F1189">
        <v>353.66</v>
      </c>
      <c r="G1189">
        <v>2711.41</v>
      </c>
    </row>
    <row r="1190" spans="1:7" x14ac:dyDescent="0.35">
      <c r="A1190" s="178" t="s">
        <v>1610</v>
      </c>
      <c r="B1190" s="178" t="s">
        <v>2318</v>
      </c>
      <c r="C1190" s="178" t="s">
        <v>559</v>
      </c>
      <c r="D1190" s="178" t="s">
        <v>2319</v>
      </c>
      <c r="E1190">
        <v>44726.7</v>
      </c>
      <c r="F1190">
        <v>6709</v>
      </c>
      <c r="G1190">
        <v>51435.7</v>
      </c>
    </row>
    <row r="1191" spans="1:7" x14ac:dyDescent="0.35">
      <c r="A1191" s="178" t="s">
        <v>549</v>
      </c>
      <c r="B1191" s="178" t="s">
        <v>2320</v>
      </c>
      <c r="C1191" s="178" t="s">
        <v>559</v>
      </c>
      <c r="D1191" s="178" t="s">
        <v>2321</v>
      </c>
      <c r="E1191">
        <v>3401.3</v>
      </c>
      <c r="F1191">
        <v>510.2</v>
      </c>
      <c r="G1191">
        <v>3911.5</v>
      </c>
    </row>
    <row r="1192" spans="1:7" x14ac:dyDescent="0.35">
      <c r="A1192" s="178" t="s">
        <v>2322</v>
      </c>
      <c r="B1192" s="178" t="s">
        <v>2323</v>
      </c>
      <c r="C1192" s="178" t="s">
        <v>559</v>
      </c>
      <c r="D1192" s="178" t="s">
        <v>57</v>
      </c>
      <c r="E1192">
        <v>6217.2</v>
      </c>
      <c r="F1192">
        <v>932.58</v>
      </c>
      <c r="G1192">
        <v>7149.78</v>
      </c>
    </row>
    <row r="1193" spans="1:7" x14ac:dyDescent="0.35">
      <c r="A1193" s="178" t="s">
        <v>2324</v>
      </c>
      <c r="B1193" s="178" t="s">
        <v>2325</v>
      </c>
      <c r="C1193" s="178" t="s">
        <v>559</v>
      </c>
      <c r="D1193" s="178" t="s">
        <v>57</v>
      </c>
      <c r="E1193">
        <v>6349.6</v>
      </c>
      <c r="F1193">
        <v>952.45</v>
      </c>
      <c r="G1193">
        <v>7302.05</v>
      </c>
    </row>
    <row r="1194" spans="1:7" x14ac:dyDescent="0.35">
      <c r="A1194" s="178" t="s">
        <v>2326</v>
      </c>
      <c r="B1194" s="178" t="s">
        <v>2327</v>
      </c>
      <c r="C1194" s="178" t="s">
        <v>559</v>
      </c>
      <c r="D1194" s="178" t="s">
        <v>57</v>
      </c>
      <c r="E1194">
        <v>6768.3</v>
      </c>
      <c r="F1194">
        <v>1015.25</v>
      </c>
      <c r="G1194">
        <v>7783.55</v>
      </c>
    </row>
    <row r="1195" spans="1:7" x14ac:dyDescent="0.35">
      <c r="A1195" s="178" t="s">
        <v>2154</v>
      </c>
      <c r="B1195" s="178" t="s">
        <v>2328</v>
      </c>
      <c r="C1195" s="178" t="s">
        <v>559</v>
      </c>
      <c r="D1195" s="178" t="s">
        <v>57</v>
      </c>
      <c r="E1195">
        <v>2866.5</v>
      </c>
      <c r="F1195">
        <v>429.98</v>
      </c>
      <c r="G1195">
        <v>3296.48</v>
      </c>
    </row>
    <row r="1196" spans="1:7" x14ac:dyDescent="0.35">
      <c r="A1196" s="178" t="s">
        <v>353</v>
      </c>
      <c r="B1196" s="178" t="s">
        <v>2329</v>
      </c>
      <c r="C1196" s="178" t="s">
        <v>559</v>
      </c>
      <c r="D1196" s="178" t="s">
        <v>57</v>
      </c>
      <c r="E1196">
        <v>9659.25</v>
      </c>
      <c r="F1196">
        <v>1448.89</v>
      </c>
      <c r="G1196">
        <v>11108.14</v>
      </c>
    </row>
    <row r="1197" spans="1:7" x14ac:dyDescent="0.35">
      <c r="A1197" s="178" t="s">
        <v>627</v>
      </c>
      <c r="B1197" s="178" t="s">
        <v>2330</v>
      </c>
      <c r="C1197" s="178" t="s">
        <v>559</v>
      </c>
      <c r="D1197" s="178" t="s">
        <v>57</v>
      </c>
      <c r="E1197">
        <v>2182.6999999999998</v>
      </c>
      <c r="F1197">
        <v>327.41000000000003</v>
      </c>
      <c r="G1197">
        <v>2510.11</v>
      </c>
    </row>
    <row r="1198" spans="1:7" x14ac:dyDescent="0.35">
      <c r="A1198" s="178" t="s">
        <v>2331</v>
      </c>
      <c r="B1198" s="178" t="s">
        <v>2332</v>
      </c>
      <c r="C1198" s="178" t="s">
        <v>559</v>
      </c>
      <c r="D1198" s="178" t="s">
        <v>57</v>
      </c>
      <c r="E1198">
        <v>1213.7</v>
      </c>
      <c r="F1198">
        <v>182.06</v>
      </c>
      <c r="G1198">
        <v>1395.76</v>
      </c>
    </row>
    <row r="1199" spans="1:7" x14ac:dyDescent="0.35">
      <c r="A1199" s="178" t="s">
        <v>532</v>
      </c>
      <c r="B1199" s="178" t="s">
        <v>2333</v>
      </c>
      <c r="C1199" s="178" t="s">
        <v>559</v>
      </c>
      <c r="D1199" s="178" t="s">
        <v>57</v>
      </c>
      <c r="E1199">
        <v>2980.25</v>
      </c>
      <c r="F1199">
        <v>447.04</v>
      </c>
      <c r="G1199">
        <v>3427.29</v>
      </c>
    </row>
    <row r="1200" spans="1:7" x14ac:dyDescent="0.35">
      <c r="A1200" s="178" t="s">
        <v>454</v>
      </c>
      <c r="B1200" s="178" t="s">
        <v>2334</v>
      </c>
      <c r="C1200" s="178" t="s">
        <v>559</v>
      </c>
      <c r="D1200" s="178" t="s">
        <v>1174</v>
      </c>
      <c r="E1200">
        <v>3029.5</v>
      </c>
      <c r="F1200">
        <v>454.43</v>
      </c>
      <c r="G1200">
        <v>3483.93</v>
      </c>
    </row>
    <row r="1201" spans="1:7" x14ac:dyDescent="0.35">
      <c r="A1201" s="178" t="s">
        <v>2335</v>
      </c>
      <c r="B1201" s="178" t="s">
        <v>2336</v>
      </c>
      <c r="C1201" s="178" t="s">
        <v>559</v>
      </c>
      <c r="D1201" s="178" t="s">
        <v>57</v>
      </c>
      <c r="E1201">
        <v>622.45000000000005</v>
      </c>
      <c r="F1201">
        <v>93.37</v>
      </c>
      <c r="G1201">
        <v>715.82</v>
      </c>
    </row>
    <row r="1202" spans="1:7" x14ac:dyDescent="0.35">
      <c r="A1202" s="178" t="s">
        <v>563</v>
      </c>
      <c r="B1202" s="178" t="s">
        <v>2337</v>
      </c>
      <c r="C1202" s="178" t="s">
        <v>559</v>
      </c>
      <c r="D1202" s="178" t="s">
        <v>57</v>
      </c>
      <c r="E1202">
        <v>975</v>
      </c>
      <c r="F1202">
        <v>146.25</v>
      </c>
      <c r="G1202">
        <v>1121.25</v>
      </c>
    </row>
    <row r="1203" spans="1:7" x14ac:dyDescent="0.35">
      <c r="A1203" s="178" t="s">
        <v>597</v>
      </c>
      <c r="B1203" s="178" t="s">
        <v>2338</v>
      </c>
      <c r="C1203" s="178" t="s">
        <v>559</v>
      </c>
      <c r="D1203" s="178" t="s">
        <v>57</v>
      </c>
      <c r="E1203">
        <v>1753.6</v>
      </c>
      <c r="F1203">
        <v>263.04000000000002</v>
      </c>
      <c r="G1203">
        <v>2016.64</v>
      </c>
    </row>
    <row r="1204" spans="1:7" x14ac:dyDescent="0.35">
      <c r="A1204" s="178" t="s">
        <v>620</v>
      </c>
      <c r="B1204" s="178" t="s">
        <v>2339</v>
      </c>
      <c r="C1204" s="178" t="s">
        <v>559</v>
      </c>
      <c r="D1204" s="178" t="s">
        <v>57</v>
      </c>
      <c r="E1204">
        <v>5174.3999999999996</v>
      </c>
      <c r="F1204">
        <v>776.16</v>
      </c>
      <c r="G1204">
        <v>5950.56</v>
      </c>
    </row>
    <row r="1205" spans="1:7" x14ac:dyDescent="0.35">
      <c r="A1205" s="178" t="s">
        <v>1507</v>
      </c>
      <c r="B1205" s="178" t="s">
        <v>2340</v>
      </c>
      <c r="C1205" s="178" t="s">
        <v>559</v>
      </c>
      <c r="D1205" s="178" t="s">
        <v>57</v>
      </c>
      <c r="E1205">
        <v>8697.4500000000007</v>
      </c>
      <c r="F1205">
        <v>1304.6199999999999</v>
      </c>
      <c r="G1205">
        <v>10002.07</v>
      </c>
    </row>
    <row r="1206" spans="1:7" x14ac:dyDescent="0.35">
      <c r="A1206" s="178" t="s">
        <v>839</v>
      </c>
      <c r="B1206" s="178" t="s">
        <v>2341</v>
      </c>
      <c r="C1206" s="178" t="s">
        <v>559</v>
      </c>
      <c r="D1206" s="178" t="s">
        <v>57</v>
      </c>
      <c r="E1206">
        <v>3195.1</v>
      </c>
      <c r="F1206">
        <v>479.27</v>
      </c>
      <c r="G1206">
        <v>3674.37</v>
      </c>
    </row>
    <row r="1207" spans="1:7" x14ac:dyDescent="0.35">
      <c r="A1207" s="178" t="s">
        <v>451</v>
      </c>
      <c r="B1207" s="178" t="s">
        <v>2342</v>
      </c>
      <c r="C1207" s="178" t="s">
        <v>559</v>
      </c>
      <c r="D1207">
        <v>36525</v>
      </c>
      <c r="E1207">
        <v>11546.4</v>
      </c>
      <c r="F1207">
        <v>1731.96</v>
      </c>
      <c r="G1207">
        <v>13278.36</v>
      </c>
    </row>
    <row r="1208" spans="1:7" x14ac:dyDescent="0.35">
      <c r="A1208" s="178" t="s">
        <v>785</v>
      </c>
      <c r="B1208" s="178" t="s">
        <v>2343</v>
      </c>
      <c r="C1208" s="178" t="s">
        <v>559</v>
      </c>
      <c r="D1208" s="178" t="s">
        <v>57</v>
      </c>
      <c r="E1208">
        <v>1068.26</v>
      </c>
      <c r="F1208">
        <v>160.24</v>
      </c>
      <c r="G1208">
        <v>1228.5</v>
      </c>
    </row>
    <row r="1209" spans="1:7" x14ac:dyDescent="0.35">
      <c r="A1209" s="178" t="s">
        <v>2079</v>
      </c>
      <c r="B1209" s="178" t="s">
        <v>2344</v>
      </c>
      <c r="C1209" s="178" t="s">
        <v>559</v>
      </c>
      <c r="D1209" s="178" t="s">
        <v>2269</v>
      </c>
      <c r="E1209">
        <v>3884.7</v>
      </c>
      <c r="F1209">
        <v>582.71</v>
      </c>
      <c r="G1209">
        <v>4467.41</v>
      </c>
    </row>
    <row r="1210" spans="1:7" x14ac:dyDescent="0.35">
      <c r="A1210" s="178" t="s">
        <v>2082</v>
      </c>
      <c r="B1210" s="178" t="s">
        <v>2345</v>
      </c>
      <c r="C1210" s="178" t="s">
        <v>559</v>
      </c>
      <c r="D1210" s="178" t="s">
        <v>2346</v>
      </c>
      <c r="E1210">
        <v>2080</v>
      </c>
      <c r="F1210">
        <v>312</v>
      </c>
      <c r="G1210">
        <v>2392</v>
      </c>
    </row>
    <row r="1211" spans="1:7" x14ac:dyDescent="0.35">
      <c r="A1211" s="178" t="s">
        <v>2082</v>
      </c>
      <c r="B1211" s="178" t="s">
        <v>2347</v>
      </c>
      <c r="C1211" s="178" t="s">
        <v>559</v>
      </c>
      <c r="D1211" s="178" t="s">
        <v>2084</v>
      </c>
      <c r="E1211">
        <v>9376.5</v>
      </c>
      <c r="F1211">
        <v>1406.48</v>
      </c>
      <c r="G1211">
        <v>10782.98</v>
      </c>
    </row>
    <row r="1212" spans="1:7" x14ac:dyDescent="0.35">
      <c r="A1212" s="178" t="s">
        <v>549</v>
      </c>
      <c r="B1212" s="178" t="s">
        <v>2348</v>
      </c>
      <c r="C1212" s="178" t="s">
        <v>559</v>
      </c>
      <c r="D1212" s="178" t="s">
        <v>1355</v>
      </c>
      <c r="E1212">
        <v>3711.55</v>
      </c>
      <c r="F1212">
        <v>556.73</v>
      </c>
      <c r="G1212">
        <v>4268.28</v>
      </c>
    </row>
    <row r="1213" spans="1:7" x14ac:dyDescent="0.35">
      <c r="A1213" s="178" t="s">
        <v>736</v>
      </c>
      <c r="B1213" s="178" t="s">
        <v>2349</v>
      </c>
      <c r="C1213" s="178" t="s">
        <v>559</v>
      </c>
      <c r="D1213" s="178" t="s">
        <v>57</v>
      </c>
      <c r="E1213">
        <v>1496.4</v>
      </c>
      <c r="F1213">
        <v>224.47</v>
      </c>
      <c r="G1213">
        <v>1720.87</v>
      </c>
    </row>
    <row r="1214" spans="1:7" x14ac:dyDescent="0.35">
      <c r="A1214" s="178" t="s">
        <v>377</v>
      </c>
      <c r="B1214" s="178" t="s">
        <v>2350</v>
      </c>
      <c r="C1214" s="178" t="s">
        <v>559</v>
      </c>
      <c r="D1214" s="178" t="s">
        <v>57</v>
      </c>
      <c r="E1214">
        <v>780.2</v>
      </c>
      <c r="F1214">
        <v>117.03</v>
      </c>
      <c r="G1214">
        <v>897.23</v>
      </c>
    </row>
    <row r="1215" spans="1:7" x14ac:dyDescent="0.35">
      <c r="A1215" s="178" t="s">
        <v>2351</v>
      </c>
      <c r="B1215" s="178" t="s">
        <v>2352</v>
      </c>
      <c r="C1215" s="178" t="s">
        <v>559</v>
      </c>
      <c r="D1215" s="178" t="s">
        <v>57</v>
      </c>
      <c r="E1215">
        <v>777.45</v>
      </c>
      <c r="F1215">
        <v>116.62</v>
      </c>
      <c r="G1215">
        <v>894.07</v>
      </c>
    </row>
    <row r="1216" spans="1:7" x14ac:dyDescent="0.35">
      <c r="A1216" s="178" t="s">
        <v>545</v>
      </c>
      <c r="B1216" s="178" t="s">
        <v>2353</v>
      </c>
      <c r="C1216" s="178" t="s">
        <v>559</v>
      </c>
      <c r="D1216" s="178" t="s">
        <v>57</v>
      </c>
      <c r="E1216">
        <v>3854.8</v>
      </c>
      <c r="F1216">
        <v>578.22</v>
      </c>
      <c r="G1216">
        <v>4433.0200000000004</v>
      </c>
    </row>
    <row r="1217" spans="1:7" x14ac:dyDescent="0.35">
      <c r="A1217" s="178" t="s">
        <v>2354</v>
      </c>
      <c r="B1217" s="178" t="s">
        <v>2355</v>
      </c>
      <c r="C1217" s="178" t="s">
        <v>559</v>
      </c>
      <c r="D1217" s="178" t="s">
        <v>57</v>
      </c>
      <c r="E1217">
        <v>1844.7</v>
      </c>
      <c r="F1217">
        <v>276.70999999999998</v>
      </c>
      <c r="G1217">
        <v>2121.41</v>
      </c>
    </row>
    <row r="1218" spans="1:7" x14ac:dyDescent="0.35">
      <c r="A1218" s="178" t="s">
        <v>2356</v>
      </c>
      <c r="B1218" s="178" t="s">
        <v>2357</v>
      </c>
      <c r="C1218" s="178" t="s">
        <v>559</v>
      </c>
      <c r="D1218" s="178" t="s">
        <v>57</v>
      </c>
      <c r="E1218">
        <v>7971.6</v>
      </c>
      <c r="F1218">
        <v>1195.74</v>
      </c>
      <c r="G1218">
        <v>9167.34</v>
      </c>
    </row>
    <row r="1219" spans="1:7" x14ac:dyDescent="0.35">
      <c r="A1219" s="178" t="s">
        <v>377</v>
      </c>
      <c r="B1219" s="178" t="s">
        <v>2358</v>
      </c>
      <c r="C1219" s="178" t="s">
        <v>559</v>
      </c>
      <c r="D1219" s="178" t="s">
        <v>2359</v>
      </c>
      <c r="E1219">
        <v>2486.25</v>
      </c>
      <c r="F1219">
        <v>372.94</v>
      </c>
      <c r="G1219">
        <v>2859.19</v>
      </c>
    </row>
    <row r="1220" spans="1:7" x14ac:dyDescent="0.35">
      <c r="A1220" s="178" t="s">
        <v>2360</v>
      </c>
      <c r="B1220" s="178" t="s">
        <v>2361</v>
      </c>
      <c r="C1220" s="178" t="s">
        <v>559</v>
      </c>
      <c r="D1220" s="178" t="s">
        <v>57</v>
      </c>
      <c r="E1220">
        <v>4642.0200000000004</v>
      </c>
      <c r="F1220">
        <v>696.31</v>
      </c>
      <c r="G1220">
        <v>5338.33</v>
      </c>
    </row>
    <row r="1221" spans="1:7" x14ac:dyDescent="0.35">
      <c r="A1221" s="178" t="s">
        <v>2362</v>
      </c>
      <c r="B1221" s="178" t="s">
        <v>2363</v>
      </c>
      <c r="C1221" s="178" t="s">
        <v>559</v>
      </c>
      <c r="D1221" s="178" t="s">
        <v>57</v>
      </c>
      <c r="E1221">
        <v>1697.85</v>
      </c>
      <c r="F1221">
        <v>254.68</v>
      </c>
      <c r="G1221">
        <v>1952.53</v>
      </c>
    </row>
    <row r="1222" spans="1:7" x14ac:dyDescent="0.35">
      <c r="A1222" s="178" t="s">
        <v>2364</v>
      </c>
      <c r="B1222" s="178" t="s">
        <v>2365</v>
      </c>
      <c r="C1222" s="178" t="s">
        <v>559</v>
      </c>
      <c r="D1222" s="178" t="s">
        <v>57</v>
      </c>
      <c r="E1222">
        <v>875.5</v>
      </c>
      <c r="F1222">
        <v>131.33000000000001</v>
      </c>
      <c r="G1222">
        <v>1006.83</v>
      </c>
    </row>
    <row r="1223" spans="1:7" x14ac:dyDescent="0.35">
      <c r="A1223" s="178" t="s">
        <v>823</v>
      </c>
      <c r="B1223" s="178" t="s">
        <v>2366</v>
      </c>
      <c r="C1223" s="178" t="s">
        <v>559</v>
      </c>
      <c r="D1223" s="178" t="s">
        <v>57</v>
      </c>
      <c r="E1223">
        <v>1537.6</v>
      </c>
      <c r="F1223">
        <v>230.64</v>
      </c>
      <c r="G1223">
        <v>1768.24</v>
      </c>
    </row>
    <row r="1224" spans="1:7" x14ac:dyDescent="0.35">
      <c r="A1224" s="178" t="s">
        <v>750</v>
      </c>
      <c r="B1224" s="178" t="s">
        <v>2367</v>
      </c>
      <c r="C1224" s="178" t="s">
        <v>559</v>
      </c>
      <c r="D1224" s="178" t="s">
        <v>57</v>
      </c>
      <c r="E1224">
        <v>2312.1</v>
      </c>
      <c r="F1224">
        <v>346.82</v>
      </c>
      <c r="G1224">
        <v>2658.92</v>
      </c>
    </row>
    <row r="1225" spans="1:7" x14ac:dyDescent="0.35">
      <c r="A1225" s="178" t="s">
        <v>2368</v>
      </c>
      <c r="B1225" s="178" t="s">
        <v>2369</v>
      </c>
      <c r="C1225" s="178" t="s">
        <v>559</v>
      </c>
      <c r="D1225" s="178" t="s">
        <v>57</v>
      </c>
      <c r="E1225">
        <v>1821.5</v>
      </c>
      <c r="F1225">
        <v>273.23</v>
      </c>
      <c r="G1225">
        <v>2094.73</v>
      </c>
    </row>
    <row r="1226" spans="1:7" x14ac:dyDescent="0.35">
      <c r="A1226" s="178" t="s">
        <v>2370</v>
      </c>
      <c r="B1226" s="178" t="s">
        <v>2371</v>
      </c>
      <c r="C1226" s="178" t="s">
        <v>559</v>
      </c>
      <c r="D1226" s="178" t="s">
        <v>57</v>
      </c>
      <c r="E1226">
        <v>3323.1</v>
      </c>
      <c r="F1226">
        <v>498.47</v>
      </c>
      <c r="G1226">
        <v>3821.57</v>
      </c>
    </row>
    <row r="1227" spans="1:7" x14ac:dyDescent="0.35">
      <c r="A1227" s="178" t="s">
        <v>856</v>
      </c>
      <c r="B1227" s="178" t="s">
        <v>2372</v>
      </c>
      <c r="C1227" s="178" t="s">
        <v>559</v>
      </c>
      <c r="D1227" s="178" t="s">
        <v>57</v>
      </c>
      <c r="E1227">
        <v>3100</v>
      </c>
      <c r="F1227">
        <v>465</v>
      </c>
      <c r="G1227">
        <v>3565</v>
      </c>
    </row>
    <row r="1228" spans="1:7" x14ac:dyDescent="0.35">
      <c r="A1228" s="178" t="s">
        <v>563</v>
      </c>
      <c r="B1228" s="178" t="s">
        <v>2373</v>
      </c>
      <c r="C1228" s="178" t="s">
        <v>559</v>
      </c>
      <c r="D1228" s="178" t="s">
        <v>57</v>
      </c>
      <c r="E1228">
        <v>1347.5</v>
      </c>
      <c r="F1228">
        <v>202.13</v>
      </c>
      <c r="G1228">
        <v>1549.63</v>
      </c>
    </row>
    <row r="1229" spans="1:7" x14ac:dyDescent="0.35">
      <c r="A1229" s="178" t="s">
        <v>913</v>
      </c>
      <c r="B1229" s="178" t="s">
        <v>2374</v>
      </c>
      <c r="C1229" s="178" t="s">
        <v>517</v>
      </c>
      <c r="D1229" s="178" t="s">
        <v>2375</v>
      </c>
      <c r="E1229">
        <v>3894</v>
      </c>
      <c r="F1229">
        <v>584.1</v>
      </c>
      <c r="G1229">
        <v>4478.1000000000004</v>
      </c>
    </row>
    <row r="1230" spans="1:7" x14ac:dyDescent="0.35">
      <c r="A1230" s="178" t="s">
        <v>388</v>
      </c>
      <c r="B1230" s="178" t="s">
        <v>2376</v>
      </c>
      <c r="C1230" s="178" t="s">
        <v>559</v>
      </c>
      <c r="D1230" s="178" t="s">
        <v>57</v>
      </c>
      <c r="E1230">
        <v>1226.0999999999999</v>
      </c>
      <c r="F1230">
        <v>183.92</v>
      </c>
      <c r="G1230">
        <v>1410.02</v>
      </c>
    </row>
    <row r="1231" spans="1:7" x14ac:dyDescent="0.35">
      <c r="A1231" s="178" t="s">
        <v>624</v>
      </c>
      <c r="B1231" s="178" t="s">
        <v>2377</v>
      </c>
      <c r="C1231" s="178" t="s">
        <v>559</v>
      </c>
      <c r="D1231" s="178" t="s">
        <v>57</v>
      </c>
      <c r="E1231">
        <v>11745</v>
      </c>
      <c r="F1231">
        <v>1761.75</v>
      </c>
      <c r="G1231">
        <v>13506.75</v>
      </c>
    </row>
    <row r="1232" spans="1:7" x14ac:dyDescent="0.35">
      <c r="A1232" s="178" t="s">
        <v>366</v>
      </c>
      <c r="B1232" s="178" t="s">
        <v>2378</v>
      </c>
      <c r="C1232" s="178" t="s">
        <v>559</v>
      </c>
      <c r="D1232" s="178" t="s">
        <v>57</v>
      </c>
      <c r="E1232">
        <v>1164.3499999999999</v>
      </c>
      <c r="F1232">
        <v>174.65</v>
      </c>
      <c r="G1232">
        <v>1339</v>
      </c>
    </row>
    <row r="1233" spans="1:7" x14ac:dyDescent="0.35">
      <c r="A1233" s="178" t="s">
        <v>403</v>
      </c>
      <c r="B1233" s="178" t="s">
        <v>2379</v>
      </c>
      <c r="C1233" s="178" t="s">
        <v>559</v>
      </c>
      <c r="D1233" s="178" t="s">
        <v>57</v>
      </c>
      <c r="E1233">
        <v>4378.25</v>
      </c>
      <c r="F1233">
        <v>656.74</v>
      </c>
      <c r="G1233">
        <v>5034.99</v>
      </c>
    </row>
    <row r="1234" spans="1:7" x14ac:dyDescent="0.35">
      <c r="A1234" s="178" t="s">
        <v>1242</v>
      </c>
      <c r="B1234" s="178" t="s">
        <v>2380</v>
      </c>
      <c r="C1234" s="178" t="s">
        <v>559</v>
      </c>
      <c r="D1234" s="178" t="s">
        <v>57</v>
      </c>
      <c r="E1234">
        <v>2837.9</v>
      </c>
      <c r="F1234">
        <v>425.69</v>
      </c>
      <c r="G1234">
        <v>3263.59</v>
      </c>
    </row>
    <row r="1235" spans="1:7" x14ac:dyDescent="0.35">
      <c r="A1235" s="178" t="s">
        <v>2381</v>
      </c>
      <c r="B1235" s="178" t="s">
        <v>2382</v>
      </c>
      <c r="C1235" s="178" t="s">
        <v>559</v>
      </c>
      <c r="D1235" s="178" t="s">
        <v>57</v>
      </c>
      <c r="E1235">
        <v>9499.25</v>
      </c>
      <c r="F1235">
        <v>1424.89</v>
      </c>
      <c r="G1235">
        <v>10924.14</v>
      </c>
    </row>
    <row r="1236" spans="1:7" x14ac:dyDescent="0.35">
      <c r="A1236" s="178" t="s">
        <v>913</v>
      </c>
      <c r="B1236" s="178" t="s">
        <v>2383</v>
      </c>
      <c r="C1236" s="178" t="s">
        <v>559</v>
      </c>
      <c r="D1236" s="178" t="s">
        <v>2384</v>
      </c>
      <c r="E1236">
        <v>1288.2</v>
      </c>
      <c r="F1236">
        <v>193.23</v>
      </c>
      <c r="G1236">
        <v>1481.43</v>
      </c>
    </row>
    <row r="1237" spans="1:7" x14ac:dyDescent="0.35">
      <c r="A1237" s="178" t="s">
        <v>821</v>
      </c>
      <c r="B1237" s="178" t="s">
        <v>2385</v>
      </c>
      <c r="C1237" s="178" t="s">
        <v>559</v>
      </c>
      <c r="D1237" s="178" t="s">
        <v>57</v>
      </c>
      <c r="E1237">
        <v>1608.6</v>
      </c>
      <c r="F1237">
        <v>241.29</v>
      </c>
      <c r="G1237">
        <v>1849.89</v>
      </c>
    </row>
    <row r="1238" spans="1:7" x14ac:dyDescent="0.35">
      <c r="A1238" s="178" t="s">
        <v>1360</v>
      </c>
      <c r="B1238" s="178" t="s">
        <v>2386</v>
      </c>
      <c r="C1238" s="178" t="s">
        <v>559</v>
      </c>
      <c r="D1238" s="178" t="s">
        <v>57</v>
      </c>
      <c r="E1238">
        <v>2920</v>
      </c>
      <c r="F1238">
        <v>438</v>
      </c>
      <c r="G1238">
        <v>3358</v>
      </c>
    </row>
    <row r="1239" spans="1:7" x14ac:dyDescent="0.35">
      <c r="A1239" s="178" t="s">
        <v>866</v>
      </c>
      <c r="B1239" s="178" t="s">
        <v>2387</v>
      </c>
      <c r="C1239" s="178" t="s">
        <v>559</v>
      </c>
      <c r="D1239" s="178" t="s">
        <v>2388</v>
      </c>
      <c r="E1239">
        <v>1421.4</v>
      </c>
      <c r="F1239">
        <v>213.21</v>
      </c>
      <c r="G1239">
        <v>1634.61</v>
      </c>
    </row>
    <row r="1240" spans="1:7" x14ac:dyDescent="0.35">
      <c r="A1240" s="178" t="s">
        <v>1885</v>
      </c>
      <c r="B1240" s="178" t="s">
        <v>2389</v>
      </c>
      <c r="C1240" s="178" t="s">
        <v>559</v>
      </c>
      <c r="D1240" s="178" t="s">
        <v>2390</v>
      </c>
      <c r="E1240">
        <v>11461.1</v>
      </c>
      <c r="F1240">
        <v>1719.17</v>
      </c>
      <c r="G1240">
        <v>13180.27</v>
      </c>
    </row>
    <row r="1241" spans="1:7" x14ac:dyDescent="0.35">
      <c r="A1241" s="178" t="s">
        <v>2391</v>
      </c>
      <c r="B1241" s="178" t="s">
        <v>2392</v>
      </c>
      <c r="C1241" s="178" t="s">
        <v>559</v>
      </c>
      <c r="D1241" s="178" t="s">
        <v>2393</v>
      </c>
      <c r="E1241">
        <v>678.6</v>
      </c>
      <c r="F1241">
        <v>101.79</v>
      </c>
      <c r="G1241">
        <v>780.39</v>
      </c>
    </row>
    <row r="1242" spans="1:7" x14ac:dyDescent="0.35">
      <c r="A1242" s="178" t="s">
        <v>388</v>
      </c>
      <c r="B1242" s="178" t="s">
        <v>2394</v>
      </c>
      <c r="C1242" s="178" t="s">
        <v>559</v>
      </c>
      <c r="D1242" s="178" t="s">
        <v>57</v>
      </c>
      <c r="E1242">
        <v>1049.2</v>
      </c>
      <c r="F1242">
        <v>157.38</v>
      </c>
      <c r="G1242">
        <v>1206.58</v>
      </c>
    </row>
    <row r="1243" spans="1:7" x14ac:dyDescent="0.35">
      <c r="A1243" s="178" t="s">
        <v>447</v>
      </c>
      <c r="B1243" s="178" t="s">
        <v>2395</v>
      </c>
      <c r="C1243" s="178" t="s">
        <v>559</v>
      </c>
      <c r="D1243" s="178" t="s">
        <v>57</v>
      </c>
      <c r="E1243">
        <v>973.95</v>
      </c>
      <c r="F1243">
        <v>146.09</v>
      </c>
      <c r="G1243">
        <v>1120.04</v>
      </c>
    </row>
    <row r="1244" spans="1:7" x14ac:dyDescent="0.35">
      <c r="A1244" s="178" t="s">
        <v>2396</v>
      </c>
      <c r="B1244" s="178" t="s">
        <v>2397</v>
      </c>
      <c r="C1244" s="178" t="s">
        <v>559</v>
      </c>
      <c r="D1244" s="178" t="s">
        <v>57</v>
      </c>
      <c r="E1244">
        <v>203.81</v>
      </c>
      <c r="F1244">
        <v>30.57</v>
      </c>
      <c r="G1244">
        <v>234.38</v>
      </c>
    </row>
    <row r="1245" spans="1:7" x14ac:dyDescent="0.35">
      <c r="A1245" s="178" t="s">
        <v>496</v>
      </c>
      <c r="B1245" s="178" t="s">
        <v>2398</v>
      </c>
      <c r="C1245" s="178" t="s">
        <v>559</v>
      </c>
      <c r="D1245" s="178" t="s">
        <v>2399</v>
      </c>
      <c r="E1245">
        <v>1212.7</v>
      </c>
      <c r="F1245">
        <v>181.91</v>
      </c>
      <c r="G1245">
        <v>1394.61</v>
      </c>
    </row>
    <row r="1246" spans="1:7" x14ac:dyDescent="0.35">
      <c r="A1246" s="178" t="s">
        <v>366</v>
      </c>
      <c r="B1246" s="178" t="s">
        <v>2400</v>
      </c>
      <c r="C1246" s="178" t="s">
        <v>559</v>
      </c>
      <c r="D1246" s="178" t="s">
        <v>1668</v>
      </c>
      <c r="E1246">
        <v>1673</v>
      </c>
      <c r="F1246">
        <v>250.95</v>
      </c>
      <c r="G1246">
        <v>1923.95</v>
      </c>
    </row>
    <row r="1247" spans="1:7" x14ac:dyDescent="0.35">
      <c r="A1247" s="178" t="s">
        <v>2401</v>
      </c>
      <c r="B1247" s="178" t="s">
        <v>2402</v>
      </c>
      <c r="C1247" s="178" t="s">
        <v>559</v>
      </c>
      <c r="D1247" s="178" t="s">
        <v>57</v>
      </c>
      <c r="E1247">
        <v>500</v>
      </c>
      <c r="F1247">
        <v>75</v>
      </c>
      <c r="G1247">
        <v>575</v>
      </c>
    </row>
    <row r="1248" spans="1:7" x14ac:dyDescent="0.35">
      <c r="A1248" s="178" t="s">
        <v>490</v>
      </c>
      <c r="B1248" s="178" t="s">
        <v>2403</v>
      </c>
      <c r="C1248" s="178" t="s">
        <v>559</v>
      </c>
      <c r="D1248" s="178" t="s">
        <v>2241</v>
      </c>
      <c r="E1248">
        <v>1739.5</v>
      </c>
      <c r="F1248">
        <v>260.93</v>
      </c>
      <c r="G1248">
        <v>2000.43</v>
      </c>
    </row>
    <row r="1249" spans="1:7" x14ac:dyDescent="0.35">
      <c r="A1249" s="178" t="s">
        <v>2404</v>
      </c>
      <c r="B1249" s="178" t="s">
        <v>2405</v>
      </c>
      <c r="C1249" s="178" t="s">
        <v>559</v>
      </c>
      <c r="D1249" s="178" t="s">
        <v>57</v>
      </c>
      <c r="E1249">
        <v>4052.15</v>
      </c>
      <c r="F1249">
        <v>607.82000000000005</v>
      </c>
      <c r="G1249">
        <v>4659.97</v>
      </c>
    </row>
    <row r="1250" spans="1:7" x14ac:dyDescent="0.35">
      <c r="A1250" s="178" t="s">
        <v>532</v>
      </c>
      <c r="B1250" s="178" t="s">
        <v>2406</v>
      </c>
      <c r="C1250" s="178" t="s">
        <v>559</v>
      </c>
      <c r="D1250" s="178" t="s">
        <v>57</v>
      </c>
      <c r="E1250">
        <v>1532.6</v>
      </c>
      <c r="F1250">
        <v>229.89</v>
      </c>
      <c r="G1250">
        <v>1762.49</v>
      </c>
    </row>
    <row r="1251" spans="1:7" x14ac:dyDescent="0.35">
      <c r="A1251" s="178" t="s">
        <v>2407</v>
      </c>
      <c r="B1251" s="178" t="s">
        <v>2408</v>
      </c>
      <c r="C1251" s="178" t="s">
        <v>559</v>
      </c>
      <c r="D1251" s="178" t="s">
        <v>57</v>
      </c>
      <c r="E1251">
        <v>2786.4</v>
      </c>
      <c r="F1251">
        <v>417.96</v>
      </c>
      <c r="G1251">
        <v>3204.36</v>
      </c>
    </row>
    <row r="1252" spans="1:7" x14ac:dyDescent="0.35">
      <c r="A1252" s="178" t="s">
        <v>573</v>
      </c>
      <c r="B1252" s="178" t="s">
        <v>2409</v>
      </c>
      <c r="C1252" s="178" t="s">
        <v>559</v>
      </c>
      <c r="D1252" s="178" t="s">
        <v>57</v>
      </c>
      <c r="E1252">
        <v>1363.2</v>
      </c>
      <c r="F1252">
        <v>204.48</v>
      </c>
      <c r="G1252">
        <v>1567.68</v>
      </c>
    </row>
    <row r="1253" spans="1:7" x14ac:dyDescent="0.35">
      <c r="A1253" s="178" t="s">
        <v>2410</v>
      </c>
      <c r="B1253" s="178" t="s">
        <v>2411</v>
      </c>
      <c r="C1253" s="178" t="s">
        <v>559</v>
      </c>
      <c r="D1253" s="178" t="s">
        <v>57</v>
      </c>
      <c r="E1253">
        <v>2859.6</v>
      </c>
      <c r="F1253">
        <v>428.94</v>
      </c>
      <c r="G1253">
        <v>3288.54</v>
      </c>
    </row>
    <row r="1254" spans="1:7" x14ac:dyDescent="0.35">
      <c r="A1254" s="178" t="s">
        <v>388</v>
      </c>
      <c r="B1254" s="178" t="s">
        <v>2412</v>
      </c>
      <c r="C1254" s="178" t="s">
        <v>559</v>
      </c>
      <c r="D1254" s="178" t="s">
        <v>57</v>
      </c>
      <c r="E1254">
        <v>1593</v>
      </c>
      <c r="F1254">
        <v>238.95</v>
      </c>
      <c r="G1254">
        <v>1831.95</v>
      </c>
    </row>
    <row r="1255" spans="1:7" x14ac:dyDescent="0.35">
      <c r="A1255" s="178" t="s">
        <v>2410</v>
      </c>
      <c r="B1255" s="178" t="s">
        <v>2413</v>
      </c>
      <c r="C1255" s="178" t="s">
        <v>559</v>
      </c>
      <c r="D1255" s="178" t="s">
        <v>57</v>
      </c>
      <c r="E1255">
        <v>150</v>
      </c>
      <c r="F1255">
        <v>22.5</v>
      </c>
      <c r="G1255">
        <v>172.5</v>
      </c>
    </row>
    <row r="1256" spans="1:7" x14ac:dyDescent="0.35">
      <c r="A1256" s="178" t="s">
        <v>833</v>
      </c>
      <c r="B1256" s="178" t="s">
        <v>2414</v>
      </c>
      <c r="C1256" s="178" t="s">
        <v>580</v>
      </c>
      <c r="D1256" s="178" t="s">
        <v>57</v>
      </c>
      <c r="E1256">
        <v>3007.5</v>
      </c>
      <c r="F1256">
        <v>451.13</v>
      </c>
      <c r="G1256">
        <v>3458.63</v>
      </c>
    </row>
    <row r="1257" spans="1:7" x14ac:dyDescent="0.35">
      <c r="A1257" s="178" t="s">
        <v>1313</v>
      </c>
      <c r="B1257" s="178" t="s">
        <v>2415</v>
      </c>
      <c r="C1257" s="178" t="s">
        <v>580</v>
      </c>
      <c r="D1257" s="178" t="s">
        <v>2416</v>
      </c>
      <c r="E1257">
        <v>2674.15</v>
      </c>
      <c r="F1257">
        <v>401.12</v>
      </c>
      <c r="G1257">
        <v>3075.27</v>
      </c>
    </row>
    <row r="1258" spans="1:7" x14ac:dyDescent="0.35">
      <c r="A1258" s="178" t="s">
        <v>909</v>
      </c>
      <c r="B1258" s="178" t="s">
        <v>2417</v>
      </c>
      <c r="C1258" s="178" t="s">
        <v>580</v>
      </c>
      <c r="D1258" s="178" t="s">
        <v>57</v>
      </c>
      <c r="E1258">
        <v>1591</v>
      </c>
      <c r="F1258">
        <v>238.65</v>
      </c>
      <c r="G1258">
        <v>1829.65</v>
      </c>
    </row>
    <row r="1259" spans="1:7" x14ac:dyDescent="0.35">
      <c r="A1259" s="178" t="s">
        <v>918</v>
      </c>
      <c r="B1259" s="178" t="s">
        <v>2418</v>
      </c>
      <c r="C1259" s="178" t="s">
        <v>580</v>
      </c>
      <c r="D1259" s="178" t="s">
        <v>57</v>
      </c>
      <c r="E1259">
        <v>8800</v>
      </c>
      <c r="F1259">
        <v>1320</v>
      </c>
      <c r="G1259">
        <v>10120</v>
      </c>
    </row>
    <row r="1260" spans="1:7" x14ac:dyDescent="0.35">
      <c r="A1260" s="178" t="s">
        <v>2419</v>
      </c>
      <c r="B1260" s="178" t="s">
        <v>2420</v>
      </c>
      <c r="C1260" s="178" t="s">
        <v>539</v>
      </c>
      <c r="D1260" s="178" t="s">
        <v>2421</v>
      </c>
      <c r="E1260">
        <v>7726.05</v>
      </c>
      <c r="F1260">
        <v>1158.9100000000001</v>
      </c>
      <c r="G1260">
        <v>8884.9599999999991</v>
      </c>
    </row>
    <row r="1261" spans="1:7" x14ac:dyDescent="0.35">
      <c r="A1261" s="178" t="s">
        <v>679</v>
      </c>
      <c r="B1261" s="178" t="s">
        <v>2422</v>
      </c>
      <c r="C1261" s="178" t="s">
        <v>580</v>
      </c>
      <c r="D1261" s="178" t="s">
        <v>57</v>
      </c>
      <c r="E1261">
        <v>7798.75</v>
      </c>
      <c r="F1261">
        <v>1169.81</v>
      </c>
      <c r="G1261">
        <v>8968.56</v>
      </c>
    </row>
    <row r="1262" spans="1:7" x14ac:dyDescent="0.35">
      <c r="A1262" s="178" t="s">
        <v>839</v>
      </c>
      <c r="B1262" s="178" t="s">
        <v>2423</v>
      </c>
      <c r="C1262" s="178" t="s">
        <v>580</v>
      </c>
      <c r="D1262" s="178" t="s">
        <v>57</v>
      </c>
      <c r="E1262">
        <v>3227.5</v>
      </c>
      <c r="F1262">
        <v>484.13</v>
      </c>
      <c r="G1262">
        <v>3711.63</v>
      </c>
    </row>
    <row r="1263" spans="1:7" x14ac:dyDescent="0.35">
      <c r="A1263" s="178" t="s">
        <v>566</v>
      </c>
      <c r="B1263" s="178" t="s">
        <v>2424</v>
      </c>
      <c r="C1263" s="178" t="s">
        <v>580</v>
      </c>
      <c r="D1263" s="178" t="s">
        <v>57</v>
      </c>
      <c r="E1263">
        <v>22401.75</v>
      </c>
      <c r="F1263">
        <v>3360.27</v>
      </c>
      <c r="G1263">
        <v>25762.02</v>
      </c>
    </row>
    <row r="1264" spans="1:7" x14ac:dyDescent="0.35">
      <c r="A1264" s="178" t="s">
        <v>960</v>
      </c>
      <c r="B1264" s="178" t="s">
        <v>2425</v>
      </c>
      <c r="C1264" s="178" t="s">
        <v>580</v>
      </c>
      <c r="D1264" s="178" t="s">
        <v>57</v>
      </c>
      <c r="E1264">
        <v>7577.6</v>
      </c>
      <c r="F1264">
        <v>1136.6400000000001</v>
      </c>
      <c r="G1264">
        <v>8714.24</v>
      </c>
    </row>
    <row r="1265" spans="1:7" x14ac:dyDescent="0.35">
      <c r="A1265" s="178" t="s">
        <v>2426</v>
      </c>
      <c r="B1265" s="178" t="s">
        <v>2427</v>
      </c>
      <c r="C1265" s="178" t="s">
        <v>580</v>
      </c>
      <c r="D1265" s="178" t="s">
        <v>2428</v>
      </c>
      <c r="E1265">
        <v>1793.6</v>
      </c>
      <c r="F1265">
        <v>269.04000000000002</v>
      </c>
      <c r="G1265">
        <v>2062.64</v>
      </c>
    </row>
    <row r="1266" spans="1:7" x14ac:dyDescent="0.35">
      <c r="A1266" s="178" t="s">
        <v>454</v>
      </c>
      <c r="B1266" s="178" t="s">
        <v>2429</v>
      </c>
      <c r="C1266" s="178" t="s">
        <v>580</v>
      </c>
      <c r="D1266" s="178" t="s">
        <v>57</v>
      </c>
      <c r="E1266">
        <v>939.25</v>
      </c>
      <c r="F1266">
        <v>140.88999999999999</v>
      </c>
      <c r="G1266">
        <v>1080.1400000000001</v>
      </c>
    </row>
    <row r="1267" spans="1:7" x14ac:dyDescent="0.35">
      <c r="A1267" s="178" t="s">
        <v>900</v>
      </c>
      <c r="B1267" s="178" t="s">
        <v>2430</v>
      </c>
      <c r="C1267" s="178" t="s">
        <v>580</v>
      </c>
      <c r="D1267" s="178" t="s">
        <v>57</v>
      </c>
      <c r="E1267">
        <v>656.1</v>
      </c>
      <c r="F1267">
        <v>98.42</v>
      </c>
      <c r="G1267">
        <v>754.52</v>
      </c>
    </row>
    <row r="1268" spans="1:7" x14ac:dyDescent="0.35">
      <c r="A1268" s="178" t="s">
        <v>679</v>
      </c>
      <c r="B1268" s="178" t="s">
        <v>2431</v>
      </c>
      <c r="C1268" s="178" t="s">
        <v>580</v>
      </c>
      <c r="D1268" s="178" t="s">
        <v>57</v>
      </c>
      <c r="E1268">
        <v>17568</v>
      </c>
      <c r="F1268">
        <v>2635.2</v>
      </c>
      <c r="G1268">
        <v>20203.2</v>
      </c>
    </row>
    <row r="1269" spans="1:7" x14ac:dyDescent="0.35">
      <c r="A1269" s="178" t="s">
        <v>2432</v>
      </c>
      <c r="B1269" s="178" t="s">
        <v>2433</v>
      </c>
      <c r="C1269" s="178" t="s">
        <v>580</v>
      </c>
      <c r="D1269" s="178" t="s">
        <v>57</v>
      </c>
      <c r="E1269">
        <v>19065.599999999999</v>
      </c>
      <c r="F1269">
        <v>2859.84</v>
      </c>
      <c r="G1269">
        <v>21925.439999999999</v>
      </c>
    </row>
    <row r="1270" spans="1:7" x14ac:dyDescent="0.35">
      <c r="A1270" s="178" t="s">
        <v>2404</v>
      </c>
      <c r="B1270" s="178" t="s">
        <v>2434</v>
      </c>
      <c r="C1270" s="178" t="s">
        <v>580</v>
      </c>
      <c r="D1270" s="178" t="s">
        <v>57</v>
      </c>
      <c r="E1270">
        <v>762.85</v>
      </c>
      <c r="F1270">
        <v>114.43</v>
      </c>
      <c r="G1270">
        <v>877.28</v>
      </c>
    </row>
    <row r="1271" spans="1:7" x14ac:dyDescent="0.35">
      <c r="A1271" s="178" t="s">
        <v>962</v>
      </c>
      <c r="B1271" s="178" t="s">
        <v>2435</v>
      </c>
      <c r="C1271" s="178" t="s">
        <v>580</v>
      </c>
      <c r="D1271" s="178" t="s">
        <v>57</v>
      </c>
      <c r="E1271">
        <v>1747.15</v>
      </c>
      <c r="F1271">
        <v>262.07</v>
      </c>
      <c r="G1271">
        <v>2009.22</v>
      </c>
    </row>
    <row r="1272" spans="1:7" x14ac:dyDescent="0.35">
      <c r="A1272" s="178" t="s">
        <v>591</v>
      </c>
      <c r="B1272" s="178" t="s">
        <v>2436</v>
      </c>
      <c r="C1272" s="178" t="s">
        <v>580</v>
      </c>
      <c r="D1272" s="178" t="s">
        <v>57</v>
      </c>
      <c r="E1272">
        <v>5865.24</v>
      </c>
      <c r="F1272">
        <v>879.81</v>
      </c>
      <c r="G1272">
        <v>6745.05</v>
      </c>
    </row>
    <row r="1273" spans="1:7" x14ac:dyDescent="0.35">
      <c r="A1273" s="178" t="s">
        <v>591</v>
      </c>
      <c r="B1273" s="178" t="s">
        <v>2437</v>
      </c>
      <c r="C1273" s="178" t="s">
        <v>580</v>
      </c>
      <c r="D1273" s="178" t="s">
        <v>57</v>
      </c>
      <c r="E1273">
        <v>3583.4</v>
      </c>
      <c r="F1273">
        <v>537.52</v>
      </c>
      <c r="G1273">
        <v>4120.92</v>
      </c>
    </row>
    <row r="1274" spans="1:7" x14ac:dyDescent="0.35">
      <c r="A1274" s="178" t="s">
        <v>812</v>
      </c>
      <c r="B1274" s="178" t="s">
        <v>2438</v>
      </c>
      <c r="C1274" s="178" t="s">
        <v>580</v>
      </c>
      <c r="D1274" s="178" t="s">
        <v>2439</v>
      </c>
      <c r="E1274">
        <v>280</v>
      </c>
      <c r="F1274">
        <v>42</v>
      </c>
      <c r="G1274">
        <v>322</v>
      </c>
    </row>
    <row r="1275" spans="1:7" x14ac:dyDescent="0.35">
      <c r="A1275" s="178" t="s">
        <v>2440</v>
      </c>
      <c r="B1275" s="178" t="s">
        <v>2441</v>
      </c>
      <c r="C1275" s="178" t="s">
        <v>580</v>
      </c>
      <c r="D1275" s="178" t="s">
        <v>57</v>
      </c>
      <c r="E1275">
        <v>4192.3500000000004</v>
      </c>
      <c r="F1275">
        <v>628.85</v>
      </c>
      <c r="G1275">
        <v>4821.2</v>
      </c>
    </row>
    <row r="1276" spans="1:7" x14ac:dyDescent="0.35">
      <c r="A1276" s="178" t="s">
        <v>2442</v>
      </c>
      <c r="B1276" s="178" t="s">
        <v>2443</v>
      </c>
      <c r="C1276" s="178" t="s">
        <v>580</v>
      </c>
      <c r="D1276" s="178" t="s">
        <v>57</v>
      </c>
      <c r="E1276">
        <v>878.6</v>
      </c>
      <c r="F1276">
        <v>131.79</v>
      </c>
      <c r="G1276">
        <v>1010.39</v>
      </c>
    </row>
    <row r="1277" spans="1:7" x14ac:dyDescent="0.35">
      <c r="A1277" s="178" t="s">
        <v>2444</v>
      </c>
      <c r="B1277" s="178" t="s">
        <v>2445</v>
      </c>
      <c r="C1277" s="178" t="s">
        <v>580</v>
      </c>
      <c r="D1277" s="178" t="s">
        <v>57</v>
      </c>
      <c r="E1277">
        <v>3037.6</v>
      </c>
      <c r="F1277">
        <v>455.64</v>
      </c>
      <c r="G1277">
        <v>3493.24</v>
      </c>
    </row>
    <row r="1278" spans="1:7" x14ac:dyDescent="0.35">
      <c r="A1278" s="178" t="s">
        <v>2446</v>
      </c>
      <c r="B1278" s="178" t="s">
        <v>2447</v>
      </c>
      <c r="C1278" s="178" t="s">
        <v>580</v>
      </c>
      <c r="D1278" s="178" t="s">
        <v>57</v>
      </c>
      <c r="E1278">
        <v>5581.5</v>
      </c>
      <c r="F1278">
        <v>837.23</v>
      </c>
      <c r="G1278">
        <v>6418.73</v>
      </c>
    </row>
    <row r="1279" spans="1:7" x14ac:dyDescent="0.35">
      <c r="A1279" s="178" t="s">
        <v>1455</v>
      </c>
      <c r="B1279" s="178" t="s">
        <v>2448</v>
      </c>
      <c r="C1279" s="178" t="s">
        <v>580</v>
      </c>
      <c r="D1279" s="178" t="s">
        <v>57</v>
      </c>
      <c r="E1279">
        <v>1474.5</v>
      </c>
      <c r="F1279">
        <v>221.18</v>
      </c>
      <c r="G1279">
        <v>1695.68</v>
      </c>
    </row>
    <row r="1280" spans="1:7" x14ac:dyDescent="0.35">
      <c r="A1280" s="178" t="s">
        <v>670</v>
      </c>
      <c r="B1280" s="178" t="s">
        <v>2449</v>
      </c>
      <c r="C1280" s="178" t="s">
        <v>580</v>
      </c>
      <c r="D1280" s="178" t="s">
        <v>672</v>
      </c>
      <c r="E1280">
        <v>2644.3</v>
      </c>
      <c r="F1280">
        <v>396.65</v>
      </c>
      <c r="G1280">
        <v>3040.95</v>
      </c>
    </row>
    <row r="1281" spans="1:7" x14ac:dyDescent="0.35">
      <c r="A1281" s="178" t="s">
        <v>2450</v>
      </c>
      <c r="B1281" s="178" t="s">
        <v>2451</v>
      </c>
      <c r="C1281" s="178" t="s">
        <v>580</v>
      </c>
      <c r="D1281" s="178" t="s">
        <v>2452</v>
      </c>
      <c r="E1281">
        <v>14216.55</v>
      </c>
      <c r="F1281">
        <v>2132.4899999999998</v>
      </c>
      <c r="G1281">
        <v>16349.04</v>
      </c>
    </row>
    <row r="1282" spans="1:7" x14ac:dyDescent="0.35">
      <c r="A1282" s="178" t="s">
        <v>717</v>
      </c>
      <c r="B1282" s="178" t="s">
        <v>2453</v>
      </c>
      <c r="C1282" s="178" t="s">
        <v>580</v>
      </c>
      <c r="D1282" s="178" t="s">
        <v>57</v>
      </c>
      <c r="E1282">
        <v>1612.5</v>
      </c>
      <c r="F1282">
        <v>241.88</v>
      </c>
      <c r="G1282">
        <v>1854.38</v>
      </c>
    </row>
    <row r="1283" spans="1:7" x14ac:dyDescent="0.35">
      <c r="A1283" s="178" t="s">
        <v>2454</v>
      </c>
      <c r="B1283" s="178" t="s">
        <v>2455</v>
      </c>
      <c r="C1283" s="178" t="s">
        <v>580</v>
      </c>
      <c r="D1283" s="178" t="s">
        <v>57</v>
      </c>
      <c r="E1283">
        <v>2405.8000000000002</v>
      </c>
      <c r="F1283">
        <v>360.88</v>
      </c>
      <c r="G1283">
        <v>2766.68</v>
      </c>
    </row>
    <row r="1284" spans="1:7" x14ac:dyDescent="0.35">
      <c r="A1284" s="178" t="s">
        <v>620</v>
      </c>
      <c r="B1284" s="178" t="s">
        <v>2456</v>
      </c>
      <c r="C1284" s="178" t="s">
        <v>580</v>
      </c>
      <c r="D1284" s="178" t="s">
        <v>57</v>
      </c>
      <c r="E1284">
        <v>1332.8</v>
      </c>
      <c r="F1284">
        <v>199.92</v>
      </c>
      <c r="G1284">
        <v>1532.72</v>
      </c>
    </row>
    <row r="1285" spans="1:7" x14ac:dyDescent="0.35">
      <c r="A1285" s="178" t="s">
        <v>2457</v>
      </c>
      <c r="B1285" s="178" t="s">
        <v>2458</v>
      </c>
      <c r="C1285" s="178" t="s">
        <v>580</v>
      </c>
      <c r="D1285" s="178" t="s">
        <v>57</v>
      </c>
      <c r="E1285">
        <v>4931.3500000000004</v>
      </c>
      <c r="F1285">
        <v>739.7</v>
      </c>
      <c r="G1285">
        <v>5671.05</v>
      </c>
    </row>
    <row r="1286" spans="1:7" x14ac:dyDescent="0.35">
      <c r="A1286" s="178" t="s">
        <v>451</v>
      </c>
      <c r="B1286" s="178" t="s">
        <v>2459</v>
      </c>
      <c r="C1286" s="178" t="s">
        <v>580</v>
      </c>
      <c r="D1286">
        <v>36606</v>
      </c>
      <c r="E1286">
        <v>4330</v>
      </c>
      <c r="F1286">
        <v>649.5</v>
      </c>
      <c r="G1286">
        <v>4979.5</v>
      </c>
    </row>
    <row r="1287" spans="1:7" x14ac:dyDescent="0.35">
      <c r="A1287" s="178" t="s">
        <v>2246</v>
      </c>
      <c r="B1287" s="178" t="s">
        <v>2460</v>
      </c>
      <c r="C1287" s="178" t="s">
        <v>580</v>
      </c>
      <c r="D1287" s="178" t="s">
        <v>2248</v>
      </c>
      <c r="E1287">
        <v>1153.45</v>
      </c>
      <c r="F1287">
        <v>173.02</v>
      </c>
      <c r="G1287">
        <v>1326.47</v>
      </c>
    </row>
    <row r="1288" spans="1:7" x14ac:dyDescent="0.35">
      <c r="A1288" s="178" t="s">
        <v>868</v>
      </c>
      <c r="B1288" s="178" t="s">
        <v>2461</v>
      </c>
      <c r="C1288" s="178" t="s">
        <v>580</v>
      </c>
      <c r="D1288" s="178" t="s">
        <v>57</v>
      </c>
      <c r="E1288">
        <v>5438.1</v>
      </c>
      <c r="F1288">
        <v>815.72</v>
      </c>
      <c r="G1288">
        <v>6253.82</v>
      </c>
    </row>
    <row r="1289" spans="1:7" x14ac:dyDescent="0.35">
      <c r="A1289" s="178" t="s">
        <v>451</v>
      </c>
      <c r="B1289" s="178" t="s">
        <v>2462</v>
      </c>
      <c r="C1289" s="178" t="s">
        <v>580</v>
      </c>
      <c r="D1289">
        <v>36609</v>
      </c>
      <c r="E1289">
        <v>4375.2</v>
      </c>
      <c r="F1289">
        <v>656.28</v>
      </c>
      <c r="G1289">
        <v>5031.4799999999996</v>
      </c>
    </row>
    <row r="1290" spans="1:7" x14ac:dyDescent="0.35">
      <c r="A1290" s="178" t="s">
        <v>451</v>
      </c>
      <c r="B1290" s="178" t="s">
        <v>2463</v>
      </c>
      <c r="C1290" s="178" t="s">
        <v>580</v>
      </c>
      <c r="D1290">
        <v>36611</v>
      </c>
      <c r="E1290">
        <v>5508</v>
      </c>
      <c r="F1290">
        <v>826.2</v>
      </c>
      <c r="G1290">
        <v>6334.2</v>
      </c>
    </row>
    <row r="1291" spans="1:7" x14ac:dyDescent="0.35">
      <c r="A1291" s="178" t="s">
        <v>729</v>
      </c>
      <c r="B1291" s="178" t="s">
        <v>2464</v>
      </c>
      <c r="C1291" s="178" t="s">
        <v>580</v>
      </c>
      <c r="D1291" s="178" t="s">
        <v>57</v>
      </c>
      <c r="E1291">
        <v>1470</v>
      </c>
      <c r="F1291">
        <v>220.5</v>
      </c>
      <c r="G1291">
        <v>1690.5</v>
      </c>
    </row>
    <row r="1292" spans="1:7" x14ac:dyDescent="0.35">
      <c r="A1292" s="178" t="s">
        <v>2465</v>
      </c>
      <c r="B1292" s="178" t="s">
        <v>2466</v>
      </c>
      <c r="C1292" s="178" t="s">
        <v>580</v>
      </c>
      <c r="D1292" s="178" t="s">
        <v>57</v>
      </c>
      <c r="E1292">
        <v>2249.75</v>
      </c>
      <c r="F1292">
        <v>337.46</v>
      </c>
      <c r="G1292">
        <v>2587.21</v>
      </c>
    </row>
    <row r="1293" spans="1:7" x14ac:dyDescent="0.35">
      <c r="A1293" s="178" t="s">
        <v>372</v>
      </c>
      <c r="B1293" s="178" t="s">
        <v>2467</v>
      </c>
      <c r="C1293" s="178" t="s">
        <v>580</v>
      </c>
      <c r="D1293" s="178" t="s">
        <v>57</v>
      </c>
      <c r="E1293">
        <v>32012</v>
      </c>
      <c r="F1293">
        <v>4801.8100000000004</v>
      </c>
      <c r="G1293">
        <v>36813.81</v>
      </c>
    </row>
    <row r="1294" spans="1:7" x14ac:dyDescent="0.35">
      <c r="A1294" s="178" t="s">
        <v>409</v>
      </c>
      <c r="B1294" s="178" t="s">
        <v>2468</v>
      </c>
      <c r="C1294" s="178" t="s">
        <v>580</v>
      </c>
      <c r="D1294" s="178" t="s">
        <v>57</v>
      </c>
      <c r="E1294">
        <v>11520</v>
      </c>
      <c r="F1294">
        <v>1728</v>
      </c>
      <c r="G1294">
        <v>13248</v>
      </c>
    </row>
    <row r="1295" spans="1:7" x14ac:dyDescent="0.35">
      <c r="A1295" s="178" t="s">
        <v>347</v>
      </c>
      <c r="B1295" s="178" t="s">
        <v>2469</v>
      </c>
      <c r="C1295" s="178" t="s">
        <v>580</v>
      </c>
      <c r="D1295" s="178" t="s">
        <v>57</v>
      </c>
      <c r="E1295">
        <v>19459.650000000001</v>
      </c>
      <c r="F1295">
        <v>2918.96</v>
      </c>
      <c r="G1295">
        <v>22378.61</v>
      </c>
    </row>
    <row r="1296" spans="1:7" x14ac:dyDescent="0.35">
      <c r="A1296" s="178" t="s">
        <v>1031</v>
      </c>
      <c r="B1296" s="178" t="s">
        <v>2470</v>
      </c>
      <c r="C1296" s="178" t="s">
        <v>580</v>
      </c>
      <c r="D1296" s="178" t="s">
        <v>57</v>
      </c>
      <c r="E1296">
        <v>6106.45</v>
      </c>
      <c r="F1296">
        <v>915.97</v>
      </c>
      <c r="G1296">
        <v>7022.42</v>
      </c>
    </row>
    <row r="1297" spans="1:7" x14ac:dyDescent="0.35">
      <c r="A1297" s="178" t="s">
        <v>2007</v>
      </c>
      <c r="B1297" s="178" t="s">
        <v>2471</v>
      </c>
      <c r="C1297" s="178" t="s">
        <v>580</v>
      </c>
      <c r="D1297" s="178" t="s">
        <v>2472</v>
      </c>
      <c r="E1297">
        <v>8011.45</v>
      </c>
      <c r="F1297">
        <v>1201.73</v>
      </c>
      <c r="G1297">
        <v>9213.18</v>
      </c>
    </row>
    <row r="1298" spans="1:7" x14ac:dyDescent="0.35">
      <c r="A1298" s="178" t="s">
        <v>709</v>
      </c>
      <c r="B1298" s="178" t="s">
        <v>2473</v>
      </c>
      <c r="C1298" s="178" t="s">
        <v>580</v>
      </c>
      <c r="D1298" s="178" t="s">
        <v>57</v>
      </c>
      <c r="E1298">
        <v>8381.15</v>
      </c>
      <c r="F1298">
        <v>1257.17</v>
      </c>
      <c r="G1298">
        <v>9638.32</v>
      </c>
    </row>
    <row r="1299" spans="1:7" x14ac:dyDescent="0.35">
      <c r="A1299" s="178" t="s">
        <v>1365</v>
      </c>
      <c r="B1299" s="178" t="s">
        <v>2474</v>
      </c>
      <c r="C1299" s="178" t="s">
        <v>580</v>
      </c>
      <c r="D1299" s="178" t="s">
        <v>57</v>
      </c>
      <c r="E1299">
        <v>1251.5999999999999</v>
      </c>
      <c r="F1299">
        <v>187.74</v>
      </c>
      <c r="G1299">
        <v>1439.34</v>
      </c>
    </row>
    <row r="1300" spans="1:7" x14ac:dyDescent="0.35">
      <c r="A1300" s="178" t="s">
        <v>2475</v>
      </c>
      <c r="B1300" s="178" t="s">
        <v>2476</v>
      </c>
      <c r="C1300" s="178" t="s">
        <v>580</v>
      </c>
      <c r="D1300" s="178" t="s">
        <v>57</v>
      </c>
      <c r="E1300">
        <v>1208.9000000000001</v>
      </c>
      <c r="F1300">
        <v>181.34</v>
      </c>
      <c r="G1300">
        <v>1390.24</v>
      </c>
    </row>
    <row r="1301" spans="1:7" x14ac:dyDescent="0.35">
      <c r="A1301" s="178" t="s">
        <v>866</v>
      </c>
      <c r="B1301" s="178" t="s">
        <v>2477</v>
      </c>
      <c r="C1301" s="178" t="s">
        <v>580</v>
      </c>
      <c r="D1301" s="178" t="s">
        <v>57</v>
      </c>
      <c r="E1301">
        <v>5205.1499999999996</v>
      </c>
      <c r="F1301">
        <v>780.77</v>
      </c>
      <c r="G1301">
        <v>5985.92</v>
      </c>
    </row>
    <row r="1302" spans="1:7" x14ac:dyDescent="0.35">
      <c r="A1302" s="178" t="s">
        <v>605</v>
      </c>
      <c r="B1302" s="178" t="s">
        <v>2478</v>
      </c>
      <c r="C1302" s="178" t="s">
        <v>580</v>
      </c>
      <c r="D1302" s="178" t="s">
        <v>57</v>
      </c>
      <c r="E1302">
        <v>971.8</v>
      </c>
      <c r="F1302">
        <v>145.77000000000001</v>
      </c>
      <c r="G1302">
        <v>1117.57</v>
      </c>
    </row>
    <row r="1303" spans="1:7" x14ac:dyDescent="0.35">
      <c r="A1303" s="178" t="s">
        <v>1179</v>
      </c>
      <c r="B1303" s="178" t="s">
        <v>2479</v>
      </c>
      <c r="C1303" s="178" t="s">
        <v>580</v>
      </c>
      <c r="D1303" s="178" t="s">
        <v>57</v>
      </c>
      <c r="E1303">
        <v>22288</v>
      </c>
      <c r="F1303">
        <v>3343.2</v>
      </c>
      <c r="G1303">
        <v>25631.200000000001</v>
      </c>
    </row>
    <row r="1304" spans="1:7" x14ac:dyDescent="0.35">
      <c r="A1304" s="178" t="s">
        <v>591</v>
      </c>
      <c r="B1304" s="178" t="s">
        <v>2480</v>
      </c>
      <c r="C1304" s="178" t="s">
        <v>580</v>
      </c>
      <c r="D1304" s="178" t="s">
        <v>57</v>
      </c>
      <c r="E1304">
        <v>3583.4</v>
      </c>
      <c r="F1304">
        <v>537.52</v>
      </c>
      <c r="G1304">
        <v>4120.92</v>
      </c>
    </row>
    <row r="1305" spans="1:7" x14ac:dyDescent="0.35">
      <c r="A1305" s="178" t="s">
        <v>451</v>
      </c>
      <c r="B1305" s="178" t="s">
        <v>2481</v>
      </c>
      <c r="C1305" s="178" t="s">
        <v>580</v>
      </c>
      <c r="D1305">
        <v>36614</v>
      </c>
      <c r="E1305">
        <v>9657.7000000000007</v>
      </c>
      <c r="F1305">
        <v>1448.66</v>
      </c>
      <c r="G1305">
        <v>11106.36</v>
      </c>
    </row>
    <row r="1306" spans="1:7" x14ac:dyDescent="0.35">
      <c r="A1306" s="178" t="s">
        <v>451</v>
      </c>
      <c r="B1306" s="178" t="s">
        <v>2482</v>
      </c>
      <c r="C1306" s="178" t="s">
        <v>580</v>
      </c>
      <c r="D1306">
        <v>33613</v>
      </c>
      <c r="E1306">
        <v>812.5</v>
      </c>
      <c r="F1306">
        <v>121.88</v>
      </c>
      <c r="G1306">
        <v>934.38</v>
      </c>
    </row>
    <row r="1307" spans="1:7" x14ac:dyDescent="0.35">
      <c r="A1307" s="178" t="s">
        <v>388</v>
      </c>
      <c r="B1307" s="178" t="s">
        <v>2483</v>
      </c>
      <c r="C1307" s="178" t="s">
        <v>580</v>
      </c>
      <c r="D1307" s="178" t="s">
        <v>57</v>
      </c>
      <c r="E1307">
        <v>1286.8499999999999</v>
      </c>
      <c r="F1307">
        <v>193.03</v>
      </c>
      <c r="G1307">
        <v>1479.88</v>
      </c>
    </row>
    <row r="1308" spans="1:7" x14ac:dyDescent="0.35">
      <c r="A1308" s="178" t="s">
        <v>2484</v>
      </c>
      <c r="B1308" s="178" t="s">
        <v>2485</v>
      </c>
      <c r="C1308" s="178" t="s">
        <v>580</v>
      </c>
      <c r="D1308" s="178" t="s">
        <v>57</v>
      </c>
      <c r="E1308">
        <v>8282.7000000000007</v>
      </c>
      <c r="F1308">
        <v>1242.42</v>
      </c>
      <c r="G1308">
        <v>9525.1200000000008</v>
      </c>
    </row>
    <row r="1309" spans="1:7" x14ac:dyDescent="0.35">
      <c r="A1309" s="178" t="s">
        <v>1365</v>
      </c>
      <c r="B1309" s="178" t="s">
        <v>2486</v>
      </c>
      <c r="C1309" s="178" t="s">
        <v>580</v>
      </c>
      <c r="D1309" s="178" t="s">
        <v>57</v>
      </c>
      <c r="E1309">
        <v>785.4</v>
      </c>
      <c r="F1309">
        <v>117.81</v>
      </c>
      <c r="G1309">
        <v>903.21</v>
      </c>
    </row>
    <row r="1310" spans="1:7" x14ac:dyDescent="0.35">
      <c r="A1310" s="178" t="s">
        <v>890</v>
      </c>
      <c r="B1310" s="178" t="s">
        <v>2487</v>
      </c>
      <c r="C1310" s="178" t="s">
        <v>580</v>
      </c>
      <c r="D1310" s="178" t="s">
        <v>57</v>
      </c>
      <c r="E1310">
        <v>1332.15</v>
      </c>
      <c r="F1310">
        <v>199.82</v>
      </c>
      <c r="G1310">
        <v>1531.97</v>
      </c>
    </row>
    <row r="1311" spans="1:7" x14ac:dyDescent="0.35">
      <c r="A1311" s="178" t="s">
        <v>1059</v>
      </c>
      <c r="B1311" s="178" t="s">
        <v>2488</v>
      </c>
      <c r="C1311" s="178" t="s">
        <v>580</v>
      </c>
      <c r="D1311" s="178" t="s">
        <v>57</v>
      </c>
      <c r="E1311">
        <v>2369.65</v>
      </c>
      <c r="F1311">
        <v>355.45</v>
      </c>
      <c r="G1311">
        <v>2725.1</v>
      </c>
    </row>
    <row r="1312" spans="1:7" x14ac:dyDescent="0.35">
      <c r="A1312" s="178" t="s">
        <v>748</v>
      </c>
      <c r="B1312" s="178" t="s">
        <v>2489</v>
      </c>
      <c r="C1312" s="178" t="s">
        <v>593</v>
      </c>
      <c r="D1312" s="178" t="s">
        <v>57</v>
      </c>
      <c r="E1312">
        <v>4717.1000000000004</v>
      </c>
      <c r="F1312">
        <v>707.58</v>
      </c>
      <c r="G1312">
        <v>5424.68</v>
      </c>
    </row>
    <row r="1313" spans="1:7" x14ac:dyDescent="0.35">
      <c r="A1313" s="178" t="s">
        <v>2490</v>
      </c>
      <c r="B1313" s="178" t="s">
        <v>2491</v>
      </c>
      <c r="C1313" s="178" t="s">
        <v>593</v>
      </c>
      <c r="D1313" s="178" t="s">
        <v>57</v>
      </c>
      <c r="E1313">
        <v>5722.5</v>
      </c>
      <c r="F1313">
        <v>858.37</v>
      </c>
      <c r="G1313">
        <v>6580.87</v>
      </c>
    </row>
    <row r="1314" spans="1:7" x14ac:dyDescent="0.35">
      <c r="A1314" s="178" t="s">
        <v>1385</v>
      </c>
      <c r="B1314" s="178" t="s">
        <v>2492</v>
      </c>
      <c r="C1314" s="178" t="s">
        <v>593</v>
      </c>
      <c r="D1314" s="178" t="s">
        <v>57</v>
      </c>
      <c r="E1314">
        <v>3332.5</v>
      </c>
      <c r="F1314">
        <v>499.88</v>
      </c>
      <c r="G1314">
        <v>3832.38</v>
      </c>
    </row>
    <row r="1315" spans="1:7" x14ac:dyDescent="0.35">
      <c r="A1315" s="178" t="s">
        <v>924</v>
      </c>
      <c r="B1315" s="178" t="s">
        <v>2493</v>
      </c>
      <c r="C1315" s="178" t="s">
        <v>593</v>
      </c>
      <c r="D1315" s="178" t="s">
        <v>57</v>
      </c>
      <c r="E1315">
        <v>1704.25</v>
      </c>
      <c r="F1315">
        <v>255.64</v>
      </c>
      <c r="G1315">
        <v>1959.89</v>
      </c>
    </row>
    <row r="1316" spans="1:7" x14ac:dyDescent="0.35">
      <c r="A1316" s="178" t="s">
        <v>1629</v>
      </c>
      <c r="B1316" s="178" t="s">
        <v>2494</v>
      </c>
      <c r="C1316" s="178" t="s">
        <v>593</v>
      </c>
      <c r="D1316" s="178" t="s">
        <v>2495</v>
      </c>
      <c r="E1316">
        <v>22248.2</v>
      </c>
      <c r="F1316">
        <v>3337.23</v>
      </c>
      <c r="G1316">
        <v>25585.43</v>
      </c>
    </row>
    <row r="1317" spans="1:7" x14ac:dyDescent="0.35">
      <c r="A1317" s="178" t="s">
        <v>1406</v>
      </c>
      <c r="B1317" s="178" t="s">
        <v>2496</v>
      </c>
      <c r="C1317" s="178" t="s">
        <v>593</v>
      </c>
      <c r="D1317" s="178" t="s">
        <v>2497</v>
      </c>
      <c r="E1317">
        <v>14932.5</v>
      </c>
      <c r="F1317">
        <v>2239.88</v>
      </c>
      <c r="G1317">
        <v>17172.38</v>
      </c>
    </row>
    <row r="1318" spans="1:7" x14ac:dyDescent="0.35">
      <c r="A1318" s="178" t="s">
        <v>2498</v>
      </c>
      <c r="B1318" s="178" t="s">
        <v>2499</v>
      </c>
      <c r="C1318" s="178" t="s">
        <v>593</v>
      </c>
      <c r="D1318" s="178" t="s">
        <v>57</v>
      </c>
      <c r="E1318">
        <v>2517.1999999999998</v>
      </c>
      <c r="F1318">
        <v>377.58</v>
      </c>
      <c r="G1318">
        <v>2894.78</v>
      </c>
    </row>
    <row r="1319" spans="1:7" x14ac:dyDescent="0.35">
      <c r="A1319" s="178" t="s">
        <v>338</v>
      </c>
      <c r="B1319" s="178" t="s">
        <v>2500</v>
      </c>
      <c r="C1319" s="178" t="s">
        <v>593</v>
      </c>
      <c r="D1319" s="178" t="s">
        <v>2501</v>
      </c>
      <c r="E1319">
        <v>8648.7999999999993</v>
      </c>
      <c r="F1319">
        <v>1297.32</v>
      </c>
      <c r="G1319">
        <v>9946.1200000000008</v>
      </c>
    </row>
    <row r="1320" spans="1:7" x14ac:dyDescent="0.35">
      <c r="A1320" s="178" t="s">
        <v>2502</v>
      </c>
      <c r="B1320" s="178" t="s">
        <v>2503</v>
      </c>
      <c r="C1320" s="178" t="s">
        <v>593</v>
      </c>
      <c r="D1320" s="178" t="s">
        <v>2504</v>
      </c>
      <c r="E1320">
        <v>585.9</v>
      </c>
      <c r="F1320">
        <v>87.89</v>
      </c>
      <c r="G1320">
        <v>673.79</v>
      </c>
    </row>
    <row r="1321" spans="1:7" x14ac:dyDescent="0.35">
      <c r="A1321" s="178" t="s">
        <v>549</v>
      </c>
      <c r="B1321" s="178" t="s">
        <v>2505</v>
      </c>
      <c r="C1321" s="178" t="s">
        <v>593</v>
      </c>
      <c r="D1321" s="178" t="s">
        <v>1355</v>
      </c>
      <c r="E1321">
        <v>704.7</v>
      </c>
      <c r="F1321">
        <v>105.71</v>
      </c>
      <c r="G1321">
        <v>810.41</v>
      </c>
    </row>
    <row r="1322" spans="1:7" x14ac:dyDescent="0.35">
      <c r="A1322" s="178" t="s">
        <v>383</v>
      </c>
      <c r="B1322" s="178" t="s">
        <v>2506</v>
      </c>
      <c r="C1322" s="178" t="s">
        <v>593</v>
      </c>
      <c r="D1322" s="178" t="s">
        <v>57</v>
      </c>
      <c r="E1322">
        <v>1504.8</v>
      </c>
      <c r="F1322">
        <v>225.72</v>
      </c>
      <c r="G1322">
        <v>1730.52</v>
      </c>
    </row>
    <row r="1323" spans="1:7" x14ac:dyDescent="0.35">
      <c r="A1323" s="178" t="s">
        <v>2507</v>
      </c>
      <c r="B1323" s="178" t="s">
        <v>2508</v>
      </c>
      <c r="C1323" s="178" t="s">
        <v>593</v>
      </c>
      <c r="D1323" s="178" t="s">
        <v>57</v>
      </c>
      <c r="E1323">
        <v>4149.95</v>
      </c>
      <c r="F1323">
        <v>622.5</v>
      </c>
      <c r="G1323">
        <v>4772.45</v>
      </c>
    </row>
    <row r="1324" spans="1:7" x14ac:dyDescent="0.35">
      <c r="A1324" s="178" t="s">
        <v>839</v>
      </c>
      <c r="B1324" s="178" t="s">
        <v>2509</v>
      </c>
      <c r="C1324" s="178" t="s">
        <v>593</v>
      </c>
      <c r="D1324" s="178" t="s">
        <v>57</v>
      </c>
      <c r="E1324">
        <v>2248.65</v>
      </c>
      <c r="F1324">
        <v>337.3</v>
      </c>
      <c r="G1324">
        <v>2585.9499999999998</v>
      </c>
    </row>
    <row r="1325" spans="1:7" x14ac:dyDescent="0.35">
      <c r="A1325" s="178" t="s">
        <v>451</v>
      </c>
      <c r="B1325" s="178" t="s">
        <v>2510</v>
      </c>
      <c r="C1325" s="178" t="s">
        <v>593</v>
      </c>
      <c r="D1325">
        <v>36641</v>
      </c>
      <c r="E1325">
        <v>5556</v>
      </c>
      <c r="F1325">
        <v>833.4</v>
      </c>
      <c r="G1325">
        <v>6389.4</v>
      </c>
    </row>
    <row r="1326" spans="1:7" x14ac:dyDescent="0.35">
      <c r="A1326" s="178" t="s">
        <v>353</v>
      </c>
      <c r="B1326" s="178" t="s">
        <v>2511</v>
      </c>
      <c r="C1326" s="178" t="s">
        <v>580</v>
      </c>
      <c r="D1326" s="178" t="s">
        <v>57</v>
      </c>
      <c r="E1326">
        <v>4838.25</v>
      </c>
      <c r="F1326">
        <v>725.74</v>
      </c>
      <c r="G1326">
        <v>5563.99</v>
      </c>
    </row>
    <row r="1327" spans="1:7" x14ac:dyDescent="0.35">
      <c r="A1327" s="178" t="s">
        <v>454</v>
      </c>
      <c r="B1327" s="178" t="s">
        <v>2512</v>
      </c>
      <c r="C1327" s="178" t="s">
        <v>580</v>
      </c>
      <c r="D1327" s="178" t="s">
        <v>2513</v>
      </c>
      <c r="E1327">
        <v>722.4</v>
      </c>
      <c r="F1327">
        <v>108.36</v>
      </c>
      <c r="G1327">
        <v>830.76</v>
      </c>
    </row>
    <row r="1328" spans="1:7" x14ac:dyDescent="0.35">
      <c r="A1328" s="178" t="s">
        <v>2514</v>
      </c>
      <c r="B1328" s="178" t="s">
        <v>2515</v>
      </c>
      <c r="C1328" s="178" t="s">
        <v>593</v>
      </c>
      <c r="D1328" s="178" t="s">
        <v>2516</v>
      </c>
      <c r="E1328">
        <v>1295.4000000000001</v>
      </c>
      <c r="F1328">
        <v>194.31</v>
      </c>
      <c r="G1328">
        <v>1489.71</v>
      </c>
    </row>
    <row r="1329" spans="1:7" x14ac:dyDescent="0.35">
      <c r="A1329" s="178" t="s">
        <v>683</v>
      </c>
      <c r="B1329" s="178" t="s">
        <v>2517</v>
      </c>
      <c r="C1329" s="178" t="s">
        <v>580</v>
      </c>
      <c r="D1329" s="178" t="s">
        <v>57</v>
      </c>
      <c r="E1329">
        <v>1660</v>
      </c>
      <c r="F1329">
        <v>249.01</v>
      </c>
      <c r="G1329">
        <v>1909.01</v>
      </c>
    </row>
    <row r="1330" spans="1:7" x14ac:dyDescent="0.35">
      <c r="A1330" s="178" t="s">
        <v>419</v>
      </c>
      <c r="B1330" s="178" t="s">
        <v>2518</v>
      </c>
      <c r="C1330" s="178" t="s">
        <v>580</v>
      </c>
      <c r="D1330" s="178" t="s">
        <v>57</v>
      </c>
      <c r="E1330">
        <v>2690.05</v>
      </c>
      <c r="F1330">
        <v>403.51</v>
      </c>
      <c r="G1330">
        <v>3093.56</v>
      </c>
    </row>
    <row r="1331" spans="1:7" x14ac:dyDescent="0.35">
      <c r="A1331" s="178" t="s">
        <v>646</v>
      </c>
      <c r="B1331" s="178" t="s">
        <v>2519</v>
      </c>
      <c r="C1331" s="178" t="s">
        <v>593</v>
      </c>
      <c r="D1331" s="178" t="s">
        <v>648</v>
      </c>
      <c r="E1331">
        <v>11152.8</v>
      </c>
      <c r="F1331">
        <v>1672.93</v>
      </c>
      <c r="G1331">
        <v>12825.73</v>
      </c>
    </row>
    <row r="1332" spans="1:7" x14ac:dyDescent="0.35">
      <c r="A1332" s="178" t="s">
        <v>2520</v>
      </c>
      <c r="B1332" s="178" t="s">
        <v>2521</v>
      </c>
      <c r="C1332" s="178" t="s">
        <v>593</v>
      </c>
      <c r="D1332" s="178" t="s">
        <v>2522</v>
      </c>
      <c r="E1332">
        <v>1612</v>
      </c>
      <c r="F1332">
        <v>241.8</v>
      </c>
      <c r="G1332">
        <v>1853.8</v>
      </c>
    </row>
    <row r="1333" spans="1:7" x14ac:dyDescent="0.35">
      <c r="A1333" s="178" t="s">
        <v>478</v>
      </c>
      <c r="B1333" s="178" t="s">
        <v>2523</v>
      </c>
      <c r="C1333" s="178" t="s">
        <v>580</v>
      </c>
      <c r="D1333" s="178" t="s">
        <v>57</v>
      </c>
      <c r="E1333">
        <v>1559.75</v>
      </c>
      <c r="F1333">
        <v>233.96</v>
      </c>
      <c r="G1333">
        <v>1793.71</v>
      </c>
    </row>
    <row r="1334" spans="1:7" x14ac:dyDescent="0.35">
      <c r="A1334" s="178" t="s">
        <v>2524</v>
      </c>
      <c r="B1334" s="178" t="s">
        <v>2525</v>
      </c>
      <c r="C1334" s="178" t="s">
        <v>580</v>
      </c>
      <c r="D1334" s="178" t="s">
        <v>57</v>
      </c>
      <c r="E1334">
        <v>1176.4000000000001</v>
      </c>
      <c r="F1334">
        <v>176.46</v>
      </c>
      <c r="G1334">
        <v>1352.86</v>
      </c>
    </row>
    <row r="1335" spans="1:7" x14ac:dyDescent="0.35">
      <c r="A1335" s="178" t="s">
        <v>681</v>
      </c>
      <c r="B1335" s="178" t="s">
        <v>2526</v>
      </c>
      <c r="C1335" s="178" t="s">
        <v>593</v>
      </c>
      <c r="D1335" s="178" t="s">
        <v>57</v>
      </c>
      <c r="E1335">
        <v>9895.5</v>
      </c>
      <c r="F1335">
        <v>1484.33</v>
      </c>
      <c r="G1335">
        <v>11379.83</v>
      </c>
    </row>
    <row r="1336" spans="1:7" x14ac:dyDescent="0.35">
      <c r="A1336" s="178" t="s">
        <v>2527</v>
      </c>
      <c r="B1336" s="178" t="s">
        <v>2528</v>
      </c>
      <c r="C1336" s="178" t="s">
        <v>593</v>
      </c>
      <c r="D1336" s="178" t="s">
        <v>57</v>
      </c>
      <c r="E1336">
        <v>1076</v>
      </c>
      <c r="F1336">
        <v>161.4</v>
      </c>
      <c r="G1336">
        <v>1237.4000000000001</v>
      </c>
    </row>
    <row r="1337" spans="1:7" x14ac:dyDescent="0.35">
      <c r="A1337" s="178" t="s">
        <v>545</v>
      </c>
      <c r="B1337" s="178" t="s">
        <v>2529</v>
      </c>
      <c r="C1337" s="178" t="s">
        <v>593</v>
      </c>
      <c r="D1337" s="178" t="s">
        <v>57</v>
      </c>
      <c r="E1337">
        <v>4657.5</v>
      </c>
      <c r="F1337">
        <v>698.63</v>
      </c>
      <c r="G1337">
        <v>5356.13</v>
      </c>
    </row>
    <row r="1338" spans="1:7" x14ac:dyDescent="0.35">
      <c r="A1338" s="178" t="s">
        <v>388</v>
      </c>
      <c r="B1338" s="178" t="s">
        <v>2530</v>
      </c>
      <c r="C1338" s="178" t="s">
        <v>593</v>
      </c>
      <c r="D1338" s="178" t="s">
        <v>57</v>
      </c>
      <c r="E1338">
        <v>460.29</v>
      </c>
      <c r="F1338">
        <v>69.040000000000006</v>
      </c>
      <c r="G1338">
        <v>529.33000000000004</v>
      </c>
    </row>
    <row r="1339" spans="1:7" x14ac:dyDescent="0.35">
      <c r="A1339" s="178" t="s">
        <v>503</v>
      </c>
      <c r="B1339" s="178" t="s">
        <v>2531</v>
      </c>
      <c r="C1339" s="178" t="s">
        <v>593</v>
      </c>
      <c r="D1339" s="178" t="s">
        <v>57</v>
      </c>
      <c r="E1339">
        <v>14206.5</v>
      </c>
      <c r="F1339">
        <v>2130.98</v>
      </c>
      <c r="G1339">
        <v>16337.48</v>
      </c>
    </row>
    <row r="1340" spans="1:7" x14ac:dyDescent="0.35">
      <c r="A1340" s="178" t="s">
        <v>949</v>
      </c>
      <c r="B1340" s="178" t="s">
        <v>2532</v>
      </c>
      <c r="C1340" s="178" t="s">
        <v>593</v>
      </c>
      <c r="D1340" s="178" t="s">
        <v>57</v>
      </c>
      <c r="E1340">
        <v>9296.6</v>
      </c>
      <c r="F1340">
        <v>1394.49</v>
      </c>
      <c r="G1340">
        <v>10691.09</v>
      </c>
    </row>
    <row r="1341" spans="1:7" x14ac:dyDescent="0.35">
      <c r="A1341" s="178" t="s">
        <v>591</v>
      </c>
      <c r="B1341" s="178" t="s">
        <v>2533</v>
      </c>
      <c r="C1341" s="178" t="s">
        <v>593</v>
      </c>
      <c r="D1341" s="178" t="s">
        <v>57</v>
      </c>
      <c r="E1341">
        <v>5280.42</v>
      </c>
      <c r="F1341">
        <v>792.07</v>
      </c>
      <c r="G1341">
        <v>6072.49</v>
      </c>
    </row>
    <row r="1342" spans="1:7" x14ac:dyDescent="0.35">
      <c r="A1342" s="178" t="s">
        <v>496</v>
      </c>
      <c r="B1342" s="178" t="s">
        <v>2534</v>
      </c>
      <c r="C1342" s="178" t="s">
        <v>593</v>
      </c>
      <c r="D1342" s="178" t="s">
        <v>57</v>
      </c>
      <c r="E1342">
        <v>993.3</v>
      </c>
      <c r="F1342">
        <v>149</v>
      </c>
      <c r="G1342">
        <v>1142.3</v>
      </c>
    </row>
    <row r="1343" spans="1:7" x14ac:dyDescent="0.35">
      <c r="A1343" s="178" t="s">
        <v>2535</v>
      </c>
      <c r="B1343" s="178" t="s">
        <v>2536</v>
      </c>
      <c r="C1343" s="178" t="s">
        <v>593</v>
      </c>
      <c r="D1343" s="178" t="s">
        <v>57</v>
      </c>
      <c r="E1343" s="178" t="s">
        <v>57</v>
      </c>
      <c r="F1343" s="178" t="s">
        <v>57</v>
      </c>
    </row>
    <row r="1344" spans="1:7" x14ac:dyDescent="0.35">
      <c r="A1344" s="178" t="s">
        <v>454</v>
      </c>
      <c r="B1344" s="178" t="s">
        <v>2537</v>
      </c>
      <c r="C1344" s="178" t="s">
        <v>593</v>
      </c>
      <c r="D1344" s="178" t="s">
        <v>2538</v>
      </c>
      <c r="E1344">
        <v>1043.48</v>
      </c>
      <c r="F1344">
        <v>156.52000000000001</v>
      </c>
      <c r="G1344">
        <v>1200</v>
      </c>
    </row>
    <row r="1345" spans="1:7" x14ac:dyDescent="0.35">
      <c r="A1345" s="178" t="s">
        <v>679</v>
      </c>
      <c r="B1345" s="178" t="s">
        <v>2539</v>
      </c>
      <c r="C1345" s="178" t="s">
        <v>593</v>
      </c>
      <c r="D1345" s="178" t="s">
        <v>57</v>
      </c>
      <c r="E1345">
        <v>4959.75</v>
      </c>
      <c r="F1345">
        <v>743.96</v>
      </c>
      <c r="G1345">
        <v>5703.71</v>
      </c>
    </row>
    <row r="1346" spans="1:7" x14ac:dyDescent="0.35">
      <c r="A1346" s="178" t="s">
        <v>2540</v>
      </c>
      <c r="B1346" s="178" t="s">
        <v>2541</v>
      </c>
      <c r="C1346" s="178" t="s">
        <v>593</v>
      </c>
      <c r="D1346" s="178" t="s">
        <v>57</v>
      </c>
      <c r="E1346">
        <v>11399.4</v>
      </c>
      <c r="F1346">
        <v>1709.91</v>
      </c>
      <c r="G1346">
        <v>13109.31</v>
      </c>
    </row>
    <row r="1347" spans="1:7" x14ac:dyDescent="0.35">
      <c r="A1347" s="178" t="s">
        <v>315</v>
      </c>
      <c r="B1347" s="178" t="s">
        <v>2542</v>
      </c>
      <c r="C1347" s="178" t="s">
        <v>593</v>
      </c>
      <c r="D1347" s="178" t="s">
        <v>57</v>
      </c>
      <c r="E1347">
        <v>1239</v>
      </c>
      <c r="F1347">
        <v>185.85</v>
      </c>
      <c r="G1347">
        <v>1424.85</v>
      </c>
    </row>
    <row r="1348" spans="1:7" x14ac:dyDescent="0.35">
      <c r="A1348" s="178" t="s">
        <v>2543</v>
      </c>
      <c r="B1348" s="178" t="s">
        <v>2544</v>
      </c>
      <c r="C1348" s="178" t="s">
        <v>593</v>
      </c>
      <c r="D1348" s="178" t="s">
        <v>2545</v>
      </c>
      <c r="E1348">
        <v>5958.5</v>
      </c>
      <c r="F1348">
        <v>893.78</v>
      </c>
      <c r="G1348">
        <v>6852.28</v>
      </c>
    </row>
    <row r="1349" spans="1:7" x14ac:dyDescent="0.35">
      <c r="A1349" s="178" t="s">
        <v>2543</v>
      </c>
      <c r="B1349" s="178" t="s">
        <v>2546</v>
      </c>
      <c r="C1349" s="178" t="s">
        <v>593</v>
      </c>
      <c r="D1349" s="178" t="s">
        <v>2547</v>
      </c>
      <c r="E1349">
        <v>4360.5</v>
      </c>
      <c r="F1349">
        <v>654.08000000000004</v>
      </c>
      <c r="G1349">
        <v>5014.58</v>
      </c>
    </row>
    <row r="1350" spans="1:7" x14ac:dyDescent="0.35">
      <c r="A1350" s="178" t="s">
        <v>2548</v>
      </c>
      <c r="B1350" s="178" t="s">
        <v>2549</v>
      </c>
      <c r="C1350" s="178" t="s">
        <v>593</v>
      </c>
      <c r="D1350">
        <v>60953</v>
      </c>
      <c r="E1350">
        <v>1552.2</v>
      </c>
      <c r="F1350">
        <v>232.83</v>
      </c>
      <c r="G1350">
        <v>1785.03</v>
      </c>
    </row>
    <row r="1351" spans="1:7" x14ac:dyDescent="0.35">
      <c r="A1351" s="178" t="s">
        <v>2543</v>
      </c>
      <c r="B1351" s="178" t="s">
        <v>2550</v>
      </c>
      <c r="C1351" s="178" t="s">
        <v>593</v>
      </c>
      <c r="D1351" s="178" t="s">
        <v>2551</v>
      </c>
      <c r="E1351">
        <v>13672.25</v>
      </c>
      <c r="F1351">
        <v>2050.84</v>
      </c>
      <c r="G1351">
        <v>15723.09</v>
      </c>
    </row>
    <row r="1352" spans="1:7" x14ac:dyDescent="0.35">
      <c r="A1352" s="178" t="s">
        <v>2552</v>
      </c>
      <c r="B1352" s="178" t="s">
        <v>2553</v>
      </c>
      <c r="C1352" s="178" t="s">
        <v>593</v>
      </c>
      <c r="D1352" s="178" t="s">
        <v>57</v>
      </c>
      <c r="E1352">
        <v>1686.44</v>
      </c>
      <c r="F1352">
        <v>252.97</v>
      </c>
      <c r="G1352">
        <v>1939.41</v>
      </c>
    </row>
    <row r="1353" spans="1:7" x14ac:dyDescent="0.35">
      <c r="A1353" s="178" t="s">
        <v>1147</v>
      </c>
      <c r="B1353" s="178" t="s">
        <v>2554</v>
      </c>
      <c r="C1353" s="178" t="s">
        <v>593</v>
      </c>
      <c r="D1353" s="178" t="s">
        <v>57</v>
      </c>
      <c r="E1353">
        <v>5213.6000000000004</v>
      </c>
      <c r="F1353">
        <v>782.04</v>
      </c>
      <c r="G1353">
        <v>5995.64</v>
      </c>
    </row>
    <row r="1354" spans="1:7" x14ac:dyDescent="0.35">
      <c r="A1354" s="178" t="s">
        <v>2543</v>
      </c>
      <c r="B1354" s="178" t="s">
        <v>2555</v>
      </c>
      <c r="C1354" s="178" t="s">
        <v>593</v>
      </c>
      <c r="D1354" s="178" t="s">
        <v>2556</v>
      </c>
      <c r="E1354">
        <v>7050.75</v>
      </c>
      <c r="F1354">
        <v>1057.6099999999999</v>
      </c>
      <c r="G1354">
        <v>8108.36</v>
      </c>
    </row>
    <row r="1355" spans="1:7" x14ac:dyDescent="0.35">
      <c r="A1355" s="178" t="s">
        <v>563</v>
      </c>
      <c r="B1355" s="178" t="s">
        <v>2557</v>
      </c>
      <c r="C1355" s="178" t="s">
        <v>593</v>
      </c>
      <c r="D1355" s="178" t="s">
        <v>57</v>
      </c>
      <c r="E1355">
        <v>1131</v>
      </c>
      <c r="F1355">
        <v>169.65</v>
      </c>
      <c r="G1355">
        <v>1300.6500000000001</v>
      </c>
    </row>
    <row r="1356" spans="1:7" x14ac:dyDescent="0.35">
      <c r="A1356" s="178" t="s">
        <v>2543</v>
      </c>
      <c r="B1356" s="178" t="s">
        <v>2558</v>
      </c>
      <c r="C1356" s="178" t="s">
        <v>593</v>
      </c>
      <c r="D1356" s="178" t="s">
        <v>2559</v>
      </c>
      <c r="E1356">
        <v>3435.8</v>
      </c>
      <c r="F1356">
        <v>515.37</v>
      </c>
      <c r="G1356">
        <v>3951.17</v>
      </c>
    </row>
    <row r="1357" spans="1:7" x14ac:dyDescent="0.35">
      <c r="A1357" s="178" t="s">
        <v>2543</v>
      </c>
      <c r="B1357" s="178" t="s">
        <v>2560</v>
      </c>
      <c r="C1357" s="178" t="s">
        <v>593</v>
      </c>
      <c r="D1357" s="178" t="s">
        <v>2561</v>
      </c>
      <c r="E1357">
        <v>2639.25</v>
      </c>
      <c r="F1357">
        <v>395.89</v>
      </c>
      <c r="G1357">
        <v>3035.14</v>
      </c>
    </row>
    <row r="1358" spans="1:7" x14ac:dyDescent="0.35">
      <c r="A1358" s="178" t="s">
        <v>2543</v>
      </c>
      <c r="B1358" s="178" t="s">
        <v>2562</v>
      </c>
      <c r="C1358" s="178" t="s">
        <v>593</v>
      </c>
      <c r="D1358" s="178" t="s">
        <v>2561</v>
      </c>
      <c r="E1358">
        <v>8249.25</v>
      </c>
      <c r="F1358">
        <v>1237.3900000000001</v>
      </c>
      <c r="G1358">
        <v>9486.64</v>
      </c>
    </row>
    <row r="1359" spans="1:7" x14ac:dyDescent="0.35">
      <c r="A1359" s="178" t="s">
        <v>2543</v>
      </c>
      <c r="B1359" s="178" t="s">
        <v>2563</v>
      </c>
      <c r="C1359" s="178" t="s">
        <v>593</v>
      </c>
      <c r="D1359" s="178" t="s">
        <v>2564</v>
      </c>
      <c r="E1359">
        <v>2423.1</v>
      </c>
      <c r="F1359">
        <v>363.47</v>
      </c>
      <c r="G1359">
        <v>2786.57</v>
      </c>
    </row>
    <row r="1360" spans="1:7" x14ac:dyDescent="0.35">
      <c r="A1360" s="178" t="s">
        <v>2543</v>
      </c>
      <c r="B1360" s="178" t="s">
        <v>2565</v>
      </c>
      <c r="C1360" s="178" t="s">
        <v>593</v>
      </c>
      <c r="D1360" s="178" t="s">
        <v>2564</v>
      </c>
      <c r="E1360">
        <v>4042.6</v>
      </c>
      <c r="F1360">
        <v>606.39</v>
      </c>
      <c r="G1360">
        <v>4648.99</v>
      </c>
    </row>
    <row r="1361" spans="1:7" x14ac:dyDescent="0.35">
      <c r="A1361" s="178" t="s">
        <v>1936</v>
      </c>
      <c r="B1361" s="178" t="s">
        <v>2566</v>
      </c>
      <c r="C1361" s="178" t="s">
        <v>593</v>
      </c>
      <c r="D1361" s="178" t="s">
        <v>57</v>
      </c>
      <c r="E1361">
        <v>1159.2</v>
      </c>
      <c r="F1361">
        <v>173.88</v>
      </c>
      <c r="G1361">
        <v>1333.08</v>
      </c>
    </row>
    <row r="1362" spans="1:7" x14ac:dyDescent="0.35">
      <c r="A1362" s="178" t="s">
        <v>2543</v>
      </c>
      <c r="B1362" s="178" t="s">
        <v>2567</v>
      </c>
      <c r="C1362" s="178" t="s">
        <v>593</v>
      </c>
      <c r="D1362" s="178" t="s">
        <v>2564</v>
      </c>
      <c r="E1362">
        <v>3632.6</v>
      </c>
      <c r="F1362">
        <v>544.89</v>
      </c>
      <c r="G1362">
        <v>4177.49</v>
      </c>
    </row>
    <row r="1363" spans="1:7" x14ac:dyDescent="0.35">
      <c r="A1363" s="178" t="s">
        <v>1262</v>
      </c>
      <c r="B1363" s="178" t="s">
        <v>2568</v>
      </c>
      <c r="C1363" s="178" t="s">
        <v>593</v>
      </c>
      <c r="D1363" s="178" t="s">
        <v>57</v>
      </c>
      <c r="E1363">
        <v>1845</v>
      </c>
      <c r="F1363">
        <v>276.76</v>
      </c>
      <c r="G1363">
        <v>2121.7600000000002</v>
      </c>
    </row>
    <row r="1364" spans="1:7" x14ac:dyDescent="0.35">
      <c r="A1364" s="178" t="s">
        <v>904</v>
      </c>
      <c r="B1364" s="178" t="s">
        <v>2569</v>
      </c>
      <c r="C1364" s="178" t="s">
        <v>593</v>
      </c>
      <c r="D1364" s="178" t="s">
        <v>57</v>
      </c>
      <c r="E1364">
        <v>6634.2</v>
      </c>
      <c r="F1364">
        <v>995.13</v>
      </c>
      <c r="G1364">
        <v>7629.33</v>
      </c>
    </row>
    <row r="1365" spans="1:7" x14ac:dyDescent="0.35">
      <c r="A1365" s="178" t="s">
        <v>868</v>
      </c>
      <c r="B1365" s="178" t="s">
        <v>2570</v>
      </c>
      <c r="C1365" s="178" t="s">
        <v>593</v>
      </c>
      <c r="D1365" s="178" t="s">
        <v>57</v>
      </c>
      <c r="E1365">
        <v>13096.95</v>
      </c>
      <c r="F1365">
        <v>1964.54</v>
      </c>
      <c r="G1365">
        <v>15061.49</v>
      </c>
    </row>
    <row r="1366" spans="1:7" x14ac:dyDescent="0.35">
      <c r="A1366" s="178" t="s">
        <v>1239</v>
      </c>
      <c r="B1366" s="178" t="s">
        <v>2571</v>
      </c>
      <c r="C1366" s="178" t="s">
        <v>580</v>
      </c>
      <c r="D1366" s="178" t="s">
        <v>57</v>
      </c>
      <c r="E1366">
        <v>4284.8999999999996</v>
      </c>
      <c r="F1366">
        <v>642.74</v>
      </c>
      <c r="G1366">
        <v>4927.6400000000003</v>
      </c>
    </row>
    <row r="1367" spans="1:7" x14ac:dyDescent="0.35">
      <c r="A1367" s="178" t="s">
        <v>1347</v>
      </c>
      <c r="B1367" s="178" t="s">
        <v>2572</v>
      </c>
      <c r="C1367" s="178" t="s">
        <v>580</v>
      </c>
      <c r="D1367" s="178" t="s">
        <v>57</v>
      </c>
      <c r="E1367">
        <v>1386</v>
      </c>
      <c r="F1367">
        <v>207.9</v>
      </c>
      <c r="G1367">
        <v>1593.9</v>
      </c>
    </row>
    <row r="1368" spans="1:7" x14ac:dyDescent="0.35">
      <c r="A1368" s="178" t="s">
        <v>591</v>
      </c>
      <c r="B1368" s="178" t="s">
        <v>2573</v>
      </c>
      <c r="C1368" s="178" t="s">
        <v>593</v>
      </c>
      <c r="D1368" s="178" t="s">
        <v>57</v>
      </c>
      <c r="E1368">
        <v>1467.8</v>
      </c>
      <c r="F1368">
        <v>220.17</v>
      </c>
      <c r="G1368">
        <v>1687.97</v>
      </c>
    </row>
    <row r="1369" spans="1:7" x14ac:dyDescent="0.35">
      <c r="A1369" s="178" t="s">
        <v>400</v>
      </c>
      <c r="B1369" s="178" t="s">
        <v>2574</v>
      </c>
      <c r="C1369" s="178" t="s">
        <v>593</v>
      </c>
      <c r="D1369" s="178" t="s">
        <v>57</v>
      </c>
      <c r="E1369">
        <v>4075.3</v>
      </c>
      <c r="F1369">
        <v>611.29999999999995</v>
      </c>
      <c r="G1369">
        <v>4686.6000000000004</v>
      </c>
    </row>
    <row r="1370" spans="1:7" x14ac:dyDescent="0.35">
      <c r="A1370" s="178" t="s">
        <v>326</v>
      </c>
      <c r="B1370" s="178" t="s">
        <v>2575</v>
      </c>
      <c r="C1370" s="178" t="s">
        <v>593</v>
      </c>
      <c r="D1370" s="178" t="s">
        <v>2576</v>
      </c>
      <c r="E1370">
        <v>858.5</v>
      </c>
      <c r="F1370">
        <v>128.78</v>
      </c>
      <c r="G1370">
        <v>987.28</v>
      </c>
    </row>
    <row r="1371" spans="1:7" x14ac:dyDescent="0.35">
      <c r="A1371" s="178" t="s">
        <v>532</v>
      </c>
      <c r="B1371" s="178" t="s">
        <v>2577</v>
      </c>
      <c r="C1371" s="178" t="s">
        <v>593</v>
      </c>
      <c r="D1371" s="178" t="s">
        <v>57</v>
      </c>
      <c r="E1371">
        <v>1312</v>
      </c>
      <c r="F1371">
        <v>196.8</v>
      </c>
      <c r="G1371">
        <v>1508.8</v>
      </c>
    </row>
    <row r="1372" spans="1:7" x14ac:dyDescent="0.35">
      <c r="A1372" s="178" t="s">
        <v>630</v>
      </c>
      <c r="B1372" s="178" t="s">
        <v>2578</v>
      </c>
      <c r="C1372" s="178" t="s">
        <v>593</v>
      </c>
      <c r="D1372">
        <v>7320</v>
      </c>
      <c r="E1372">
        <v>9643.2000000000007</v>
      </c>
      <c r="F1372">
        <v>1446.48</v>
      </c>
      <c r="G1372">
        <v>11089.68</v>
      </c>
    </row>
    <row r="1373" spans="1:7" x14ac:dyDescent="0.35">
      <c r="A1373" s="178" t="s">
        <v>2579</v>
      </c>
      <c r="B1373" s="178" t="s">
        <v>2580</v>
      </c>
      <c r="C1373" s="178" t="s">
        <v>593</v>
      </c>
      <c r="D1373" s="178" t="s">
        <v>57</v>
      </c>
      <c r="E1373">
        <v>4921.95</v>
      </c>
      <c r="F1373">
        <v>738.3</v>
      </c>
      <c r="G1373">
        <v>5660.25</v>
      </c>
    </row>
    <row r="1374" spans="1:7" x14ac:dyDescent="0.35">
      <c r="A1374" s="178" t="s">
        <v>856</v>
      </c>
      <c r="B1374" s="178" t="s">
        <v>2581</v>
      </c>
      <c r="C1374" s="178" t="s">
        <v>593</v>
      </c>
      <c r="D1374" s="178" t="s">
        <v>57</v>
      </c>
      <c r="E1374">
        <v>2144.04</v>
      </c>
      <c r="F1374">
        <v>321.61</v>
      </c>
      <c r="G1374">
        <v>2465.65</v>
      </c>
    </row>
    <row r="1375" spans="1:7" x14ac:dyDescent="0.35">
      <c r="A1375" s="178" t="s">
        <v>2582</v>
      </c>
      <c r="B1375" s="178" t="s">
        <v>2583</v>
      </c>
      <c r="C1375" s="178" t="s">
        <v>593</v>
      </c>
      <c r="D1375" s="178" t="s">
        <v>57</v>
      </c>
      <c r="E1375">
        <v>1246.2</v>
      </c>
      <c r="F1375">
        <v>186.93</v>
      </c>
      <c r="G1375">
        <v>1433.13</v>
      </c>
    </row>
    <row r="1376" spans="1:7" x14ac:dyDescent="0.35">
      <c r="A1376" s="178" t="s">
        <v>960</v>
      </c>
      <c r="B1376" s="178" t="s">
        <v>2584</v>
      </c>
      <c r="C1376" s="178" t="s">
        <v>593</v>
      </c>
      <c r="D1376" s="178" t="s">
        <v>57</v>
      </c>
      <c r="E1376">
        <v>838.5</v>
      </c>
      <c r="F1376">
        <v>125.78</v>
      </c>
      <c r="G1376">
        <v>964.28</v>
      </c>
    </row>
    <row r="1377" spans="1:7" x14ac:dyDescent="0.35">
      <c r="A1377" s="178" t="s">
        <v>2585</v>
      </c>
      <c r="B1377" s="178" t="s">
        <v>2586</v>
      </c>
      <c r="C1377" s="178" t="s">
        <v>593</v>
      </c>
      <c r="D1377" s="178" t="s">
        <v>57</v>
      </c>
      <c r="E1377">
        <v>821.3</v>
      </c>
      <c r="F1377">
        <v>123.2</v>
      </c>
      <c r="G1377">
        <v>944.5</v>
      </c>
    </row>
    <row r="1378" spans="1:7" x14ac:dyDescent="0.35">
      <c r="A1378" s="178" t="s">
        <v>858</v>
      </c>
      <c r="B1378" s="178" t="s">
        <v>2587</v>
      </c>
      <c r="C1378" s="178" t="s">
        <v>593</v>
      </c>
      <c r="D1378" s="178" t="s">
        <v>2588</v>
      </c>
      <c r="E1378">
        <v>8016.35</v>
      </c>
      <c r="F1378" s="178" t="s">
        <v>57</v>
      </c>
      <c r="G1378">
        <v>8016.35</v>
      </c>
    </row>
    <row r="1379" spans="1:7" x14ac:dyDescent="0.35">
      <c r="A1379" s="178" t="s">
        <v>624</v>
      </c>
      <c r="B1379" s="178" t="s">
        <v>2589</v>
      </c>
      <c r="C1379" s="178" t="s">
        <v>593</v>
      </c>
      <c r="D1379" s="178" t="s">
        <v>57</v>
      </c>
      <c r="E1379">
        <v>11817.9</v>
      </c>
      <c r="F1379">
        <v>1772.69</v>
      </c>
      <c r="G1379">
        <v>13590.59</v>
      </c>
    </row>
    <row r="1380" spans="1:7" x14ac:dyDescent="0.35">
      <c r="A1380" s="178" t="s">
        <v>750</v>
      </c>
      <c r="B1380" s="178" t="s">
        <v>2590</v>
      </c>
      <c r="C1380" s="178" t="s">
        <v>593</v>
      </c>
      <c r="D1380" s="178" t="s">
        <v>57</v>
      </c>
      <c r="E1380">
        <v>2691</v>
      </c>
      <c r="F1380">
        <v>403.65</v>
      </c>
      <c r="G1380">
        <v>3094.65</v>
      </c>
    </row>
    <row r="1381" spans="1:7" x14ac:dyDescent="0.35">
      <c r="A1381" s="178" t="s">
        <v>2591</v>
      </c>
      <c r="B1381" s="178" t="s">
        <v>2592</v>
      </c>
      <c r="C1381" s="178" t="s">
        <v>593</v>
      </c>
      <c r="D1381" s="178" t="s">
        <v>57</v>
      </c>
      <c r="E1381">
        <v>4261.95</v>
      </c>
      <c r="F1381">
        <v>639.29</v>
      </c>
      <c r="G1381">
        <v>4901.24</v>
      </c>
    </row>
    <row r="1382" spans="1:7" x14ac:dyDescent="0.35">
      <c r="A1382" s="178" t="s">
        <v>2593</v>
      </c>
      <c r="B1382" s="178" t="s">
        <v>2594</v>
      </c>
      <c r="C1382" s="178" t="s">
        <v>603</v>
      </c>
      <c r="D1382" s="178" t="s">
        <v>57</v>
      </c>
      <c r="E1382">
        <v>1146.19</v>
      </c>
      <c r="F1382">
        <v>171.93</v>
      </c>
      <c r="G1382">
        <v>1318.12</v>
      </c>
    </row>
    <row r="1383" spans="1:7" x14ac:dyDescent="0.35">
      <c r="A1383" s="178" t="s">
        <v>388</v>
      </c>
      <c r="B1383" s="178" t="s">
        <v>2595</v>
      </c>
      <c r="C1383" s="178" t="s">
        <v>603</v>
      </c>
      <c r="D1383" s="178" t="s">
        <v>57</v>
      </c>
      <c r="E1383">
        <v>1473.75</v>
      </c>
      <c r="F1383">
        <v>221.06</v>
      </c>
      <c r="G1383">
        <v>1694.81</v>
      </c>
    </row>
    <row r="1384" spans="1:7" x14ac:dyDescent="0.35">
      <c r="A1384" s="178" t="s">
        <v>2003</v>
      </c>
      <c r="B1384" s="178" t="s">
        <v>2596</v>
      </c>
      <c r="C1384" s="178" t="s">
        <v>603</v>
      </c>
      <c r="D1384" s="178" t="s">
        <v>57</v>
      </c>
      <c r="E1384">
        <v>1659.79</v>
      </c>
      <c r="F1384">
        <v>248.97</v>
      </c>
      <c r="G1384">
        <v>1908.76</v>
      </c>
    </row>
    <row r="1385" spans="1:7" x14ac:dyDescent="0.35">
      <c r="A1385" s="178" t="s">
        <v>464</v>
      </c>
      <c r="B1385" s="178" t="s">
        <v>2597</v>
      </c>
      <c r="C1385" s="178" t="s">
        <v>603</v>
      </c>
      <c r="D1385" s="178" t="s">
        <v>57</v>
      </c>
      <c r="E1385">
        <v>2707.2</v>
      </c>
      <c r="F1385">
        <v>406.08</v>
      </c>
      <c r="G1385">
        <v>3113.28</v>
      </c>
    </row>
    <row r="1386" spans="1:7" x14ac:dyDescent="0.35">
      <c r="A1386" s="178" t="s">
        <v>554</v>
      </c>
      <c r="B1386" s="178" t="s">
        <v>2598</v>
      </c>
      <c r="C1386" s="178" t="s">
        <v>603</v>
      </c>
      <c r="D1386" s="178" t="s">
        <v>2599</v>
      </c>
      <c r="E1386">
        <v>7459.2</v>
      </c>
      <c r="F1386">
        <v>1118.8800000000001</v>
      </c>
      <c r="G1386">
        <v>8578.08</v>
      </c>
    </row>
    <row r="1387" spans="1:7" x14ac:dyDescent="0.35">
      <c r="A1387" s="178" t="s">
        <v>1724</v>
      </c>
      <c r="B1387" s="178" t="s">
        <v>2600</v>
      </c>
      <c r="C1387" s="178" t="s">
        <v>603</v>
      </c>
      <c r="D1387" s="178" t="s">
        <v>2601</v>
      </c>
      <c r="E1387">
        <v>9302.4</v>
      </c>
      <c r="F1387">
        <v>1395.36</v>
      </c>
      <c r="G1387">
        <v>10697.76</v>
      </c>
    </row>
    <row r="1388" spans="1:7" x14ac:dyDescent="0.35">
      <c r="A1388" s="178" t="s">
        <v>2602</v>
      </c>
      <c r="B1388" s="178" t="s">
        <v>2603</v>
      </c>
      <c r="C1388" s="178" t="s">
        <v>603</v>
      </c>
      <c r="D1388" s="178" t="s">
        <v>57</v>
      </c>
      <c r="E1388">
        <v>4079.3</v>
      </c>
      <c r="F1388">
        <v>611.9</v>
      </c>
      <c r="G1388">
        <v>4691.2</v>
      </c>
    </row>
    <row r="1389" spans="1:7" x14ac:dyDescent="0.35">
      <c r="A1389" s="178" t="s">
        <v>2604</v>
      </c>
      <c r="B1389" s="178" t="s">
        <v>2605</v>
      </c>
      <c r="C1389" s="178" t="s">
        <v>603</v>
      </c>
      <c r="D1389" s="178" t="s">
        <v>57</v>
      </c>
      <c r="E1389">
        <v>2271.8000000000002</v>
      </c>
      <c r="F1389">
        <v>340.77</v>
      </c>
      <c r="G1389">
        <v>2612.5700000000002</v>
      </c>
    </row>
    <row r="1390" spans="1:7" x14ac:dyDescent="0.35">
      <c r="A1390" s="178" t="s">
        <v>1319</v>
      </c>
      <c r="B1390" s="178" t="s">
        <v>2606</v>
      </c>
      <c r="C1390" s="178" t="s">
        <v>603</v>
      </c>
      <c r="D1390" s="178" t="s">
        <v>57</v>
      </c>
      <c r="E1390">
        <v>15432.85</v>
      </c>
      <c r="F1390">
        <v>2314.9299999999998</v>
      </c>
      <c r="G1390">
        <v>17747.78</v>
      </c>
    </row>
    <row r="1391" spans="1:7" x14ac:dyDescent="0.35">
      <c r="A1391" s="178" t="s">
        <v>454</v>
      </c>
      <c r="B1391" s="178" t="s">
        <v>2607</v>
      </c>
      <c r="C1391" s="178" t="s">
        <v>603</v>
      </c>
      <c r="D1391" s="178" t="s">
        <v>2608</v>
      </c>
      <c r="E1391">
        <v>3187.8</v>
      </c>
      <c r="F1391">
        <v>478.17</v>
      </c>
      <c r="G1391">
        <v>3665.97</v>
      </c>
    </row>
    <row r="1392" spans="1:7" x14ac:dyDescent="0.35">
      <c r="A1392" s="178" t="s">
        <v>960</v>
      </c>
      <c r="B1392" s="178" t="s">
        <v>2609</v>
      </c>
      <c r="C1392" s="178" t="s">
        <v>603</v>
      </c>
      <c r="D1392" s="178" t="s">
        <v>57</v>
      </c>
      <c r="E1392">
        <v>1659.35</v>
      </c>
      <c r="F1392">
        <v>248.9</v>
      </c>
      <c r="G1392">
        <v>1908.25</v>
      </c>
    </row>
    <row r="1393" spans="1:7" x14ac:dyDescent="0.35">
      <c r="A1393" s="178" t="s">
        <v>1495</v>
      </c>
      <c r="B1393" s="178" t="s">
        <v>2610</v>
      </c>
      <c r="C1393" s="178" t="s">
        <v>603</v>
      </c>
      <c r="D1393" s="178" t="s">
        <v>2611</v>
      </c>
      <c r="E1393">
        <v>1440.2</v>
      </c>
      <c r="F1393">
        <v>216.03</v>
      </c>
      <c r="G1393">
        <v>1656.23</v>
      </c>
    </row>
    <row r="1394" spans="1:7" x14ac:dyDescent="0.35">
      <c r="A1394" s="178" t="s">
        <v>2612</v>
      </c>
      <c r="B1394" s="178" t="s">
        <v>2613</v>
      </c>
      <c r="C1394" s="178" t="s">
        <v>603</v>
      </c>
      <c r="D1394" s="178" t="s">
        <v>57</v>
      </c>
      <c r="E1394">
        <v>1687.25</v>
      </c>
      <c r="F1394">
        <v>253.09</v>
      </c>
      <c r="G1394">
        <v>1940.34</v>
      </c>
    </row>
    <row r="1395" spans="1:7" x14ac:dyDescent="0.35">
      <c r="A1395" s="178" t="s">
        <v>2614</v>
      </c>
      <c r="B1395" s="178" t="s">
        <v>2615</v>
      </c>
      <c r="C1395" s="178" t="s">
        <v>603</v>
      </c>
      <c r="D1395" s="178" t="s">
        <v>57</v>
      </c>
      <c r="E1395">
        <v>1694.2</v>
      </c>
      <c r="F1395">
        <v>254.13</v>
      </c>
      <c r="G1395">
        <v>1948.33</v>
      </c>
    </row>
    <row r="1396" spans="1:7" x14ac:dyDescent="0.35">
      <c r="A1396" s="178" t="s">
        <v>1068</v>
      </c>
      <c r="B1396" s="178" t="s">
        <v>2616</v>
      </c>
      <c r="C1396" s="178" t="s">
        <v>603</v>
      </c>
      <c r="D1396" s="178" t="s">
        <v>57</v>
      </c>
      <c r="E1396">
        <v>1591.2</v>
      </c>
      <c r="F1396">
        <v>238.68</v>
      </c>
      <c r="G1396">
        <v>1829.88</v>
      </c>
    </row>
    <row r="1397" spans="1:7" x14ac:dyDescent="0.35">
      <c r="A1397" s="178" t="s">
        <v>532</v>
      </c>
      <c r="B1397" s="178" t="s">
        <v>2617</v>
      </c>
      <c r="C1397" s="178" t="s">
        <v>603</v>
      </c>
      <c r="D1397" s="178" t="s">
        <v>57</v>
      </c>
      <c r="E1397">
        <v>1566.2</v>
      </c>
      <c r="F1397">
        <v>234.93</v>
      </c>
      <c r="G1397">
        <v>1801.13</v>
      </c>
    </row>
    <row r="1398" spans="1:7" x14ac:dyDescent="0.35">
      <c r="A1398" s="178" t="s">
        <v>566</v>
      </c>
      <c r="B1398" s="178" t="s">
        <v>2618</v>
      </c>
      <c r="C1398" s="178" t="s">
        <v>603</v>
      </c>
      <c r="D1398" s="178" t="s">
        <v>57</v>
      </c>
      <c r="E1398">
        <v>11585.5</v>
      </c>
      <c r="F1398">
        <v>1737.83</v>
      </c>
      <c r="G1398">
        <v>13323.33</v>
      </c>
    </row>
    <row r="1399" spans="1:7" x14ac:dyDescent="0.35">
      <c r="A1399" s="178" t="s">
        <v>2619</v>
      </c>
      <c r="B1399" s="178" t="s">
        <v>2620</v>
      </c>
      <c r="C1399" s="178" t="s">
        <v>603</v>
      </c>
      <c r="D1399" s="178" t="s">
        <v>57</v>
      </c>
      <c r="E1399">
        <v>4657.5</v>
      </c>
      <c r="F1399">
        <v>698.63</v>
      </c>
      <c r="G1399">
        <v>5356.13</v>
      </c>
    </row>
    <row r="1400" spans="1:7" x14ac:dyDescent="0.35">
      <c r="A1400" s="178" t="s">
        <v>451</v>
      </c>
      <c r="B1400" s="178" t="s">
        <v>2621</v>
      </c>
      <c r="C1400" s="178" t="s">
        <v>603</v>
      </c>
      <c r="D1400">
        <v>36678</v>
      </c>
      <c r="E1400">
        <v>11516.1</v>
      </c>
      <c r="F1400">
        <v>1727.42</v>
      </c>
      <c r="G1400">
        <v>13243.52</v>
      </c>
    </row>
    <row r="1401" spans="1:7" x14ac:dyDescent="0.35">
      <c r="A1401" s="178" t="s">
        <v>454</v>
      </c>
      <c r="B1401" s="178" t="s">
        <v>2622</v>
      </c>
      <c r="C1401" s="178" t="s">
        <v>603</v>
      </c>
      <c r="D1401" s="178" t="s">
        <v>2623</v>
      </c>
      <c r="E1401">
        <v>3203</v>
      </c>
      <c r="F1401">
        <v>480.46</v>
      </c>
      <c r="G1401">
        <v>3683.46</v>
      </c>
    </row>
    <row r="1402" spans="1:7" x14ac:dyDescent="0.35">
      <c r="A1402" s="178" t="s">
        <v>1507</v>
      </c>
      <c r="B1402" s="178" t="s">
        <v>2624</v>
      </c>
      <c r="C1402" s="178" t="s">
        <v>603</v>
      </c>
      <c r="D1402" s="178" t="s">
        <v>57</v>
      </c>
      <c r="E1402">
        <v>1404.15</v>
      </c>
      <c r="F1402">
        <v>210.62</v>
      </c>
      <c r="G1402">
        <v>1614.77</v>
      </c>
    </row>
    <row r="1403" spans="1:7" x14ac:dyDescent="0.35">
      <c r="A1403" s="178" t="s">
        <v>980</v>
      </c>
      <c r="B1403" s="178" t="s">
        <v>2625</v>
      </c>
      <c r="C1403" s="178" t="s">
        <v>603</v>
      </c>
      <c r="D1403">
        <v>73792</v>
      </c>
      <c r="E1403">
        <v>1435.2</v>
      </c>
      <c r="F1403">
        <v>215.28</v>
      </c>
      <c r="G1403">
        <v>1650.48</v>
      </c>
    </row>
    <row r="1404" spans="1:7" x14ac:dyDescent="0.35">
      <c r="A1404" s="178" t="s">
        <v>1019</v>
      </c>
      <c r="B1404" s="178" t="s">
        <v>2626</v>
      </c>
      <c r="C1404" s="178" t="s">
        <v>603</v>
      </c>
      <c r="D1404" s="178" t="s">
        <v>57</v>
      </c>
      <c r="E1404">
        <v>1725.5</v>
      </c>
      <c r="F1404">
        <v>258.83</v>
      </c>
      <c r="G1404">
        <v>1984.33</v>
      </c>
    </row>
    <row r="1405" spans="1:7" x14ac:dyDescent="0.35">
      <c r="A1405" s="178" t="s">
        <v>918</v>
      </c>
      <c r="B1405" s="178" t="s">
        <v>2627</v>
      </c>
      <c r="C1405" s="178" t="s">
        <v>603</v>
      </c>
      <c r="D1405" s="178" t="s">
        <v>57</v>
      </c>
      <c r="E1405">
        <v>10134.799999999999</v>
      </c>
      <c r="F1405">
        <v>1520.22</v>
      </c>
      <c r="G1405">
        <v>11655.02</v>
      </c>
    </row>
    <row r="1406" spans="1:7" x14ac:dyDescent="0.35">
      <c r="A1406" s="178" t="s">
        <v>2628</v>
      </c>
      <c r="B1406" s="178" t="s">
        <v>2629</v>
      </c>
      <c r="C1406" s="178" t="s">
        <v>603</v>
      </c>
      <c r="D1406" s="178" t="s">
        <v>57</v>
      </c>
      <c r="E1406">
        <v>623.70000000000005</v>
      </c>
      <c r="F1406">
        <v>93.56</v>
      </c>
      <c r="G1406">
        <v>717.26</v>
      </c>
    </row>
    <row r="1407" spans="1:7" x14ac:dyDescent="0.35">
      <c r="A1407" s="178" t="s">
        <v>2630</v>
      </c>
      <c r="B1407" s="178" t="s">
        <v>2631</v>
      </c>
      <c r="C1407" s="178" t="s">
        <v>603</v>
      </c>
      <c r="D1407" s="178" t="s">
        <v>57</v>
      </c>
      <c r="E1407">
        <v>3694.6</v>
      </c>
      <c r="F1407">
        <v>554.20000000000005</v>
      </c>
      <c r="G1407">
        <v>4248.8</v>
      </c>
    </row>
    <row r="1408" spans="1:7" x14ac:dyDescent="0.35">
      <c r="A1408" s="178" t="s">
        <v>2632</v>
      </c>
      <c r="B1408" s="178" t="s">
        <v>2633</v>
      </c>
      <c r="C1408" s="178" t="s">
        <v>615</v>
      </c>
      <c r="D1408" s="178" t="s">
        <v>57</v>
      </c>
      <c r="E1408">
        <v>7252.5</v>
      </c>
      <c r="F1408">
        <v>1087.8800000000001</v>
      </c>
      <c r="G1408">
        <v>8340.3799999999992</v>
      </c>
    </row>
    <row r="1409" spans="1:7" x14ac:dyDescent="0.35">
      <c r="A1409" s="178" t="s">
        <v>2634</v>
      </c>
      <c r="B1409" s="178" t="s">
        <v>2635</v>
      </c>
      <c r="C1409" s="178" t="s">
        <v>603</v>
      </c>
      <c r="D1409" s="178" t="s">
        <v>57</v>
      </c>
      <c r="E1409">
        <v>4246</v>
      </c>
      <c r="F1409">
        <v>636.9</v>
      </c>
      <c r="G1409">
        <v>4882.8999999999996</v>
      </c>
    </row>
    <row r="1410" spans="1:7" x14ac:dyDescent="0.35">
      <c r="A1410" s="178" t="s">
        <v>2636</v>
      </c>
      <c r="B1410" s="178" t="s">
        <v>2637</v>
      </c>
      <c r="C1410" s="178" t="s">
        <v>603</v>
      </c>
      <c r="D1410" s="178" t="s">
        <v>57</v>
      </c>
      <c r="E1410">
        <v>2907</v>
      </c>
      <c r="F1410">
        <v>436.06</v>
      </c>
      <c r="G1410">
        <v>3343.06</v>
      </c>
    </row>
    <row r="1411" spans="1:7" x14ac:dyDescent="0.35">
      <c r="A1411" s="178" t="s">
        <v>868</v>
      </c>
      <c r="B1411" s="178" t="s">
        <v>2638</v>
      </c>
      <c r="C1411" s="178" t="s">
        <v>603</v>
      </c>
      <c r="D1411" s="178" t="s">
        <v>57</v>
      </c>
      <c r="E1411">
        <v>3455.25</v>
      </c>
      <c r="F1411">
        <v>518.29</v>
      </c>
      <c r="G1411">
        <v>3973.54</v>
      </c>
    </row>
    <row r="1412" spans="1:7" x14ac:dyDescent="0.35">
      <c r="A1412" s="178" t="s">
        <v>709</v>
      </c>
      <c r="B1412" s="178" t="s">
        <v>2639</v>
      </c>
      <c r="C1412" s="178" t="s">
        <v>603</v>
      </c>
      <c r="D1412" s="178" t="s">
        <v>57</v>
      </c>
      <c r="E1412">
        <v>5911.6</v>
      </c>
      <c r="F1412">
        <v>886.74</v>
      </c>
      <c r="G1412">
        <v>6798.34</v>
      </c>
    </row>
    <row r="1413" spans="1:7" x14ac:dyDescent="0.35">
      <c r="A1413" s="178" t="s">
        <v>2640</v>
      </c>
      <c r="B1413" s="178" t="s">
        <v>2641</v>
      </c>
      <c r="C1413" s="178" t="s">
        <v>603</v>
      </c>
      <c r="D1413" s="178" t="s">
        <v>57</v>
      </c>
      <c r="E1413">
        <v>1225.3499999999999</v>
      </c>
      <c r="F1413">
        <v>183.8</v>
      </c>
      <c r="G1413">
        <v>1409.15</v>
      </c>
    </row>
    <row r="1414" spans="1:7" x14ac:dyDescent="0.35">
      <c r="A1414" s="178" t="s">
        <v>2642</v>
      </c>
      <c r="B1414" s="178" t="s">
        <v>2643</v>
      </c>
      <c r="C1414" s="178" t="s">
        <v>603</v>
      </c>
      <c r="D1414" s="178" t="s">
        <v>57</v>
      </c>
      <c r="E1414">
        <v>14077.8</v>
      </c>
      <c r="F1414">
        <v>2111.67</v>
      </c>
      <c r="G1414">
        <v>16189.47</v>
      </c>
    </row>
    <row r="1415" spans="1:7" x14ac:dyDescent="0.35">
      <c r="A1415" s="178" t="s">
        <v>962</v>
      </c>
      <c r="B1415" s="178" t="s">
        <v>2644</v>
      </c>
      <c r="C1415" s="178" t="s">
        <v>603</v>
      </c>
      <c r="D1415" s="178" t="s">
        <v>57</v>
      </c>
      <c r="E1415">
        <v>2780.5</v>
      </c>
      <c r="F1415">
        <v>417.08</v>
      </c>
      <c r="G1415">
        <v>3197.58</v>
      </c>
    </row>
    <row r="1416" spans="1:7" x14ac:dyDescent="0.35">
      <c r="A1416" s="178" t="s">
        <v>496</v>
      </c>
      <c r="B1416" s="178" t="s">
        <v>2645</v>
      </c>
      <c r="C1416" s="178" t="s">
        <v>603</v>
      </c>
      <c r="D1416" s="178" t="s">
        <v>57</v>
      </c>
      <c r="E1416">
        <v>2613</v>
      </c>
      <c r="F1416">
        <v>391.95</v>
      </c>
      <c r="G1416">
        <v>3004.95</v>
      </c>
    </row>
    <row r="1417" spans="1:7" x14ac:dyDescent="0.35">
      <c r="A1417" s="178" t="s">
        <v>372</v>
      </c>
      <c r="B1417" s="178" t="s">
        <v>2646</v>
      </c>
      <c r="C1417" s="178" t="s">
        <v>603</v>
      </c>
      <c r="D1417" s="178" t="s">
        <v>57</v>
      </c>
      <c r="E1417">
        <v>20405</v>
      </c>
      <c r="F1417">
        <v>3060.75</v>
      </c>
      <c r="G1417">
        <v>23465.75</v>
      </c>
    </row>
    <row r="1418" spans="1:7" x14ac:dyDescent="0.35">
      <c r="A1418" s="178" t="s">
        <v>326</v>
      </c>
      <c r="B1418" s="178" t="s">
        <v>2647</v>
      </c>
      <c r="C1418" s="178" t="s">
        <v>603</v>
      </c>
      <c r="D1418" s="178" t="s">
        <v>2576</v>
      </c>
      <c r="E1418">
        <v>547.79999999999995</v>
      </c>
      <c r="F1418">
        <v>82.17</v>
      </c>
      <c r="G1418">
        <v>629.97</v>
      </c>
    </row>
    <row r="1419" spans="1:7" x14ac:dyDescent="0.35">
      <c r="A1419" s="178" t="s">
        <v>2648</v>
      </c>
      <c r="B1419" s="178" t="s">
        <v>2649</v>
      </c>
      <c r="C1419" s="178" t="s">
        <v>603</v>
      </c>
      <c r="D1419" s="178" t="s">
        <v>57</v>
      </c>
      <c r="E1419">
        <v>4703.7</v>
      </c>
      <c r="F1419">
        <v>705.56</v>
      </c>
      <c r="G1419">
        <v>5409.26</v>
      </c>
    </row>
    <row r="1420" spans="1:7" x14ac:dyDescent="0.35">
      <c r="A1420" s="178" t="s">
        <v>679</v>
      </c>
      <c r="B1420" s="178" t="s">
        <v>2650</v>
      </c>
      <c r="C1420" s="178" t="s">
        <v>603</v>
      </c>
      <c r="D1420" s="178" t="s">
        <v>57</v>
      </c>
      <c r="E1420">
        <v>3391.5</v>
      </c>
      <c r="F1420">
        <v>508.73</v>
      </c>
      <c r="G1420">
        <v>3900.23</v>
      </c>
    </row>
    <row r="1421" spans="1:7" x14ac:dyDescent="0.35">
      <c r="A1421" s="178" t="s">
        <v>347</v>
      </c>
      <c r="B1421" s="178" t="s">
        <v>2651</v>
      </c>
      <c r="C1421" s="178" t="s">
        <v>603</v>
      </c>
      <c r="D1421" s="178" t="s">
        <v>57</v>
      </c>
      <c r="E1421">
        <v>14811.6</v>
      </c>
      <c r="F1421">
        <v>2221.7399999999998</v>
      </c>
      <c r="G1421">
        <v>17033.34</v>
      </c>
    </row>
    <row r="1422" spans="1:7" x14ac:dyDescent="0.35">
      <c r="A1422" s="178" t="s">
        <v>2652</v>
      </c>
      <c r="B1422" s="178" t="s">
        <v>2653</v>
      </c>
      <c r="C1422" s="178" t="s">
        <v>603</v>
      </c>
      <c r="D1422" s="178" t="s">
        <v>57</v>
      </c>
      <c r="E1422">
        <v>1309.7</v>
      </c>
      <c r="F1422">
        <v>196.45</v>
      </c>
      <c r="G1422">
        <v>1506.15</v>
      </c>
    </row>
    <row r="1423" spans="1:7" x14ac:dyDescent="0.35">
      <c r="A1423" s="178" t="s">
        <v>2007</v>
      </c>
      <c r="B1423" s="178" t="s">
        <v>2654</v>
      </c>
      <c r="C1423" s="178" t="s">
        <v>603</v>
      </c>
      <c r="D1423" s="178" t="s">
        <v>57</v>
      </c>
      <c r="E1423">
        <v>3728.5</v>
      </c>
      <c r="F1423">
        <v>559.28</v>
      </c>
      <c r="G1423">
        <v>4287.78</v>
      </c>
    </row>
    <row r="1424" spans="1:7" x14ac:dyDescent="0.35">
      <c r="A1424" s="178" t="s">
        <v>2213</v>
      </c>
      <c r="B1424" s="178" t="s">
        <v>2655</v>
      </c>
      <c r="C1424" s="178" t="s">
        <v>603</v>
      </c>
      <c r="D1424" s="178" t="s">
        <v>57</v>
      </c>
      <c r="E1424">
        <v>467.4</v>
      </c>
      <c r="F1424">
        <v>70.11</v>
      </c>
      <c r="G1424">
        <v>537.51</v>
      </c>
    </row>
    <row r="1425" spans="1:7" x14ac:dyDescent="0.35">
      <c r="A1425" s="178" t="s">
        <v>388</v>
      </c>
      <c r="B1425" s="178" t="s">
        <v>2656</v>
      </c>
      <c r="C1425" s="178" t="s">
        <v>603</v>
      </c>
      <c r="D1425" s="178" t="s">
        <v>57</v>
      </c>
      <c r="E1425">
        <v>2195.92</v>
      </c>
      <c r="F1425">
        <v>329.4</v>
      </c>
      <c r="G1425">
        <v>2525.3200000000002</v>
      </c>
    </row>
    <row r="1426" spans="1:7" x14ac:dyDescent="0.35">
      <c r="A1426" s="178" t="s">
        <v>326</v>
      </c>
      <c r="B1426" s="178" t="s">
        <v>2657</v>
      </c>
      <c r="C1426" s="178" t="s">
        <v>603</v>
      </c>
      <c r="D1426" s="178" t="s">
        <v>2576</v>
      </c>
      <c r="E1426">
        <v>616.25</v>
      </c>
      <c r="F1426">
        <v>92.44</v>
      </c>
      <c r="G1426">
        <v>708.69</v>
      </c>
    </row>
    <row r="1427" spans="1:7" x14ac:dyDescent="0.35">
      <c r="A1427" s="178" t="s">
        <v>2591</v>
      </c>
      <c r="B1427" s="178" t="s">
        <v>2658</v>
      </c>
      <c r="C1427" s="178" t="s">
        <v>603</v>
      </c>
      <c r="D1427" s="178" t="s">
        <v>57</v>
      </c>
      <c r="E1427">
        <v>4727.8</v>
      </c>
      <c r="F1427">
        <v>709.17</v>
      </c>
      <c r="G1427">
        <v>5436.97</v>
      </c>
    </row>
    <row r="1428" spans="1:7" x14ac:dyDescent="0.35">
      <c r="A1428" s="178" t="s">
        <v>454</v>
      </c>
      <c r="B1428" s="178" t="s">
        <v>2659</v>
      </c>
      <c r="C1428" s="178" t="s">
        <v>603</v>
      </c>
      <c r="D1428" s="178" t="s">
        <v>2660</v>
      </c>
      <c r="E1428">
        <v>1041.3499999999999</v>
      </c>
      <c r="F1428">
        <v>156.19999999999999</v>
      </c>
      <c r="G1428">
        <v>1197.55</v>
      </c>
    </row>
    <row r="1429" spans="1:7" x14ac:dyDescent="0.35">
      <c r="A1429" s="178" t="s">
        <v>627</v>
      </c>
      <c r="B1429" s="178" t="s">
        <v>2661</v>
      </c>
      <c r="C1429" s="178" t="s">
        <v>603</v>
      </c>
      <c r="D1429" s="178" t="s">
        <v>57</v>
      </c>
      <c r="E1429">
        <v>4612.1000000000004</v>
      </c>
      <c r="F1429">
        <v>691.82</v>
      </c>
      <c r="G1429">
        <v>5303.92</v>
      </c>
    </row>
    <row r="1430" spans="1:7" x14ac:dyDescent="0.35">
      <c r="A1430" s="178" t="s">
        <v>1085</v>
      </c>
      <c r="B1430" s="178" t="s">
        <v>2662</v>
      </c>
      <c r="C1430" s="178" t="s">
        <v>615</v>
      </c>
      <c r="D1430" s="178" t="s">
        <v>2663</v>
      </c>
      <c r="E1430">
        <v>10329.200000000001</v>
      </c>
      <c r="F1430">
        <v>1549.38</v>
      </c>
      <c r="G1430">
        <v>11878.58</v>
      </c>
    </row>
    <row r="1431" spans="1:7" x14ac:dyDescent="0.35">
      <c r="A1431" s="178" t="s">
        <v>1085</v>
      </c>
      <c r="B1431" s="178" t="s">
        <v>2664</v>
      </c>
      <c r="C1431" s="178" t="s">
        <v>615</v>
      </c>
      <c r="D1431" s="178" t="s">
        <v>2665</v>
      </c>
      <c r="E1431">
        <v>1177.7</v>
      </c>
      <c r="F1431">
        <v>176.66</v>
      </c>
      <c r="G1431">
        <v>1354.36</v>
      </c>
    </row>
    <row r="1432" spans="1:7" x14ac:dyDescent="0.35">
      <c r="A1432" s="178" t="s">
        <v>1085</v>
      </c>
      <c r="B1432" s="178" t="s">
        <v>2666</v>
      </c>
      <c r="C1432" s="178" t="s">
        <v>615</v>
      </c>
      <c r="D1432" s="178" t="s">
        <v>2667</v>
      </c>
      <c r="E1432">
        <v>4680.5</v>
      </c>
      <c r="F1432">
        <v>702.08</v>
      </c>
      <c r="G1432">
        <v>5382.58</v>
      </c>
    </row>
    <row r="1433" spans="1:7" x14ac:dyDescent="0.35">
      <c r="A1433" s="178" t="s">
        <v>326</v>
      </c>
      <c r="B1433" s="178" t="s">
        <v>2668</v>
      </c>
      <c r="C1433" s="178" t="s">
        <v>615</v>
      </c>
      <c r="D1433" s="178" t="s">
        <v>2576</v>
      </c>
      <c r="E1433">
        <v>799</v>
      </c>
      <c r="F1433">
        <v>119.85</v>
      </c>
      <c r="G1433">
        <v>918.85</v>
      </c>
    </row>
    <row r="1434" spans="1:7" x14ac:dyDescent="0.35">
      <c r="A1434" s="178" t="s">
        <v>924</v>
      </c>
      <c r="B1434" s="178" t="s">
        <v>2669</v>
      </c>
      <c r="C1434" s="178" t="s">
        <v>615</v>
      </c>
      <c r="D1434" s="178" t="s">
        <v>57</v>
      </c>
      <c r="E1434">
        <v>8678.5</v>
      </c>
      <c r="F1434">
        <v>1301.78</v>
      </c>
      <c r="G1434">
        <v>9980.2800000000007</v>
      </c>
    </row>
    <row r="1435" spans="1:7" x14ac:dyDescent="0.35">
      <c r="A1435" s="178" t="s">
        <v>1629</v>
      </c>
      <c r="B1435" s="178" t="s">
        <v>2670</v>
      </c>
      <c r="C1435" s="178" t="s">
        <v>615</v>
      </c>
      <c r="D1435" s="178" t="s">
        <v>57</v>
      </c>
      <c r="E1435">
        <v>32680.799999999999</v>
      </c>
      <c r="F1435">
        <v>4902.12</v>
      </c>
      <c r="G1435">
        <v>37582.92</v>
      </c>
    </row>
    <row r="1436" spans="1:7" x14ac:dyDescent="0.35">
      <c r="A1436" s="178" t="s">
        <v>1436</v>
      </c>
      <c r="B1436" s="178" t="s">
        <v>2671</v>
      </c>
      <c r="C1436" s="178" t="s">
        <v>615</v>
      </c>
      <c r="D1436" s="178" t="s">
        <v>1438</v>
      </c>
      <c r="E1436">
        <v>5176</v>
      </c>
      <c r="F1436">
        <v>776.4</v>
      </c>
      <c r="G1436">
        <v>5952.4</v>
      </c>
    </row>
    <row r="1437" spans="1:7" x14ac:dyDescent="0.35">
      <c r="A1437" s="178" t="s">
        <v>1513</v>
      </c>
      <c r="B1437" s="178" t="s">
        <v>2672</v>
      </c>
      <c r="C1437" s="178" t="s">
        <v>615</v>
      </c>
      <c r="D1437" s="178" t="s">
        <v>1515</v>
      </c>
      <c r="E1437">
        <v>20397.5</v>
      </c>
      <c r="F1437">
        <v>3059.63</v>
      </c>
      <c r="G1437">
        <v>23457.13</v>
      </c>
    </row>
    <row r="1438" spans="1:7" x14ac:dyDescent="0.35">
      <c r="A1438" s="178" t="s">
        <v>1319</v>
      </c>
      <c r="B1438" s="178" t="s">
        <v>2673</v>
      </c>
      <c r="C1438" s="178" t="s">
        <v>615</v>
      </c>
      <c r="D1438" s="178" t="s">
        <v>57</v>
      </c>
      <c r="E1438">
        <v>13039</v>
      </c>
      <c r="F1438">
        <v>1955.85</v>
      </c>
      <c r="G1438">
        <v>14994.85</v>
      </c>
    </row>
    <row r="1439" spans="1:7" x14ac:dyDescent="0.35">
      <c r="A1439" s="178" t="s">
        <v>916</v>
      </c>
      <c r="B1439" s="178" t="s">
        <v>2674</v>
      </c>
      <c r="C1439" s="178" t="s">
        <v>615</v>
      </c>
      <c r="D1439" s="178" t="s">
        <v>57</v>
      </c>
      <c r="E1439">
        <v>4219.2</v>
      </c>
      <c r="F1439">
        <v>632.88</v>
      </c>
      <c r="G1439">
        <v>4852.08</v>
      </c>
    </row>
    <row r="1440" spans="1:7" x14ac:dyDescent="0.35">
      <c r="A1440" s="178" t="s">
        <v>2450</v>
      </c>
      <c r="B1440" s="178" t="s">
        <v>2675</v>
      </c>
      <c r="C1440" s="178" t="s">
        <v>615</v>
      </c>
      <c r="D1440" s="178" t="s">
        <v>2452</v>
      </c>
      <c r="E1440">
        <v>617.70000000000005</v>
      </c>
      <c r="F1440">
        <v>92.66</v>
      </c>
      <c r="G1440">
        <v>710.36</v>
      </c>
    </row>
    <row r="1441" spans="1:7" x14ac:dyDescent="0.35">
      <c r="A1441" s="178" t="s">
        <v>670</v>
      </c>
      <c r="B1441" s="178" t="s">
        <v>2676</v>
      </c>
      <c r="C1441" s="178" t="s">
        <v>615</v>
      </c>
      <c r="D1441" s="178" t="s">
        <v>672</v>
      </c>
      <c r="E1441">
        <v>3969.4</v>
      </c>
      <c r="F1441">
        <v>595.41999999999996</v>
      </c>
      <c r="G1441">
        <v>4564.82</v>
      </c>
    </row>
    <row r="1442" spans="1:7" x14ac:dyDescent="0.35">
      <c r="A1442" s="178" t="s">
        <v>2419</v>
      </c>
      <c r="B1442" s="178" t="s">
        <v>2677</v>
      </c>
      <c r="C1442" s="178" t="s">
        <v>615</v>
      </c>
      <c r="D1442" s="178" t="s">
        <v>57</v>
      </c>
      <c r="E1442">
        <v>2289.1999999999998</v>
      </c>
      <c r="F1442">
        <v>343.38</v>
      </c>
      <c r="G1442">
        <v>2632.58</v>
      </c>
    </row>
    <row r="1443" spans="1:7" x14ac:dyDescent="0.35">
      <c r="A1443" s="178" t="s">
        <v>637</v>
      </c>
      <c r="B1443" s="178" t="s">
        <v>2678</v>
      </c>
      <c r="C1443" s="178" t="s">
        <v>615</v>
      </c>
      <c r="D1443" s="178" t="s">
        <v>57</v>
      </c>
      <c r="E1443">
        <v>23805</v>
      </c>
      <c r="F1443">
        <v>3570.75</v>
      </c>
      <c r="G1443">
        <v>27375.75</v>
      </c>
    </row>
    <row r="1444" spans="1:7" x14ac:dyDescent="0.35">
      <c r="A1444" s="178" t="s">
        <v>409</v>
      </c>
      <c r="B1444" s="178" t="s">
        <v>2679</v>
      </c>
      <c r="C1444" s="178" t="s">
        <v>615</v>
      </c>
      <c r="D1444" s="178" t="s">
        <v>57</v>
      </c>
      <c r="E1444">
        <v>1494.55</v>
      </c>
      <c r="F1444">
        <v>224.18</v>
      </c>
      <c r="G1444">
        <v>1718.73</v>
      </c>
    </row>
    <row r="1445" spans="1:7" x14ac:dyDescent="0.35">
      <c r="A1445" s="178" t="s">
        <v>2465</v>
      </c>
      <c r="B1445" s="178" t="s">
        <v>2680</v>
      </c>
      <c r="C1445" s="178" t="s">
        <v>615</v>
      </c>
      <c r="D1445" s="178" t="s">
        <v>57</v>
      </c>
      <c r="E1445">
        <v>8454.75</v>
      </c>
      <c r="F1445">
        <v>1268.21</v>
      </c>
      <c r="G1445">
        <v>9722.9599999999991</v>
      </c>
    </row>
    <row r="1446" spans="1:7" x14ac:dyDescent="0.35">
      <c r="A1446" s="178" t="s">
        <v>757</v>
      </c>
      <c r="B1446" s="178" t="s">
        <v>2681</v>
      </c>
      <c r="C1446" s="178" t="s">
        <v>615</v>
      </c>
      <c r="D1446" s="178" t="s">
        <v>57</v>
      </c>
      <c r="E1446">
        <v>8789.4</v>
      </c>
      <c r="F1446">
        <v>1318.41</v>
      </c>
      <c r="G1446">
        <v>10107.81</v>
      </c>
    </row>
    <row r="1447" spans="1:7" x14ac:dyDescent="0.35">
      <c r="A1447" s="178" t="s">
        <v>388</v>
      </c>
      <c r="B1447" s="178" t="s">
        <v>2682</v>
      </c>
      <c r="C1447" s="178" t="s">
        <v>615</v>
      </c>
      <c r="D1447" s="178" t="s">
        <v>57</v>
      </c>
      <c r="E1447">
        <v>664</v>
      </c>
      <c r="F1447">
        <v>99.6</v>
      </c>
      <c r="G1447">
        <v>763.6</v>
      </c>
    </row>
    <row r="1448" spans="1:7" x14ac:dyDescent="0.35">
      <c r="A1448" s="178" t="s">
        <v>1553</v>
      </c>
      <c r="B1448" s="178" t="s">
        <v>2683</v>
      </c>
      <c r="C1448" s="178" t="s">
        <v>615</v>
      </c>
      <c r="D1448" s="178" t="s">
        <v>57</v>
      </c>
      <c r="E1448">
        <v>3965</v>
      </c>
      <c r="F1448">
        <v>594.75</v>
      </c>
      <c r="G1448">
        <v>4559.75</v>
      </c>
    </row>
    <row r="1449" spans="1:7" x14ac:dyDescent="0.35">
      <c r="A1449" s="178" t="s">
        <v>388</v>
      </c>
      <c r="B1449" s="178" t="s">
        <v>2684</v>
      </c>
      <c r="C1449" s="178" t="s">
        <v>615</v>
      </c>
      <c r="D1449" s="178" t="s">
        <v>57</v>
      </c>
      <c r="E1449">
        <v>638.25</v>
      </c>
      <c r="F1449">
        <v>95.74</v>
      </c>
      <c r="G1449">
        <v>733.99</v>
      </c>
    </row>
    <row r="1450" spans="1:7" x14ac:dyDescent="0.35">
      <c r="A1450" s="178" t="s">
        <v>2356</v>
      </c>
      <c r="B1450" s="178" t="s">
        <v>2685</v>
      </c>
      <c r="C1450" s="178" t="s">
        <v>615</v>
      </c>
      <c r="D1450" s="178" t="s">
        <v>57</v>
      </c>
      <c r="E1450">
        <v>5956.5</v>
      </c>
      <c r="F1450">
        <v>893.48</v>
      </c>
      <c r="G1450">
        <v>6849.98</v>
      </c>
    </row>
    <row r="1451" spans="1:7" x14ac:dyDescent="0.35">
      <c r="A1451" s="178" t="s">
        <v>496</v>
      </c>
      <c r="B1451" s="178" t="s">
        <v>2686</v>
      </c>
      <c r="C1451" s="178" t="s">
        <v>615</v>
      </c>
      <c r="D1451" s="178" t="s">
        <v>57</v>
      </c>
      <c r="E1451">
        <v>8641.5</v>
      </c>
      <c r="F1451">
        <v>1296.23</v>
      </c>
      <c r="G1451">
        <v>9937.73</v>
      </c>
    </row>
    <row r="1452" spans="1:7" x14ac:dyDescent="0.35">
      <c r="A1452" s="178" t="s">
        <v>1187</v>
      </c>
      <c r="B1452" s="178" t="s">
        <v>2687</v>
      </c>
      <c r="C1452" s="178" t="s">
        <v>615</v>
      </c>
      <c r="D1452" s="178" t="s">
        <v>57</v>
      </c>
      <c r="E1452">
        <v>29046.2</v>
      </c>
      <c r="F1452">
        <v>4356.93</v>
      </c>
      <c r="G1452">
        <v>33403.129999999997</v>
      </c>
    </row>
    <row r="1453" spans="1:7" x14ac:dyDescent="0.35">
      <c r="A1453" s="178" t="s">
        <v>856</v>
      </c>
      <c r="B1453" s="178" t="s">
        <v>2688</v>
      </c>
      <c r="C1453" s="178" t="s">
        <v>615</v>
      </c>
      <c r="D1453" s="178" t="s">
        <v>57</v>
      </c>
      <c r="E1453">
        <v>6585.9</v>
      </c>
      <c r="F1453">
        <v>987.89</v>
      </c>
      <c r="G1453">
        <v>7573.79</v>
      </c>
    </row>
    <row r="1454" spans="1:7" x14ac:dyDescent="0.35">
      <c r="A1454" s="178" t="s">
        <v>315</v>
      </c>
      <c r="B1454" s="178" t="s">
        <v>2689</v>
      </c>
      <c r="C1454" s="178" t="s">
        <v>615</v>
      </c>
      <c r="D1454" s="178" t="s">
        <v>57</v>
      </c>
      <c r="E1454">
        <v>882.5</v>
      </c>
      <c r="F1454">
        <v>132.38</v>
      </c>
      <c r="G1454">
        <v>1014.88</v>
      </c>
    </row>
    <row r="1455" spans="1:7" x14ac:dyDescent="0.35">
      <c r="A1455" s="178" t="s">
        <v>1416</v>
      </c>
      <c r="B1455" s="178" t="s">
        <v>2690</v>
      </c>
      <c r="C1455" s="178" t="s">
        <v>615</v>
      </c>
      <c r="D1455" s="178" t="s">
        <v>2691</v>
      </c>
      <c r="E1455">
        <v>2089.8000000000002</v>
      </c>
      <c r="F1455">
        <v>313.47000000000003</v>
      </c>
      <c r="G1455">
        <v>2403.27</v>
      </c>
    </row>
    <row r="1456" spans="1:7" x14ac:dyDescent="0.35">
      <c r="A1456" s="178" t="s">
        <v>1181</v>
      </c>
      <c r="B1456" s="178" t="s">
        <v>2692</v>
      </c>
      <c r="C1456" s="178" t="s">
        <v>615</v>
      </c>
      <c r="D1456" s="178" t="s">
        <v>57</v>
      </c>
      <c r="E1456">
        <v>4033.8</v>
      </c>
      <c r="F1456">
        <v>605.07000000000005</v>
      </c>
      <c r="G1456">
        <v>4638.87</v>
      </c>
    </row>
    <row r="1457" spans="1:7" x14ac:dyDescent="0.35">
      <c r="A1457" s="178" t="s">
        <v>1741</v>
      </c>
      <c r="B1457" s="178" t="s">
        <v>2693</v>
      </c>
      <c r="C1457" s="178" t="s">
        <v>615</v>
      </c>
      <c r="D1457" s="178" t="s">
        <v>2694</v>
      </c>
      <c r="E1457">
        <v>11988.1</v>
      </c>
      <c r="F1457">
        <v>1798.22</v>
      </c>
      <c r="G1457">
        <v>13786.32</v>
      </c>
    </row>
    <row r="1458" spans="1:7" x14ac:dyDescent="0.35">
      <c r="A1458" s="178" t="s">
        <v>1300</v>
      </c>
      <c r="B1458" s="178" t="s">
        <v>2695</v>
      </c>
      <c r="C1458" s="178" t="s">
        <v>615</v>
      </c>
      <c r="D1458" s="178" t="s">
        <v>2696</v>
      </c>
      <c r="E1458">
        <v>1953</v>
      </c>
      <c r="F1458">
        <v>292.95</v>
      </c>
      <c r="G1458">
        <v>2245.9499999999998</v>
      </c>
    </row>
    <row r="1459" spans="1:7" x14ac:dyDescent="0.35">
      <c r="A1459" s="178" t="s">
        <v>2067</v>
      </c>
      <c r="B1459" s="178" t="s">
        <v>2697</v>
      </c>
      <c r="C1459" s="178" t="s">
        <v>615</v>
      </c>
      <c r="D1459" s="178" t="s">
        <v>57</v>
      </c>
      <c r="E1459">
        <v>1406.1</v>
      </c>
      <c r="F1459">
        <v>210.92</v>
      </c>
      <c r="G1459">
        <v>1617.02</v>
      </c>
    </row>
    <row r="1460" spans="1:7" x14ac:dyDescent="0.35">
      <c r="A1460" s="178" t="s">
        <v>1319</v>
      </c>
      <c r="B1460" s="178" t="s">
        <v>2698</v>
      </c>
      <c r="C1460" s="178" t="s">
        <v>615</v>
      </c>
      <c r="D1460" s="178" t="s">
        <v>57</v>
      </c>
      <c r="E1460">
        <v>1360</v>
      </c>
      <c r="F1460">
        <v>204</v>
      </c>
      <c r="G1460">
        <v>1564</v>
      </c>
    </row>
    <row r="1461" spans="1:7" x14ac:dyDescent="0.35">
      <c r="A1461" s="178" t="s">
        <v>2699</v>
      </c>
      <c r="B1461" s="178" t="s">
        <v>2700</v>
      </c>
      <c r="C1461" s="178" t="s">
        <v>615</v>
      </c>
      <c r="D1461" s="178" t="s">
        <v>2701</v>
      </c>
      <c r="E1461">
        <v>4350</v>
      </c>
      <c r="F1461">
        <v>652.5</v>
      </c>
      <c r="G1461">
        <v>5002.5</v>
      </c>
    </row>
    <row r="1462" spans="1:7" x14ac:dyDescent="0.35">
      <c r="A1462" s="178" t="s">
        <v>1745</v>
      </c>
      <c r="B1462" s="178" t="s">
        <v>2702</v>
      </c>
      <c r="C1462" s="178" t="s">
        <v>615</v>
      </c>
      <c r="D1462" s="178" t="s">
        <v>57</v>
      </c>
      <c r="E1462">
        <v>815.44</v>
      </c>
      <c r="F1462">
        <v>122.32</v>
      </c>
      <c r="G1462">
        <v>937.76</v>
      </c>
    </row>
    <row r="1463" spans="1:7" x14ac:dyDescent="0.35">
      <c r="A1463" s="178" t="s">
        <v>454</v>
      </c>
      <c r="B1463" s="178" t="s">
        <v>2703</v>
      </c>
      <c r="C1463" s="178" t="s">
        <v>440</v>
      </c>
      <c r="D1463" s="178" t="s">
        <v>2704</v>
      </c>
      <c r="E1463">
        <v>409.13</v>
      </c>
      <c r="F1463" s="178" t="s">
        <v>57</v>
      </c>
      <c r="G1463">
        <v>409.13</v>
      </c>
    </row>
    <row r="1464" spans="1:7" x14ac:dyDescent="0.35">
      <c r="A1464" s="178" t="s">
        <v>454</v>
      </c>
      <c r="B1464" s="178" t="s">
        <v>2705</v>
      </c>
      <c r="C1464" s="178" t="s">
        <v>440</v>
      </c>
      <c r="D1464" s="178" t="s">
        <v>2706</v>
      </c>
      <c r="E1464">
        <v>392.76</v>
      </c>
      <c r="F1464" s="178" t="s">
        <v>57</v>
      </c>
      <c r="G1464">
        <v>392.76</v>
      </c>
    </row>
    <row r="1465" spans="1:7" x14ac:dyDescent="0.35">
      <c r="A1465" s="178" t="s">
        <v>1102</v>
      </c>
      <c r="B1465" s="178" t="s">
        <v>2707</v>
      </c>
      <c r="C1465" s="178" t="s">
        <v>615</v>
      </c>
      <c r="D1465" s="178" t="s">
        <v>57</v>
      </c>
      <c r="E1465">
        <v>12841.8</v>
      </c>
      <c r="F1465">
        <v>1926.27</v>
      </c>
      <c r="G1465">
        <v>14768.07</v>
      </c>
    </row>
    <row r="1466" spans="1:7" x14ac:dyDescent="0.35">
      <c r="A1466" s="178" t="s">
        <v>414</v>
      </c>
      <c r="B1466" s="178" t="s">
        <v>2708</v>
      </c>
      <c r="C1466" s="178" t="s">
        <v>615</v>
      </c>
      <c r="D1466" s="178" t="s">
        <v>57</v>
      </c>
      <c r="E1466">
        <v>15712.2</v>
      </c>
      <c r="F1466">
        <v>2356.83</v>
      </c>
      <c r="G1466">
        <v>18069.03</v>
      </c>
    </row>
    <row r="1467" spans="1:7" x14ac:dyDescent="0.35">
      <c r="A1467" s="178" t="s">
        <v>454</v>
      </c>
      <c r="B1467" s="178" t="s">
        <v>2709</v>
      </c>
      <c r="C1467" s="178" t="s">
        <v>440</v>
      </c>
      <c r="D1467" s="178" t="s">
        <v>2710</v>
      </c>
      <c r="E1467">
        <v>12549.9</v>
      </c>
      <c r="F1467" s="178" t="s">
        <v>57</v>
      </c>
      <c r="G1467">
        <v>12549.9</v>
      </c>
    </row>
    <row r="1468" spans="1:7" x14ac:dyDescent="0.35">
      <c r="A1468" s="178" t="s">
        <v>372</v>
      </c>
      <c r="B1468" s="178" t="s">
        <v>2711</v>
      </c>
      <c r="C1468" s="178" t="s">
        <v>615</v>
      </c>
      <c r="D1468" s="178" t="s">
        <v>57</v>
      </c>
      <c r="E1468">
        <v>4279.75</v>
      </c>
      <c r="F1468">
        <v>641.96</v>
      </c>
      <c r="G1468">
        <v>4921.71</v>
      </c>
    </row>
    <row r="1469" spans="1:7" x14ac:dyDescent="0.35">
      <c r="A1469" s="178" t="s">
        <v>454</v>
      </c>
      <c r="B1469" s="178" t="s">
        <v>2712</v>
      </c>
      <c r="C1469" s="178" t="s">
        <v>440</v>
      </c>
      <c r="D1469" s="178" t="s">
        <v>2713</v>
      </c>
      <c r="E1469">
        <v>818.26</v>
      </c>
      <c r="F1469" s="178" t="s">
        <v>57</v>
      </c>
      <c r="G1469">
        <v>818.26</v>
      </c>
    </row>
    <row r="1470" spans="1:7" x14ac:dyDescent="0.35">
      <c r="A1470" s="178" t="s">
        <v>454</v>
      </c>
      <c r="B1470" s="178" t="s">
        <v>2714</v>
      </c>
      <c r="C1470" s="178" t="s">
        <v>440</v>
      </c>
      <c r="D1470" s="178" t="s">
        <v>2715</v>
      </c>
      <c r="E1470">
        <v>9487.83</v>
      </c>
      <c r="F1470" s="178" t="s">
        <v>57</v>
      </c>
      <c r="G1470">
        <v>9487.83</v>
      </c>
    </row>
    <row r="1471" spans="1:7" x14ac:dyDescent="0.35">
      <c r="A1471" s="178" t="s">
        <v>1179</v>
      </c>
      <c r="B1471" s="178" t="s">
        <v>2716</v>
      </c>
      <c r="C1471" s="178" t="s">
        <v>615</v>
      </c>
      <c r="D1471" s="178" t="s">
        <v>57</v>
      </c>
      <c r="E1471">
        <v>46852.4</v>
      </c>
      <c r="F1471">
        <v>7027.86</v>
      </c>
      <c r="G1471">
        <v>53880.26</v>
      </c>
    </row>
    <row r="1472" spans="1:7" x14ac:dyDescent="0.35">
      <c r="A1472" s="178" t="s">
        <v>372</v>
      </c>
      <c r="B1472" s="178" t="s">
        <v>2717</v>
      </c>
      <c r="C1472" s="178" t="s">
        <v>615</v>
      </c>
      <c r="D1472" s="178" t="s">
        <v>57</v>
      </c>
      <c r="E1472">
        <v>3460.9</v>
      </c>
      <c r="F1472">
        <v>519.14</v>
      </c>
      <c r="G1472">
        <v>3980.04</v>
      </c>
    </row>
    <row r="1473" spans="1:7" x14ac:dyDescent="0.35">
      <c r="A1473" s="178" t="s">
        <v>1051</v>
      </c>
      <c r="B1473" s="178" t="s">
        <v>2718</v>
      </c>
      <c r="C1473" s="178" t="s">
        <v>615</v>
      </c>
      <c r="D1473" s="178" t="s">
        <v>57</v>
      </c>
      <c r="E1473">
        <v>7522.5</v>
      </c>
      <c r="F1473">
        <v>1128.3900000000001</v>
      </c>
      <c r="G1473">
        <v>8650.89</v>
      </c>
    </row>
    <row r="1474" spans="1:7" x14ac:dyDescent="0.35">
      <c r="A1474" s="178" t="s">
        <v>1721</v>
      </c>
      <c r="B1474" s="178" t="s">
        <v>2719</v>
      </c>
      <c r="C1474" s="178" t="s">
        <v>615</v>
      </c>
      <c r="D1474" s="178" t="s">
        <v>57</v>
      </c>
      <c r="E1474">
        <v>1231.8499999999999</v>
      </c>
      <c r="F1474">
        <v>184.78</v>
      </c>
      <c r="G1474">
        <v>1416.63</v>
      </c>
    </row>
    <row r="1475" spans="1:7" x14ac:dyDescent="0.35">
      <c r="A1475" s="178" t="s">
        <v>1335</v>
      </c>
      <c r="B1475" s="178" t="s">
        <v>2720</v>
      </c>
      <c r="C1475" s="178" t="s">
        <v>615</v>
      </c>
      <c r="D1475" s="178" t="s">
        <v>1337</v>
      </c>
      <c r="E1475">
        <v>9488.6</v>
      </c>
      <c r="F1475">
        <v>1423.29</v>
      </c>
      <c r="G1475">
        <v>10911.89</v>
      </c>
    </row>
    <row r="1476" spans="1:7" x14ac:dyDescent="0.35">
      <c r="A1476" s="178" t="s">
        <v>394</v>
      </c>
      <c r="B1476" s="178" t="s">
        <v>2721</v>
      </c>
      <c r="C1476" s="178" t="s">
        <v>615</v>
      </c>
      <c r="D1476" s="178" t="s">
        <v>57</v>
      </c>
      <c r="E1476">
        <v>3775.4</v>
      </c>
      <c r="F1476">
        <v>566.32000000000005</v>
      </c>
      <c r="G1476">
        <v>4341.72</v>
      </c>
    </row>
    <row r="1477" spans="1:7" x14ac:dyDescent="0.35">
      <c r="A1477" s="178" t="s">
        <v>1558</v>
      </c>
      <c r="B1477" s="178" t="s">
        <v>2722</v>
      </c>
      <c r="C1477" s="178" t="s">
        <v>615</v>
      </c>
      <c r="D1477" s="178" t="s">
        <v>2043</v>
      </c>
      <c r="E1477">
        <v>1150.5</v>
      </c>
      <c r="F1477">
        <v>172.58</v>
      </c>
      <c r="G1477">
        <v>1323.08</v>
      </c>
    </row>
    <row r="1478" spans="1:7" x14ac:dyDescent="0.35">
      <c r="A1478" s="178" t="s">
        <v>2079</v>
      </c>
      <c r="B1478" s="178" t="s">
        <v>2723</v>
      </c>
      <c r="C1478" s="178" t="s">
        <v>615</v>
      </c>
      <c r="D1478" s="178" t="s">
        <v>2269</v>
      </c>
      <c r="E1478">
        <v>2277.5</v>
      </c>
      <c r="F1478">
        <v>341.63</v>
      </c>
      <c r="G1478">
        <v>2619.13</v>
      </c>
    </row>
    <row r="1479" spans="1:7" x14ac:dyDescent="0.35">
      <c r="A1479" s="178" t="s">
        <v>1558</v>
      </c>
      <c r="B1479" s="178" t="s">
        <v>2724</v>
      </c>
      <c r="C1479" s="178" t="s">
        <v>615</v>
      </c>
      <c r="D1479" s="178" t="s">
        <v>2725</v>
      </c>
      <c r="E1479">
        <v>951.35</v>
      </c>
      <c r="F1479">
        <v>142.69999999999999</v>
      </c>
      <c r="G1479">
        <v>1094.05</v>
      </c>
    </row>
    <row r="1480" spans="1:7" x14ac:dyDescent="0.35">
      <c r="A1480" s="178" t="s">
        <v>2726</v>
      </c>
      <c r="B1480" s="178" t="s">
        <v>2727</v>
      </c>
      <c r="C1480" s="178" t="s">
        <v>615</v>
      </c>
      <c r="D1480" s="178" t="s">
        <v>57</v>
      </c>
      <c r="E1480">
        <v>4082.4</v>
      </c>
      <c r="F1480">
        <v>612.36</v>
      </c>
      <c r="G1480">
        <v>4694.76</v>
      </c>
    </row>
    <row r="1481" spans="1:7" x14ac:dyDescent="0.35">
      <c r="A1481" s="178" t="s">
        <v>454</v>
      </c>
      <c r="B1481" s="178" t="s">
        <v>2728</v>
      </c>
      <c r="C1481" s="178" t="s">
        <v>615</v>
      </c>
      <c r="D1481" s="178" t="s">
        <v>57</v>
      </c>
      <c r="E1481">
        <v>173.91</v>
      </c>
      <c r="F1481">
        <v>26.09</v>
      </c>
      <c r="G1481">
        <v>200</v>
      </c>
    </row>
    <row r="1482" spans="1:7" x14ac:dyDescent="0.35">
      <c r="A1482" s="178" t="s">
        <v>1256</v>
      </c>
      <c r="B1482" s="178" t="s">
        <v>2729</v>
      </c>
      <c r="C1482" s="178" t="s">
        <v>615</v>
      </c>
      <c r="D1482" s="178" t="s">
        <v>57</v>
      </c>
      <c r="E1482">
        <v>364.25</v>
      </c>
      <c r="F1482">
        <v>54.64</v>
      </c>
      <c r="G1482">
        <v>418.89</v>
      </c>
    </row>
    <row r="1483" spans="1:7" x14ac:dyDescent="0.35">
      <c r="A1483" s="178" t="s">
        <v>616</v>
      </c>
      <c r="B1483" s="178" t="s">
        <v>2730</v>
      </c>
      <c r="C1483" s="178" t="s">
        <v>615</v>
      </c>
      <c r="D1483" s="178" t="s">
        <v>57</v>
      </c>
      <c r="E1483">
        <v>28723.200000000001</v>
      </c>
      <c r="F1483">
        <v>4308.4799999999996</v>
      </c>
      <c r="G1483">
        <v>33031.68</v>
      </c>
    </row>
    <row r="1484" spans="1:7" x14ac:dyDescent="0.35">
      <c r="A1484" s="178" t="s">
        <v>616</v>
      </c>
      <c r="B1484" s="178" t="s">
        <v>2731</v>
      </c>
      <c r="C1484" s="178" t="s">
        <v>615</v>
      </c>
      <c r="D1484" s="178" t="s">
        <v>57</v>
      </c>
      <c r="E1484">
        <v>3345.6</v>
      </c>
      <c r="F1484">
        <v>501.84</v>
      </c>
      <c r="G1484">
        <v>3847.44</v>
      </c>
    </row>
    <row r="1485" spans="1:7" x14ac:dyDescent="0.35">
      <c r="A1485" s="178" t="s">
        <v>1501</v>
      </c>
      <c r="B1485" s="178" t="s">
        <v>2732</v>
      </c>
      <c r="C1485" s="178" t="s">
        <v>615</v>
      </c>
      <c r="D1485" s="178" t="s">
        <v>57</v>
      </c>
      <c r="E1485">
        <v>892.7</v>
      </c>
      <c r="F1485">
        <v>133.91</v>
      </c>
      <c r="G1485">
        <v>1026.6099999999999</v>
      </c>
    </row>
    <row r="1486" spans="1:7" x14ac:dyDescent="0.35">
      <c r="A1486" s="178" t="s">
        <v>709</v>
      </c>
      <c r="B1486" s="178" t="s">
        <v>2733</v>
      </c>
      <c r="C1486" s="178" t="s">
        <v>615</v>
      </c>
      <c r="D1486" s="178" t="s">
        <v>57</v>
      </c>
      <c r="E1486">
        <v>4320.1000000000004</v>
      </c>
      <c r="F1486">
        <v>648.02</v>
      </c>
      <c r="G1486">
        <v>4968.12</v>
      </c>
    </row>
    <row r="1487" spans="1:7" x14ac:dyDescent="0.35">
      <c r="A1487" s="178" t="s">
        <v>2734</v>
      </c>
      <c r="B1487" s="178" t="s">
        <v>2735</v>
      </c>
      <c r="C1487" s="178" t="s">
        <v>615</v>
      </c>
      <c r="D1487" s="178" t="s">
        <v>57</v>
      </c>
      <c r="E1487">
        <v>4569.1000000000004</v>
      </c>
      <c r="F1487">
        <v>685.38</v>
      </c>
      <c r="G1487">
        <v>5254.48</v>
      </c>
    </row>
    <row r="1488" spans="1:7" x14ac:dyDescent="0.35">
      <c r="A1488" s="178" t="s">
        <v>2213</v>
      </c>
      <c r="B1488" s="178" t="s">
        <v>2736</v>
      </c>
      <c r="C1488" s="178" t="s">
        <v>615</v>
      </c>
      <c r="D1488" s="178" t="s">
        <v>57</v>
      </c>
      <c r="E1488">
        <v>315</v>
      </c>
      <c r="F1488">
        <v>47.25</v>
      </c>
      <c r="G1488">
        <v>362.25</v>
      </c>
    </row>
    <row r="1489" spans="1:7" x14ac:dyDescent="0.35">
      <c r="A1489" s="178" t="s">
        <v>451</v>
      </c>
      <c r="B1489" s="178" t="s">
        <v>2737</v>
      </c>
      <c r="C1489" s="178" t="s">
        <v>615</v>
      </c>
      <c r="D1489">
        <v>36736</v>
      </c>
      <c r="E1489">
        <v>13356</v>
      </c>
      <c r="F1489">
        <v>2003.4</v>
      </c>
      <c r="G1489">
        <v>15359.4</v>
      </c>
    </row>
    <row r="1490" spans="1:7" x14ac:dyDescent="0.35">
      <c r="A1490" s="178" t="s">
        <v>2738</v>
      </c>
      <c r="B1490" s="178" t="s">
        <v>2739</v>
      </c>
      <c r="C1490" s="178" t="s">
        <v>615</v>
      </c>
      <c r="D1490" s="178" t="s">
        <v>57</v>
      </c>
      <c r="E1490">
        <v>3779.15</v>
      </c>
      <c r="F1490">
        <v>566.87</v>
      </c>
      <c r="G1490">
        <v>4346.0200000000004</v>
      </c>
    </row>
    <row r="1491" spans="1:7" x14ac:dyDescent="0.35">
      <c r="A1491" s="178" t="s">
        <v>1041</v>
      </c>
      <c r="B1491" s="178" t="s">
        <v>2740</v>
      </c>
      <c r="C1491" s="178" t="s">
        <v>615</v>
      </c>
      <c r="D1491" s="178" t="s">
        <v>57</v>
      </c>
      <c r="E1491">
        <v>734.85</v>
      </c>
      <c r="F1491">
        <v>110.23</v>
      </c>
      <c r="G1491">
        <v>845.08</v>
      </c>
    </row>
    <row r="1492" spans="1:7" x14ac:dyDescent="0.35">
      <c r="A1492" s="178" t="s">
        <v>447</v>
      </c>
      <c r="B1492" s="178" t="s">
        <v>2741</v>
      </c>
      <c r="C1492" s="178" t="s">
        <v>615</v>
      </c>
      <c r="D1492">
        <v>4742</v>
      </c>
      <c r="E1492">
        <v>10260.25</v>
      </c>
      <c r="F1492">
        <v>1539.04</v>
      </c>
      <c r="G1492">
        <v>11799.29</v>
      </c>
    </row>
    <row r="1493" spans="1:7" x14ac:dyDescent="0.35">
      <c r="A1493" s="178" t="s">
        <v>523</v>
      </c>
      <c r="B1493" s="178" t="s">
        <v>2742</v>
      </c>
      <c r="C1493" s="178" t="s">
        <v>615</v>
      </c>
      <c r="D1493" s="178" t="s">
        <v>57</v>
      </c>
      <c r="E1493">
        <v>2918.45</v>
      </c>
      <c r="F1493">
        <v>437.77</v>
      </c>
      <c r="G1493">
        <v>3356.22</v>
      </c>
    </row>
    <row r="1494" spans="1:7" x14ac:dyDescent="0.35">
      <c r="A1494" s="178" t="s">
        <v>1110</v>
      </c>
      <c r="B1494" s="178" t="s">
        <v>2743</v>
      </c>
      <c r="C1494" s="178" t="s">
        <v>615</v>
      </c>
      <c r="D1494" s="178" t="s">
        <v>57</v>
      </c>
      <c r="E1494">
        <v>1588.55</v>
      </c>
      <c r="F1494">
        <v>238.28</v>
      </c>
      <c r="G1494">
        <v>1826.83</v>
      </c>
    </row>
    <row r="1495" spans="1:7" x14ac:dyDescent="0.35">
      <c r="A1495" s="178" t="s">
        <v>2744</v>
      </c>
      <c r="B1495" s="178" t="s">
        <v>2745</v>
      </c>
      <c r="C1495" s="178" t="s">
        <v>615</v>
      </c>
      <c r="D1495" s="178" t="s">
        <v>57</v>
      </c>
      <c r="E1495">
        <v>5664.55</v>
      </c>
      <c r="F1495">
        <v>849.69</v>
      </c>
      <c r="G1495">
        <v>6514.24</v>
      </c>
    </row>
    <row r="1496" spans="1:7" x14ac:dyDescent="0.35">
      <c r="A1496" s="178" t="s">
        <v>2746</v>
      </c>
      <c r="B1496" s="178" t="s">
        <v>2747</v>
      </c>
      <c r="C1496" s="178" t="s">
        <v>615</v>
      </c>
      <c r="D1496" s="178" t="s">
        <v>57</v>
      </c>
      <c r="E1496">
        <v>28605.9</v>
      </c>
      <c r="F1496">
        <v>4290.8900000000003</v>
      </c>
      <c r="G1496">
        <v>32896.79</v>
      </c>
    </row>
    <row r="1497" spans="1:7" x14ac:dyDescent="0.35">
      <c r="A1497" s="178" t="s">
        <v>454</v>
      </c>
      <c r="B1497" s="178" t="s">
        <v>2748</v>
      </c>
      <c r="C1497" s="178" t="s">
        <v>615</v>
      </c>
      <c r="D1497" s="178" t="s">
        <v>57</v>
      </c>
      <c r="E1497">
        <v>4500</v>
      </c>
      <c r="F1497">
        <v>675</v>
      </c>
      <c r="G1497">
        <v>5175</v>
      </c>
    </row>
    <row r="1498" spans="1:7" x14ac:dyDescent="0.35">
      <c r="A1498" s="178" t="s">
        <v>347</v>
      </c>
      <c r="B1498" s="178" t="s">
        <v>2749</v>
      </c>
      <c r="C1498" s="178" t="s">
        <v>615</v>
      </c>
      <c r="D1498" s="178" t="s">
        <v>57</v>
      </c>
      <c r="E1498">
        <v>1015</v>
      </c>
      <c r="F1498">
        <v>152.25</v>
      </c>
      <c r="G1498">
        <v>1167.25</v>
      </c>
    </row>
    <row r="1499" spans="1:7" x14ac:dyDescent="0.35">
      <c r="A1499" s="178" t="s">
        <v>2750</v>
      </c>
      <c r="B1499" s="178" t="s">
        <v>2751</v>
      </c>
      <c r="C1499" s="178" t="s">
        <v>615</v>
      </c>
      <c r="D1499" s="178" t="s">
        <v>2752</v>
      </c>
      <c r="E1499">
        <v>867</v>
      </c>
      <c r="F1499">
        <v>130.05000000000001</v>
      </c>
      <c r="G1499">
        <v>997.05</v>
      </c>
    </row>
    <row r="1500" spans="1:7" x14ac:dyDescent="0.35">
      <c r="A1500" s="178" t="s">
        <v>1923</v>
      </c>
      <c r="B1500" s="178" t="s">
        <v>2753</v>
      </c>
      <c r="C1500" s="178" t="s">
        <v>615</v>
      </c>
      <c r="D1500" s="178" t="s">
        <v>57</v>
      </c>
      <c r="E1500">
        <v>5840.8</v>
      </c>
      <c r="F1500">
        <v>876.12</v>
      </c>
      <c r="G1500">
        <v>6716.92</v>
      </c>
    </row>
    <row r="1501" spans="1:7" x14ac:dyDescent="0.35">
      <c r="A1501" s="178" t="s">
        <v>2754</v>
      </c>
      <c r="B1501" s="178" t="s">
        <v>2755</v>
      </c>
      <c r="C1501" s="178" t="s">
        <v>615</v>
      </c>
      <c r="D1501" s="178" t="s">
        <v>57</v>
      </c>
      <c r="E1501">
        <v>3549.5</v>
      </c>
      <c r="F1501">
        <v>532.42999999999995</v>
      </c>
      <c r="G1501">
        <v>4081.93</v>
      </c>
    </row>
    <row r="1502" spans="1:7" x14ac:dyDescent="0.35">
      <c r="A1502" s="178" t="s">
        <v>332</v>
      </c>
      <c r="B1502" s="178" t="s">
        <v>2756</v>
      </c>
      <c r="C1502" s="178" t="s">
        <v>615</v>
      </c>
      <c r="D1502" s="178" t="s">
        <v>57</v>
      </c>
      <c r="E1502">
        <v>2247.1999999999998</v>
      </c>
      <c r="F1502">
        <v>337.08</v>
      </c>
      <c r="G1502">
        <v>2584.2800000000002</v>
      </c>
    </row>
    <row r="1503" spans="1:7" x14ac:dyDescent="0.35">
      <c r="A1503" s="178" t="s">
        <v>451</v>
      </c>
      <c r="B1503" s="178" t="s">
        <v>2757</v>
      </c>
      <c r="C1503" s="178" t="s">
        <v>615</v>
      </c>
      <c r="D1503">
        <v>36737</v>
      </c>
      <c r="E1503">
        <v>6664.9</v>
      </c>
      <c r="F1503">
        <v>999.74</v>
      </c>
      <c r="G1503">
        <v>7664.64</v>
      </c>
    </row>
    <row r="1504" spans="1:7" x14ac:dyDescent="0.35">
      <c r="A1504" s="178" t="s">
        <v>532</v>
      </c>
      <c r="B1504" s="178" t="s">
        <v>2758</v>
      </c>
      <c r="C1504" s="178" t="s">
        <v>615</v>
      </c>
      <c r="D1504" s="178" t="s">
        <v>57</v>
      </c>
      <c r="E1504">
        <v>2279.25</v>
      </c>
      <c r="F1504">
        <v>341.89</v>
      </c>
      <c r="G1504">
        <v>2621.14</v>
      </c>
    </row>
    <row r="1505" spans="1:7" x14ac:dyDescent="0.35">
      <c r="A1505" s="178" t="s">
        <v>532</v>
      </c>
      <c r="B1505" s="178" t="s">
        <v>2759</v>
      </c>
      <c r="C1505" s="178" t="s">
        <v>615</v>
      </c>
      <c r="D1505" s="178" t="s">
        <v>57</v>
      </c>
      <c r="E1505">
        <v>3683.4</v>
      </c>
      <c r="F1505">
        <v>552.52</v>
      </c>
      <c r="G1505">
        <v>4235.92</v>
      </c>
    </row>
    <row r="1506" spans="1:7" x14ac:dyDescent="0.35">
      <c r="A1506" s="178" t="s">
        <v>620</v>
      </c>
      <c r="B1506" s="178" t="s">
        <v>2760</v>
      </c>
      <c r="C1506" s="178" t="s">
        <v>615</v>
      </c>
      <c r="D1506" s="178" t="s">
        <v>57</v>
      </c>
      <c r="E1506">
        <v>4006.8</v>
      </c>
      <c r="F1506">
        <v>601.02</v>
      </c>
      <c r="G1506">
        <v>4607.82</v>
      </c>
    </row>
    <row r="1507" spans="1:7" x14ac:dyDescent="0.35">
      <c r="A1507" s="178" t="s">
        <v>1085</v>
      </c>
      <c r="B1507" s="178" t="s">
        <v>2761</v>
      </c>
      <c r="C1507" s="178" t="s">
        <v>615</v>
      </c>
      <c r="D1507" s="178" t="s">
        <v>2762</v>
      </c>
      <c r="E1507">
        <v>6014.4</v>
      </c>
      <c r="F1507">
        <v>902.16</v>
      </c>
      <c r="G1507">
        <v>6916.56</v>
      </c>
    </row>
    <row r="1508" spans="1:7" x14ac:dyDescent="0.35">
      <c r="A1508" s="178" t="s">
        <v>1193</v>
      </c>
      <c r="B1508" s="178" t="s">
        <v>2763</v>
      </c>
      <c r="C1508" s="178" t="s">
        <v>622</v>
      </c>
      <c r="D1508" s="178" t="s">
        <v>2764</v>
      </c>
      <c r="E1508">
        <v>3460.2</v>
      </c>
      <c r="F1508">
        <v>519.03</v>
      </c>
      <c r="G1508">
        <v>3979.23</v>
      </c>
    </row>
    <row r="1509" spans="1:7" x14ac:dyDescent="0.35">
      <c r="A1509" s="178" t="s">
        <v>451</v>
      </c>
      <c r="B1509" s="178" t="s">
        <v>2765</v>
      </c>
      <c r="C1509" s="178" t="s">
        <v>622</v>
      </c>
      <c r="D1509" s="178" t="s">
        <v>2766</v>
      </c>
      <c r="E1509">
        <v>12499.2</v>
      </c>
      <c r="F1509">
        <v>1874.88</v>
      </c>
      <c r="G1509">
        <v>14374.08</v>
      </c>
    </row>
    <row r="1510" spans="1:7" x14ac:dyDescent="0.35">
      <c r="A1510" s="178" t="s">
        <v>918</v>
      </c>
      <c r="B1510" s="178" t="s">
        <v>2767</v>
      </c>
      <c r="C1510" s="178" t="s">
        <v>622</v>
      </c>
      <c r="D1510" s="178" t="s">
        <v>57</v>
      </c>
      <c r="E1510">
        <v>7968.4</v>
      </c>
      <c r="F1510">
        <v>1195.26</v>
      </c>
      <c r="G1510">
        <v>9163.66</v>
      </c>
    </row>
    <row r="1511" spans="1:7" x14ac:dyDescent="0.35">
      <c r="A1511" s="178" t="s">
        <v>1319</v>
      </c>
      <c r="B1511" s="178" t="s">
        <v>2768</v>
      </c>
      <c r="C1511" s="178" t="s">
        <v>622</v>
      </c>
      <c r="D1511" s="178" t="s">
        <v>57</v>
      </c>
      <c r="E1511">
        <v>1638</v>
      </c>
      <c r="F1511">
        <v>245.7</v>
      </c>
      <c r="G1511">
        <v>1883.7</v>
      </c>
    </row>
    <row r="1512" spans="1:7" x14ac:dyDescent="0.35">
      <c r="A1512" s="178" t="s">
        <v>1732</v>
      </c>
      <c r="B1512" s="178" t="s">
        <v>2769</v>
      </c>
      <c r="C1512" s="178" t="s">
        <v>622</v>
      </c>
      <c r="D1512" s="178" t="s">
        <v>57</v>
      </c>
      <c r="E1512">
        <v>1053</v>
      </c>
      <c r="F1512">
        <v>157.94999999999999</v>
      </c>
      <c r="G1512">
        <v>1210.95</v>
      </c>
    </row>
    <row r="1513" spans="1:7" x14ac:dyDescent="0.35">
      <c r="A1513" s="178" t="s">
        <v>683</v>
      </c>
      <c r="B1513" s="178" t="s">
        <v>2770</v>
      </c>
      <c r="C1513" s="178" t="s">
        <v>622</v>
      </c>
      <c r="D1513" s="178" t="s">
        <v>57</v>
      </c>
      <c r="E1513">
        <v>643.25</v>
      </c>
      <c r="F1513">
        <v>96.49</v>
      </c>
      <c r="G1513">
        <v>739.74</v>
      </c>
    </row>
    <row r="1514" spans="1:7" x14ac:dyDescent="0.35">
      <c r="A1514" s="178" t="s">
        <v>2771</v>
      </c>
      <c r="B1514" s="178" t="s">
        <v>2772</v>
      </c>
      <c r="C1514" s="178" t="s">
        <v>622</v>
      </c>
      <c r="D1514" s="178" t="s">
        <v>57</v>
      </c>
      <c r="E1514">
        <v>690</v>
      </c>
      <c r="F1514">
        <v>103.5</v>
      </c>
      <c r="G1514">
        <v>793.5</v>
      </c>
    </row>
    <row r="1515" spans="1:7" x14ac:dyDescent="0.35">
      <c r="A1515" s="178" t="s">
        <v>2773</v>
      </c>
      <c r="B1515" s="178" t="s">
        <v>2774</v>
      </c>
      <c r="C1515" s="178" t="s">
        <v>622</v>
      </c>
      <c r="D1515" s="178" t="s">
        <v>57</v>
      </c>
      <c r="E1515">
        <v>11345.6</v>
      </c>
      <c r="F1515">
        <v>1701.84</v>
      </c>
      <c r="G1515">
        <v>13047.44</v>
      </c>
    </row>
    <row r="1516" spans="1:7" x14ac:dyDescent="0.35">
      <c r="A1516" s="178" t="s">
        <v>451</v>
      </c>
      <c r="B1516" s="178" t="s">
        <v>2775</v>
      </c>
      <c r="C1516" s="178" t="s">
        <v>622</v>
      </c>
      <c r="D1516">
        <v>36782</v>
      </c>
      <c r="E1516">
        <v>12957.6</v>
      </c>
      <c r="F1516">
        <v>1943.64</v>
      </c>
      <c r="G1516">
        <v>14901.24</v>
      </c>
    </row>
    <row r="1517" spans="1:7" x14ac:dyDescent="0.35">
      <c r="A1517" s="178" t="s">
        <v>1319</v>
      </c>
      <c r="B1517" s="178" t="s">
        <v>2776</v>
      </c>
      <c r="C1517" s="178" t="s">
        <v>622</v>
      </c>
      <c r="D1517" s="178" t="s">
        <v>57</v>
      </c>
      <c r="E1517">
        <v>3114</v>
      </c>
      <c r="F1517">
        <v>467.1</v>
      </c>
      <c r="G1517">
        <v>3581.1</v>
      </c>
    </row>
    <row r="1518" spans="1:7" x14ac:dyDescent="0.35">
      <c r="A1518" s="178" t="s">
        <v>451</v>
      </c>
      <c r="B1518" s="178" t="s">
        <v>2777</v>
      </c>
      <c r="C1518" s="178" t="s">
        <v>622</v>
      </c>
      <c r="D1518">
        <v>36781</v>
      </c>
      <c r="E1518">
        <v>3883.2</v>
      </c>
      <c r="F1518">
        <v>582.48</v>
      </c>
      <c r="G1518">
        <v>4465.68</v>
      </c>
    </row>
    <row r="1519" spans="1:7" x14ac:dyDescent="0.35">
      <c r="A1519" s="178" t="s">
        <v>2778</v>
      </c>
      <c r="B1519" s="178" t="s">
        <v>2779</v>
      </c>
      <c r="C1519" s="178" t="s">
        <v>622</v>
      </c>
      <c r="D1519" s="178" t="s">
        <v>942</v>
      </c>
      <c r="E1519">
        <v>8076.6</v>
      </c>
      <c r="F1519">
        <v>1211.49</v>
      </c>
      <c r="G1519">
        <v>9288.09</v>
      </c>
    </row>
    <row r="1520" spans="1:7" x14ac:dyDescent="0.35">
      <c r="A1520" s="178" t="s">
        <v>329</v>
      </c>
      <c r="B1520" s="178" t="s">
        <v>2780</v>
      </c>
      <c r="C1520" s="178" t="s">
        <v>622</v>
      </c>
      <c r="D1520" s="178" t="s">
        <v>57</v>
      </c>
      <c r="E1520">
        <v>3284.95</v>
      </c>
      <c r="F1520">
        <v>492.75</v>
      </c>
      <c r="G1520">
        <v>3777.7</v>
      </c>
    </row>
    <row r="1521" spans="1:7" x14ac:dyDescent="0.35">
      <c r="A1521" s="178" t="s">
        <v>2038</v>
      </c>
      <c r="B1521" s="178" t="s">
        <v>2781</v>
      </c>
      <c r="C1521" s="178" t="s">
        <v>622</v>
      </c>
      <c r="D1521" s="178" t="s">
        <v>1337</v>
      </c>
      <c r="E1521">
        <v>700.35</v>
      </c>
      <c r="F1521">
        <v>105.05</v>
      </c>
      <c r="G1521">
        <v>805.4</v>
      </c>
    </row>
    <row r="1522" spans="1:7" x14ac:dyDescent="0.35">
      <c r="A1522" s="178" t="s">
        <v>1004</v>
      </c>
      <c r="B1522" s="178" t="s">
        <v>2782</v>
      </c>
      <c r="C1522" s="178" t="s">
        <v>622</v>
      </c>
      <c r="D1522" s="178" t="s">
        <v>57</v>
      </c>
      <c r="E1522">
        <v>1402.25</v>
      </c>
      <c r="F1522">
        <v>210.34</v>
      </c>
      <c r="G1522">
        <v>1612.59</v>
      </c>
    </row>
    <row r="1523" spans="1:7" x14ac:dyDescent="0.35">
      <c r="A1523" s="178" t="s">
        <v>366</v>
      </c>
      <c r="B1523" s="178" t="s">
        <v>2783</v>
      </c>
      <c r="C1523" s="178" t="s">
        <v>622</v>
      </c>
      <c r="D1523" s="178" t="s">
        <v>57</v>
      </c>
      <c r="E1523">
        <v>2933</v>
      </c>
      <c r="F1523">
        <v>439.95</v>
      </c>
      <c r="G1523">
        <v>3372.95</v>
      </c>
    </row>
    <row r="1524" spans="1:7" x14ac:dyDescent="0.35">
      <c r="A1524" s="178" t="s">
        <v>591</v>
      </c>
      <c r="B1524" s="178" t="s">
        <v>2784</v>
      </c>
      <c r="C1524" s="178" t="s">
        <v>622</v>
      </c>
      <c r="D1524" s="178" t="s">
        <v>57</v>
      </c>
      <c r="E1524">
        <v>11537.2</v>
      </c>
      <c r="F1524">
        <v>1730.6</v>
      </c>
      <c r="G1524">
        <v>13267.8</v>
      </c>
    </row>
    <row r="1525" spans="1:7" x14ac:dyDescent="0.35">
      <c r="A1525" s="178" t="s">
        <v>924</v>
      </c>
      <c r="B1525" s="178" t="s">
        <v>2785</v>
      </c>
      <c r="C1525" s="178" t="s">
        <v>622</v>
      </c>
      <c r="D1525" s="178" t="s">
        <v>57</v>
      </c>
      <c r="E1525">
        <v>850</v>
      </c>
      <c r="F1525">
        <v>127.5</v>
      </c>
      <c r="G1525">
        <v>977.5</v>
      </c>
    </row>
    <row r="1526" spans="1:7" x14ac:dyDescent="0.35">
      <c r="A1526" s="178" t="s">
        <v>2786</v>
      </c>
      <c r="B1526" s="178" t="s">
        <v>2787</v>
      </c>
      <c r="C1526" s="178" t="s">
        <v>622</v>
      </c>
      <c r="D1526" s="178" t="s">
        <v>57</v>
      </c>
      <c r="E1526">
        <v>7577.9</v>
      </c>
      <c r="F1526">
        <v>1136.69</v>
      </c>
      <c r="G1526">
        <v>8714.59</v>
      </c>
    </row>
    <row r="1527" spans="1:7" x14ac:dyDescent="0.35">
      <c r="A1527" s="178" t="s">
        <v>856</v>
      </c>
      <c r="B1527" s="178" t="s">
        <v>2788</v>
      </c>
      <c r="C1527" s="178" t="s">
        <v>622</v>
      </c>
      <c r="D1527" s="178" t="s">
        <v>57</v>
      </c>
      <c r="E1527">
        <v>501.51</v>
      </c>
      <c r="F1527">
        <v>75.23</v>
      </c>
      <c r="G1527">
        <v>576.74</v>
      </c>
    </row>
    <row r="1528" spans="1:7" x14ac:dyDescent="0.35">
      <c r="A1528" s="178" t="s">
        <v>383</v>
      </c>
      <c r="B1528" s="178" t="s">
        <v>2789</v>
      </c>
      <c r="C1528" s="178" t="s">
        <v>622</v>
      </c>
      <c r="D1528" s="178" t="s">
        <v>57</v>
      </c>
      <c r="E1528">
        <v>2100</v>
      </c>
      <c r="F1528">
        <v>315</v>
      </c>
      <c r="G1528">
        <v>2415</v>
      </c>
    </row>
    <row r="1529" spans="1:7" x14ac:dyDescent="0.35">
      <c r="A1529" s="178" t="s">
        <v>2520</v>
      </c>
      <c r="B1529" s="178" t="s">
        <v>2790</v>
      </c>
      <c r="C1529" s="178" t="s">
        <v>622</v>
      </c>
      <c r="D1529" s="178" t="s">
        <v>2522</v>
      </c>
      <c r="E1529">
        <v>2667.45</v>
      </c>
      <c r="F1529">
        <v>400.12</v>
      </c>
      <c r="G1529">
        <v>3067.57</v>
      </c>
    </row>
    <row r="1530" spans="1:7" x14ac:dyDescent="0.35">
      <c r="A1530" s="178" t="s">
        <v>484</v>
      </c>
      <c r="B1530" s="178" t="s">
        <v>2791</v>
      </c>
      <c r="C1530" s="178" t="s">
        <v>622</v>
      </c>
      <c r="D1530" s="178" t="s">
        <v>57</v>
      </c>
      <c r="E1530">
        <v>1621.35</v>
      </c>
      <c r="F1530">
        <v>243.2</v>
      </c>
      <c r="G1530">
        <v>1864.55</v>
      </c>
    </row>
    <row r="1531" spans="1:7" x14ac:dyDescent="0.35">
      <c r="A1531" s="178" t="s">
        <v>2044</v>
      </c>
      <c r="B1531" s="178" t="s">
        <v>2792</v>
      </c>
      <c r="C1531" s="178" t="s">
        <v>622</v>
      </c>
      <c r="D1531" s="178" t="s">
        <v>57</v>
      </c>
      <c r="E1531">
        <v>911.42</v>
      </c>
      <c r="F1531">
        <v>136.71</v>
      </c>
      <c r="G1531">
        <v>1048.1300000000001</v>
      </c>
    </row>
    <row r="1532" spans="1:7" x14ac:dyDescent="0.35">
      <c r="A1532" s="178" t="s">
        <v>372</v>
      </c>
      <c r="B1532" s="178" t="s">
        <v>2793</v>
      </c>
      <c r="C1532" s="178" t="s">
        <v>622</v>
      </c>
      <c r="D1532" s="178" t="s">
        <v>57</v>
      </c>
      <c r="E1532">
        <v>9434</v>
      </c>
      <c r="F1532">
        <v>1415.1</v>
      </c>
      <c r="G1532">
        <v>10849.1</v>
      </c>
    </row>
    <row r="1533" spans="1:7" x14ac:dyDescent="0.35">
      <c r="A1533" s="178" t="s">
        <v>620</v>
      </c>
      <c r="B1533" s="178" t="s">
        <v>2794</v>
      </c>
      <c r="C1533" s="178" t="s">
        <v>622</v>
      </c>
      <c r="D1533" s="178" t="s">
        <v>57</v>
      </c>
      <c r="E1533">
        <v>2730</v>
      </c>
      <c r="F1533">
        <v>409.5</v>
      </c>
      <c r="G1533">
        <v>3139.5</v>
      </c>
    </row>
    <row r="1534" spans="1:7" x14ac:dyDescent="0.35">
      <c r="A1534" s="178" t="s">
        <v>2795</v>
      </c>
      <c r="B1534" s="178" t="s">
        <v>2796</v>
      </c>
      <c r="C1534" s="178" t="s">
        <v>622</v>
      </c>
      <c r="D1534" s="178" t="s">
        <v>2797</v>
      </c>
      <c r="E1534">
        <v>2300</v>
      </c>
      <c r="F1534">
        <v>345</v>
      </c>
      <c r="G1534">
        <v>2645</v>
      </c>
    </row>
    <row r="1535" spans="1:7" x14ac:dyDescent="0.35">
      <c r="A1535" s="178" t="s">
        <v>1867</v>
      </c>
      <c r="B1535" s="178" t="s">
        <v>2798</v>
      </c>
      <c r="C1535" s="178" t="s">
        <v>622</v>
      </c>
      <c r="D1535" s="178" t="s">
        <v>57</v>
      </c>
      <c r="E1535">
        <v>6446.64</v>
      </c>
      <c r="F1535">
        <v>966.99</v>
      </c>
      <c r="G1535">
        <v>7413.63</v>
      </c>
    </row>
    <row r="1536" spans="1:7" x14ac:dyDescent="0.35">
      <c r="A1536" s="178" t="s">
        <v>1360</v>
      </c>
      <c r="B1536" s="178" t="s">
        <v>2799</v>
      </c>
      <c r="C1536" s="178" t="s">
        <v>622</v>
      </c>
      <c r="D1536" s="178" t="s">
        <v>57</v>
      </c>
      <c r="E1536">
        <v>4518.7</v>
      </c>
      <c r="F1536">
        <v>677.81</v>
      </c>
      <c r="G1536">
        <v>5196.51</v>
      </c>
    </row>
    <row r="1537" spans="1:7" x14ac:dyDescent="0.35">
      <c r="A1537" s="178" t="s">
        <v>1031</v>
      </c>
      <c r="B1537" s="178" t="s">
        <v>2800</v>
      </c>
      <c r="C1537" s="178" t="s">
        <v>622</v>
      </c>
      <c r="D1537" s="178" t="s">
        <v>57</v>
      </c>
      <c r="E1537">
        <v>3038.75</v>
      </c>
      <c r="F1537">
        <v>455.81</v>
      </c>
      <c r="G1537">
        <v>3494.56</v>
      </c>
    </row>
    <row r="1538" spans="1:7" x14ac:dyDescent="0.35">
      <c r="A1538" s="178" t="s">
        <v>403</v>
      </c>
      <c r="B1538" s="178" t="s">
        <v>2801</v>
      </c>
      <c r="C1538" s="178" t="s">
        <v>622</v>
      </c>
      <c r="D1538" s="178" t="s">
        <v>57</v>
      </c>
      <c r="E1538">
        <v>1545.28</v>
      </c>
      <c r="F1538">
        <v>231.79</v>
      </c>
      <c r="G1538">
        <v>1777.07</v>
      </c>
    </row>
    <row r="1539" spans="1:7" x14ac:dyDescent="0.35">
      <c r="A1539" s="178" t="s">
        <v>1445</v>
      </c>
      <c r="B1539" s="178" t="s">
        <v>2802</v>
      </c>
      <c r="C1539" s="178" t="s">
        <v>622</v>
      </c>
      <c r="D1539" s="178" t="s">
        <v>57</v>
      </c>
      <c r="E1539">
        <v>6710.9</v>
      </c>
      <c r="F1539">
        <v>1006.65</v>
      </c>
      <c r="G1539">
        <v>7717.55</v>
      </c>
    </row>
    <row r="1540" spans="1:7" x14ac:dyDescent="0.35">
      <c r="A1540" s="178" t="s">
        <v>2381</v>
      </c>
      <c r="B1540" s="178" t="s">
        <v>2803</v>
      </c>
      <c r="C1540" s="178" t="s">
        <v>622</v>
      </c>
      <c r="D1540" s="178" t="s">
        <v>57</v>
      </c>
      <c r="E1540">
        <v>13581.15</v>
      </c>
      <c r="F1540">
        <v>2037.17</v>
      </c>
      <c r="G1540">
        <v>15618.32</v>
      </c>
    </row>
    <row r="1541" spans="1:7" x14ac:dyDescent="0.35">
      <c r="A1541" s="178" t="s">
        <v>2804</v>
      </c>
      <c r="B1541" s="178" t="s">
        <v>2805</v>
      </c>
      <c r="C1541" s="178" t="s">
        <v>622</v>
      </c>
      <c r="D1541" s="178" t="s">
        <v>57</v>
      </c>
      <c r="E1541">
        <v>7199.05</v>
      </c>
      <c r="F1541">
        <v>1079.8699999999999</v>
      </c>
      <c r="G1541">
        <v>8278.92</v>
      </c>
    </row>
    <row r="1542" spans="1:7" x14ac:dyDescent="0.35">
      <c r="A1542" s="178" t="s">
        <v>738</v>
      </c>
      <c r="B1542" s="178" t="s">
        <v>2806</v>
      </c>
      <c r="C1542" s="178" t="s">
        <v>622</v>
      </c>
      <c r="D1542" s="178" t="s">
        <v>57</v>
      </c>
      <c r="E1542">
        <v>17528.25</v>
      </c>
      <c r="F1542">
        <v>2629.24</v>
      </c>
      <c r="G1542">
        <v>20157.490000000002</v>
      </c>
    </row>
    <row r="1543" spans="1:7" x14ac:dyDescent="0.35">
      <c r="A1543" s="178" t="s">
        <v>2807</v>
      </c>
      <c r="B1543" s="178" t="s">
        <v>2808</v>
      </c>
      <c r="C1543" s="178" t="s">
        <v>622</v>
      </c>
      <c r="D1543" s="178" t="s">
        <v>2809</v>
      </c>
      <c r="E1543">
        <v>7264.95</v>
      </c>
      <c r="F1543" s="178" t="s">
        <v>57</v>
      </c>
      <c r="G1543">
        <v>7264.95</v>
      </c>
    </row>
    <row r="1544" spans="1:7" x14ac:dyDescent="0.35">
      <c r="A1544" s="178" t="s">
        <v>2810</v>
      </c>
      <c r="B1544" s="178" t="s">
        <v>2811</v>
      </c>
      <c r="C1544" s="178" t="s">
        <v>622</v>
      </c>
      <c r="D1544" s="178" t="s">
        <v>57</v>
      </c>
      <c r="E1544">
        <v>8272.7000000000007</v>
      </c>
      <c r="F1544">
        <v>1240.9100000000001</v>
      </c>
      <c r="G1544">
        <v>9513.61</v>
      </c>
    </row>
    <row r="1545" spans="1:7" x14ac:dyDescent="0.35">
      <c r="A1545" s="178" t="s">
        <v>1037</v>
      </c>
      <c r="B1545" s="178" t="s">
        <v>2812</v>
      </c>
      <c r="C1545" s="178" t="s">
        <v>622</v>
      </c>
      <c r="D1545" s="178" t="s">
        <v>57</v>
      </c>
      <c r="E1545">
        <v>7653.4</v>
      </c>
      <c r="F1545">
        <v>1148.02</v>
      </c>
      <c r="G1545">
        <v>8801.42</v>
      </c>
    </row>
    <row r="1546" spans="1:7" x14ac:dyDescent="0.35">
      <c r="A1546" s="178" t="s">
        <v>627</v>
      </c>
      <c r="B1546" s="178" t="s">
        <v>2813</v>
      </c>
      <c r="C1546" s="178" t="s">
        <v>622</v>
      </c>
      <c r="D1546" s="178" t="s">
        <v>57</v>
      </c>
      <c r="E1546">
        <v>6483.5</v>
      </c>
      <c r="F1546">
        <v>972.54</v>
      </c>
      <c r="G1546">
        <v>7456.04</v>
      </c>
    </row>
    <row r="1547" spans="1:7" x14ac:dyDescent="0.35">
      <c r="A1547" s="178" t="s">
        <v>630</v>
      </c>
      <c r="B1547" s="178" t="s">
        <v>2814</v>
      </c>
      <c r="C1547" s="178" t="s">
        <v>622</v>
      </c>
      <c r="D1547" s="178" t="s">
        <v>57</v>
      </c>
      <c r="E1547">
        <v>7921.2</v>
      </c>
      <c r="F1547">
        <v>1188.18</v>
      </c>
      <c r="G1547">
        <v>9109.3799999999992</v>
      </c>
    </row>
    <row r="1548" spans="1:7" x14ac:dyDescent="0.35">
      <c r="A1548" s="178" t="s">
        <v>454</v>
      </c>
      <c r="B1548" s="178" t="s">
        <v>2815</v>
      </c>
      <c r="C1548" s="178" t="s">
        <v>622</v>
      </c>
      <c r="D1548" s="178" t="s">
        <v>57</v>
      </c>
      <c r="E1548">
        <v>15217.39</v>
      </c>
      <c r="F1548">
        <v>2282.61</v>
      </c>
      <c r="G1548">
        <v>17500</v>
      </c>
    </row>
    <row r="1549" spans="1:7" x14ac:dyDescent="0.35">
      <c r="A1549" s="178" t="s">
        <v>2816</v>
      </c>
      <c r="B1549" s="178" t="s">
        <v>2817</v>
      </c>
      <c r="C1549" s="178" t="s">
        <v>622</v>
      </c>
      <c r="D1549" s="178" t="s">
        <v>57</v>
      </c>
      <c r="E1549">
        <v>7008.75</v>
      </c>
      <c r="F1549">
        <v>1051.31</v>
      </c>
      <c r="G1549">
        <v>8060.06</v>
      </c>
    </row>
    <row r="1550" spans="1:7" x14ac:dyDescent="0.35">
      <c r="A1550" s="178" t="s">
        <v>2818</v>
      </c>
      <c r="B1550" s="178" t="s">
        <v>2819</v>
      </c>
      <c r="C1550" s="178" t="s">
        <v>622</v>
      </c>
      <c r="D1550" s="178" t="s">
        <v>57</v>
      </c>
      <c r="E1550">
        <v>3371.2</v>
      </c>
      <c r="F1550">
        <v>505.68</v>
      </c>
      <c r="G1550">
        <v>3876.88</v>
      </c>
    </row>
    <row r="1551" spans="1:7" x14ac:dyDescent="0.35">
      <c r="A1551" s="178" t="s">
        <v>326</v>
      </c>
      <c r="B1551" s="178" t="s">
        <v>2820</v>
      </c>
      <c r="C1551" s="178" t="s">
        <v>622</v>
      </c>
      <c r="D1551" s="178" t="s">
        <v>2821</v>
      </c>
      <c r="E1551">
        <v>854.25</v>
      </c>
      <c r="F1551">
        <v>128.13999999999999</v>
      </c>
      <c r="G1551">
        <v>982.39</v>
      </c>
    </row>
    <row r="1552" spans="1:7" x14ac:dyDescent="0.35">
      <c r="A1552" s="178" t="s">
        <v>496</v>
      </c>
      <c r="B1552" s="178" t="s">
        <v>2822</v>
      </c>
      <c r="C1552" s="178" t="s">
        <v>622</v>
      </c>
      <c r="D1552" s="178" t="s">
        <v>57</v>
      </c>
      <c r="E1552">
        <v>4590.3</v>
      </c>
      <c r="F1552">
        <v>688.55</v>
      </c>
      <c r="G1552">
        <v>5278.85</v>
      </c>
    </row>
    <row r="1553" spans="1:7" x14ac:dyDescent="0.35">
      <c r="A1553" s="178" t="s">
        <v>681</v>
      </c>
      <c r="B1553" s="178" t="s">
        <v>2823</v>
      </c>
      <c r="C1553" s="178" t="s">
        <v>622</v>
      </c>
      <c r="D1553" s="178" t="s">
        <v>57</v>
      </c>
      <c r="E1553">
        <v>1219.05</v>
      </c>
      <c r="F1553">
        <v>182.86</v>
      </c>
      <c r="G1553">
        <v>1401.91</v>
      </c>
    </row>
    <row r="1554" spans="1:7" x14ac:dyDescent="0.35">
      <c r="A1554" s="178" t="s">
        <v>681</v>
      </c>
      <c r="B1554" s="178" t="s">
        <v>2824</v>
      </c>
      <c r="C1554" s="178" t="s">
        <v>622</v>
      </c>
      <c r="D1554" s="178" t="s">
        <v>57</v>
      </c>
      <c r="E1554">
        <v>171915</v>
      </c>
      <c r="F1554">
        <v>25787.25</v>
      </c>
      <c r="G1554">
        <v>197702.25</v>
      </c>
    </row>
    <row r="1555" spans="1:7" x14ac:dyDescent="0.35">
      <c r="A1555" s="178" t="s">
        <v>400</v>
      </c>
      <c r="B1555" s="178" t="s">
        <v>2825</v>
      </c>
      <c r="C1555" s="178" t="s">
        <v>622</v>
      </c>
      <c r="D1555" s="178" t="s">
        <v>57</v>
      </c>
      <c r="E1555">
        <v>1364.25</v>
      </c>
      <c r="F1555">
        <v>204.64</v>
      </c>
      <c r="G1555">
        <v>1568.89</v>
      </c>
    </row>
    <row r="1556" spans="1:7" x14ac:dyDescent="0.35">
      <c r="A1556" s="178" t="s">
        <v>2826</v>
      </c>
      <c r="B1556" s="178" t="s">
        <v>2827</v>
      </c>
      <c r="C1556" s="178" t="s">
        <v>622</v>
      </c>
      <c r="D1556" s="178" t="s">
        <v>57</v>
      </c>
      <c r="E1556">
        <v>21881.4</v>
      </c>
      <c r="F1556">
        <v>3282.21</v>
      </c>
      <c r="G1556">
        <v>25163.61</v>
      </c>
    </row>
    <row r="1557" spans="1:7" x14ac:dyDescent="0.35">
      <c r="A1557" s="178" t="s">
        <v>750</v>
      </c>
      <c r="B1557" s="178" t="s">
        <v>2828</v>
      </c>
      <c r="C1557" s="178" t="s">
        <v>622</v>
      </c>
      <c r="D1557" s="178" t="s">
        <v>57</v>
      </c>
      <c r="E1557">
        <v>3116.5</v>
      </c>
      <c r="F1557">
        <v>467.48</v>
      </c>
      <c r="G1557">
        <v>3583.98</v>
      </c>
    </row>
    <row r="1558" spans="1:7" x14ac:dyDescent="0.35">
      <c r="A1558" s="178" t="s">
        <v>2829</v>
      </c>
      <c r="B1558" s="178" t="s">
        <v>2830</v>
      </c>
      <c r="C1558" s="178" t="s">
        <v>622</v>
      </c>
      <c r="D1558" s="178" t="s">
        <v>57</v>
      </c>
      <c r="E1558">
        <v>1573.2</v>
      </c>
      <c r="F1558">
        <v>235.98</v>
      </c>
      <c r="G1558">
        <v>1809.18</v>
      </c>
    </row>
    <row r="1559" spans="1:7" x14ac:dyDescent="0.35">
      <c r="A1559" s="178" t="s">
        <v>1242</v>
      </c>
      <c r="B1559" s="178" t="s">
        <v>2831</v>
      </c>
      <c r="C1559" s="178" t="s">
        <v>622</v>
      </c>
      <c r="D1559" s="178" t="s">
        <v>57</v>
      </c>
      <c r="E1559">
        <v>1946.7</v>
      </c>
      <c r="F1559">
        <v>292.01</v>
      </c>
      <c r="G1559">
        <v>2238.71</v>
      </c>
    </row>
    <row r="1560" spans="1:7" x14ac:dyDescent="0.35">
      <c r="A1560" s="178" t="s">
        <v>866</v>
      </c>
      <c r="B1560" s="178" t="s">
        <v>2832</v>
      </c>
      <c r="C1560" s="178" t="s">
        <v>622</v>
      </c>
      <c r="D1560" s="178" t="s">
        <v>57</v>
      </c>
      <c r="E1560">
        <v>65704</v>
      </c>
      <c r="F1560">
        <v>9855.6</v>
      </c>
      <c r="G1560">
        <v>75559.600000000006</v>
      </c>
    </row>
    <row r="1561" spans="1:7" x14ac:dyDescent="0.35">
      <c r="A1561" s="178" t="s">
        <v>451</v>
      </c>
      <c r="B1561" s="178" t="s">
        <v>2833</v>
      </c>
      <c r="C1561" s="178" t="s">
        <v>622</v>
      </c>
      <c r="D1561">
        <v>36817</v>
      </c>
      <c r="E1561">
        <v>12499.2</v>
      </c>
      <c r="F1561">
        <v>1874.88</v>
      </c>
      <c r="G1561">
        <v>14374.08</v>
      </c>
    </row>
    <row r="1562" spans="1:7" x14ac:dyDescent="0.35">
      <c r="A1562" s="178" t="s">
        <v>431</v>
      </c>
      <c r="B1562" s="178" t="s">
        <v>2834</v>
      </c>
      <c r="C1562" s="178" t="s">
        <v>622</v>
      </c>
      <c r="D1562" s="178" t="s">
        <v>2835</v>
      </c>
      <c r="E1562">
        <v>8129.1</v>
      </c>
      <c r="F1562">
        <v>1219.3699999999999</v>
      </c>
      <c r="G1562">
        <v>9348.4699999999993</v>
      </c>
    </row>
    <row r="1563" spans="1:7" x14ac:dyDescent="0.35">
      <c r="A1563" s="178" t="s">
        <v>2836</v>
      </c>
      <c r="B1563" s="178" t="s">
        <v>2837</v>
      </c>
      <c r="C1563" s="178" t="s">
        <v>622</v>
      </c>
      <c r="D1563" s="178" t="s">
        <v>57</v>
      </c>
      <c r="E1563">
        <v>896.4</v>
      </c>
      <c r="F1563">
        <v>134.46</v>
      </c>
      <c r="G1563">
        <v>1030.8599999999999</v>
      </c>
    </row>
    <row r="1564" spans="1:7" x14ac:dyDescent="0.35">
      <c r="A1564" s="178" t="s">
        <v>683</v>
      </c>
      <c r="B1564" s="178" t="s">
        <v>2838</v>
      </c>
      <c r="C1564" s="178" t="s">
        <v>622</v>
      </c>
      <c r="D1564" s="178" t="s">
        <v>57</v>
      </c>
      <c r="E1564">
        <v>589.29999999999995</v>
      </c>
      <c r="F1564">
        <v>88.4</v>
      </c>
      <c r="G1564">
        <v>677.7</v>
      </c>
    </row>
    <row r="1565" spans="1:7" x14ac:dyDescent="0.35">
      <c r="A1565" s="178" t="s">
        <v>521</v>
      </c>
      <c r="B1565" s="178" t="s">
        <v>2839</v>
      </c>
      <c r="C1565" s="178" t="s">
        <v>622</v>
      </c>
      <c r="D1565" s="178" t="s">
        <v>57</v>
      </c>
      <c r="E1565">
        <v>2948.2</v>
      </c>
      <c r="F1565">
        <v>442.24</v>
      </c>
      <c r="G1565">
        <v>3390.44</v>
      </c>
    </row>
    <row r="1566" spans="1:7" x14ac:dyDescent="0.35">
      <c r="A1566" s="178" t="s">
        <v>335</v>
      </c>
      <c r="B1566" s="178" t="s">
        <v>2840</v>
      </c>
      <c r="C1566" s="178" t="s">
        <v>622</v>
      </c>
      <c r="D1566" s="178" t="s">
        <v>57</v>
      </c>
      <c r="E1566">
        <v>18254.099999999999</v>
      </c>
      <c r="F1566">
        <v>2738.12</v>
      </c>
      <c r="G1566">
        <v>20992.22</v>
      </c>
    </row>
    <row r="1567" spans="1:7" x14ac:dyDescent="0.35">
      <c r="A1567" s="178" t="s">
        <v>94</v>
      </c>
      <c r="B1567" s="178" t="s">
        <v>57</v>
      </c>
      <c r="C1567" s="178" t="s">
        <v>57</v>
      </c>
      <c r="D1567" s="178" t="s">
        <v>57</v>
      </c>
      <c r="E1567">
        <v>8603062.5600000191</v>
      </c>
      <c r="F1567">
        <v>1239780.79</v>
      </c>
      <c r="G1567">
        <v>9842843.3500000108</v>
      </c>
    </row>
    <row r="1568" spans="1:7" x14ac:dyDescent="0.35">
      <c r="A1568" s="178"/>
      <c r="B1568" s="178"/>
      <c r="C1568" s="178"/>
      <c r="D1568" s="178"/>
      <c r="E1568"/>
    </row>
    <row r="1569" spans="1:5" x14ac:dyDescent="0.35">
      <c r="A1569" s="178"/>
      <c r="B1569" s="178"/>
      <c r="C1569" s="178"/>
      <c r="D1569" s="178"/>
      <c r="E1569"/>
    </row>
    <row r="1570" spans="1:5" x14ac:dyDescent="0.35">
      <c r="A1570" s="178"/>
      <c r="B1570" s="178"/>
      <c r="C1570" s="178"/>
      <c r="D1570" s="178"/>
      <c r="E1570"/>
    </row>
    <row r="1571" spans="1:5" x14ac:dyDescent="0.35">
      <c r="A1571" s="178"/>
      <c r="B1571" s="178"/>
      <c r="C1571" s="178"/>
      <c r="D1571" s="178"/>
      <c r="E1571"/>
    </row>
    <row r="1572" spans="1:5" x14ac:dyDescent="0.35">
      <c r="A1572" s="178"/>
      <c r="B1572" s="178"/>
      <c r="C1572" s="178"/>
      <c r="D1572" s="178"/>
      <c r="E1572"/>
    </row>
    <row r="1573" spans="1:5" x14ac:dyDescent="0.35">
      <c r="A1573" s="178"/>
      <c r="B1573" s="178"/>
      <c r="C1573" s="178"/>
      <c r="D1573" s="178"/>
      <c r="E1573"/>
    </row>
    <row r="1574" spans="1:5" x14ac:dyDescent="0.35">
      <c r="A1574" s="178"/>
      <c r="B1574" s="178"/>
      <c r="C1574" s="178"/>
      <c r="D1574" s="178"/>
      <c r="E1574"/>
    </row>
    <row r="1575" spans="1:5" x14ac:dyDescent="0.35">
      <c r="A1575" s="178"/>
      <c r="B1575" s="178"/>
      <c r="C1575" s="178"/>
      <c r="D1575" s="178"/>
      <c r="E1575"/>
    </row>
    <row r="1576" spans="1:5" x14ac:dyDescent="0.35">
      <c r="A1576" s="178"/>
      <c r="B1576" s="178"/>
      <c r="C1576" s="178"/>
      <c r="D1576" s="178"/>
      <c r="E1576"/>
    </row>
    <row r="1577" spans="1:5" x14ac:dyDescent="0.35">
      <c r="A1577" s="178"/>
      <c r="B1577" s="178"/>
      <c r="C1577" s="178"/>
      <c r="D1577" s="178"/>
      <c r="E1577"/>
    </row>
    <row r="1578" spans="1:5" x14ac:dyDescent="0.35">
      <c r="A1578" s="178"/>
      <c r="B1578" s="178"/>
      <c r="C1578" s="178"/>
      <c r="D1578" s="178"/>
      <c r="E1578"/>
    </row>
    <row r="1579" spans="1:5" x14ac:dyDescent="0.35">
      <c r="A1579" s="178"/>
      <c r="B1579" s="178"/>
      <c r="C1579" s="178"/>
      <c r="D1579" s="178"/>
      <c r="E1579"/>
    </row>
    <row r="1580" spans="1:5" x14ac:dyDescent="0.35">
      <c r="A1580" s="178"/>
      <c r="B1580" s="178"/>
      <c r="C1580" s="178"/>
      <c r="D1580" s="178"/>
      <c r="E1580"/>
    </row>
    <row r="1581" spans="1:5" x14ac:dyDescent="0.35">
      <c r="A1581" s="178"/>
      <c r="B1581" s="178"/>
      <c r="C1581" s="178"/>
      <c r="D1581" s="178"/>
      <c r="E1581"/>
    </row>
    <row r="1582" spans="1:5" x14ac:dyDescent="0.35">
      <c r="A1582" s="178"/>
      <c r="B1582" s="178"/>
      <c r="C1582" s="178"/>
      <c r="D1582" s="178"/>
      <c r="E1582"/>
    </row>
    <row r="1583" spans="1:5" x14ac:dyDescent="0.35">
      <c r="A1583" s="178"/>
      <c r="B1583" s="178"/>
      <c r="C1583" s="178"/>
      <c r="D1583" s="178"/>
      <c r="E1583"/>
    </row>
    <row r="1584" spans="1:5" x14ac:dyDescent="0.35">
      <c r="A1584" s="178"/>
      <c r="B1584" s="178"/>
      <c r="C1584" s="178"/>
      <c r="D1584" s="178"/>
      <c r="E1584"/>
    </row>
    <row r="1585" spans="1:5" x14ac:dyDescent="0.35">
      <c r="A1585" s="178"/>
      <c r="B1585" s="178"/>
      <c r="C1585" s="178"/>
      <c r="D1585" s="178"/>
      <c r="E1585"/>
    </row>
    <row r="1586" spans="1:5" x14ac:dyDescent="0.35">
      <c r="A1586" s="178"/>
      <c r="B1586" s="178"/>
      <c r="C1586" s="178"/>
      <c r="D1586" s="178"/>
      <c r="E1586"/>
    </row>
    <row r="1587" spans="1:5" x14ac:dyDescent="0.35">
      <c r="A1587" s="178"/>
      <c r="B1587" s="178"/>
      <c r="C1587" s="178"/>
      <c r="D1587" s="178"/>
      <c r="E1587"/>
    </row>
    <row r="1588" spans="1:5" x14ac:dyDescent="0.35">
      <c r="A1588" s="178"/>
      <c r="B1588" s="178"/>
      <c r="C1588" s="178"/>
      <c r="D1588" s="178"/>
      <c r="E1588"/>
    </row>
    <row r="1589" spans="1:5" x14ac:dyDescent="0.35">
      <c r="A1589" s="178"/>
      <c r="B1589" s="178"/>
      <c r="C1589" s="178"/>
      <c r="D1589" s="178"/>
      <c r="E1589"/>
    </row>
    <row r="1590" spans="1:5" x14ac:dyDescent="0.35">
      <c r="A1590" s="178"/>
      <c r="B1590" s="178"/>
      <c r="C1590" s="178"/>
      <c r="D1590" s="178"/>
      <c r="E1590"/>
    </row>
    <row r="1591" spans="1:5" x14ac:dyDescent="0.35">
      <c r="A1591" s="178"/>
      <c r="B1591" s="178"/>
      <c r="C1591" s="178"/>
      <c r="D1591" s="178"/>
      <c r="E1591"/>
    </row>
    <row r="1592" spans="1:5" x14ac:dyDescent="0.35">
      <c r="A1592" s="178"/>
      <c r="B1592" s="178"/>
      <c r="C1592" s="178"/>
      <c r="D1592" s="178"/>
      <c r="E1592"/>
    </row>
    <row r="1593" spans="1:5" x14ac:dyDescent="0.35">
      <c r="A1593" s="178"/>
      <c r="B1593" s="178"/>
      <c r="C1593" s="178"/>
      <c r="D1593" s="178"/>
      <c r="E1593"/>
    </row>
    <row r="1594" spans="1:5" x14ac:dyDescent="0.35">
      <c r="A1594" s="178"/>
      <c r="B1594" s="178"/>
      <c r="C1594" s="178"/>
      <c r="D1594" s="178"/>
      <c r="E1594"/>
    </row>
    <row r="1595" spans="1:5" x14ac:dyDescent="0.35">
      <c r="A1595" s="178"/>
      <c r="B1595" s="178"/>
      <c r="C1595" s="178"/>
      <c r="D1595" s="178"/>
      <c r="E1595"/>
    </row>
    <row r="1596" spans="1:5" x14ac:dyDescent="0.35">
      <c r="A1596" s="178"/>
      <c r="B1596" s="178"/>
      <c r="C1596" s="178"/>
      <c r="D1596" s="178"/>
      <c r="E1596"/>
    </row>
    <row r="1597" spans="1:5" x14ac:dyDescent="0.35">
      <c r="A1597" s="178"/>
      <c r="B1597" s="178"/>
      <c r="C1597" s="178"/>
      <c r="D1597" s="178"/>
      <c r="E1597"/>
    </row>
    <row r="1598" spans="1:5" x14ac:dyDescent="0.35">
      <c r="A1598" s="178"/>
      <c r="B1598" s="178"/>
      <c r="C1598" s="178"/>
      <c r="D1598" s="178"/>
      <c r="E1598"/>
    </row>
    <row r="1599" spans="1:5" x14ac:dyDescent="0.35">
      <c r="A1599" s="178"/>
      <c r="B1599" s="178"/>
      <c r="C1599" s="178"/>
      <c r="D1599" s="178"/>
      <c r="E1599"/>
    </row>
    <row r="1600" spans="1:5" x14ac:dyDescent="0.35">
      <c r="A1600" s="178"/>
      <c r="B1600" s="178"/>
      <c r="C1600" s="178"/>
      <c r="D1600" s="178"/>
      <c r="E1600"/>
    </row>
    <row r="1601" spans="1:5" x14ac:dyDescent="0.35">
      <c r="A1601" s="178"/>
      <c r="B1601" s="178"/>
      <c r="C1601" s="178"/>
      <c r="D1601" s="178"/>
      <c r="E1601"/>
    </row>
    <row r="1602" spans="1:5" x14ac:dyDescent="0.35">
      <c r="A1602" s="178"/>
      <c r="B1602" s="178"/>
      <c r="C1602" s="178"/>
      <c r="D1602" s="178"/>
      <c r="E1602"/>
    </row>
    <row r="1603" spans="1:5" x14ac:dyDescent="0.35">
      <c r="A1603" s="178"/>
      <c r="B1603" s="178"/>
      <c r="C1603" s="178"/>
      <c r="D1603" s="178"/>
      <c r="E1603"/>
    </row>
    <row r="1604" spans="1:5" x14ac:dyDescent="0.35">
      <c r="A1604" s="178"/>
      <c r="B1604" s="178"/>
      <c r="C1604" s="178"/>
      <c r="D1604" s="178"/>
      <c r="E1604"/>
    </row>
    <row r="1605" spans="1:5" x14ac:dyDescent="0.35">
      <c r="A1605" s="178"/>
      <c r="B1605" s="178"/>
      <c r="C1605" s="178"/>
      <c r="D1605" s="178"/>
      <c r="E1605"/>
    </row>
    <row r="1606" spans="1:5" x14ac:dyDescent="0.35">
      <c r="A1606" s="178"/>
      <c r="B1606" s="178"/>
      <c r="C1606" s="178"/>
      <c r="D1606" s="178"/>
      <c r="E1606"/>
    </row>
    <row r="1607" spans="1:5" x14ac:dyDescent="0.35">
      <c r="A1607" s="178"/>
      <c r="B1607" s="178"/>
      <c r="C1607" s="178"/>
      <c r="D1607" s="178"/>
      <c r="E1607"/>
    </row>
    <row r="1608" spans="1:5" x14ac:dyDescent="0.35">
      <c r="A1608" s="178"/>
      <c r="B1608" s="178"/>
      <c r="C1608" s="178"/>
      <c r="D1608" s="178"/>
      <c r="E1608"/>
    </row>
    <row r="1609" spans="1:5" x14ac:dyDescent="0.35">
      <c r="A1609" s="178"/>
      <c r="B1609" s="178"/>
      <c r="C1609" s="178"/>
      <c r="D1609" s="178"/>
      <c r="E1609"/>
    </row>
    <row r="1610" spans="1:5" x14ac:dyDescent="0.35">
      <c r="A1610" s="178"/>
      <c r="B1610" s="178"/>
      <c r="C1610" s="178"/>
      <c r="D1610" s="178"/>
      <c r="E1610"/>
    </row>
    <row r="1611" spans="1:5" x14ac:dyDescent="0.35">
      <c r="A1611" s="178"/>
      <c r="B1611" s="178"/>
      <c r="C1611" s="178"/>
      <c r="D1611" s="178"/>
      <c r="E1611"/>
    </row>
    <row r="1612" spans="1:5" x14ac:dyDescent="0.35">
      <c r="A1612" s="178"/>
      <c r="B1612" s="178"/>
      <c r="C1612" s="178"/>
      <c r="D1612" s="178"/>
      <c r="E1612"/>
    </row>
    <row r="1613" spans="1:5" x14ac:dyDescent="0.35">
      <c r="A1613" s="178"/>
      <c r="B1613" s="178"/>
      <c r="C1613" s="178"/>
      <c r="D1613" s="178"/>
      <c r="E1613"/>
    </row>
    <row r="1614" spans="1:5" x14ac:dyDescent="0.35">
      <c r="A1614" s="178"/>
      <c r="B1614" s="178"/>
      <c r="C1614" s="178"/>
      <c r="D1614" s="178"/>
      <c r="E1614"/>
    </row>
    <row r="1615" spans="1:5" x14ac:dyDescent="0.35">
      <c r="A1615" s="178"/>
      <c r="B1615" s="178"/>
      <c r="C1615" s="178"/>
      <c r="D1615" s="178"/>
      <c r="E1615"/>
    </row>
    <row r="1616" spans="1:5" x14ac:dyDescent="0.35">
      <c r="A1616" s="178"/>
      <c r="B1616" s="178"/>
      <c r="C1616" s="178"/>
      <c r="D1616" s="178"/>
      <c r="E1616"/>
    </row>
    <row r="1617" spans="1:5" x14ac:dyDescent="0.35">
      <c r="A1617" s="178"/>
      <c r="B1617" s="178"/>
      <c r="C1617" s="178"/>
      <c r="D1617" s="178"/>
      <c r="E1617"/>
    </row>
    <row r="1618" spans="1:5" x14ac:dyDescent="0.35">
      <c r="A1618" s="178"/>
      <c r="B1618" s="178"/>
      <c r="C1618" s="178"/>
      <c r="D1618" s="178"/>
      <c r="E1618"/>
    </row>
    <row r="1619" spans="1:5" x14ac:dyDescent="0.35">
      <c r="A1619" s="178"/>
      <c r="B1619" s="178"/>
      <c r="C1619" s="178"/>
      <c r="D1619" s="178"/>
      <c r="E1619"/>
    </row>
    <row r="1620" spans="1:5" x14ac:dyDescent="0.35">
      <c r="A1620" s="178"/>
      <c r="B1620" s="178"/>
      <c r="C1620" s="178"/>
      <c r="D1620" s="178"/>
      <c r="E1620"/>
    </row>
    <row r="1621" spans="1:5" x14ac:dyDescent="0.35">
      <c r="A1621" s="178"/>
      <c r="B1621" s="178"/>
      <c r="C1621" s="178"/>
      <c r="D1621" s="178"/>
      <c r="E1621"/>
    </row>
    <row r="1622" spans="1:5" x14ac:dyDescent="0.35">
      <c r="A1622" s="178"/>
      <c r="B1622" s="178"/>
      <c r="C1622" s="178"/>
      <c r="D1622" s="178"/>
      <c r="E1622"/>
    </row>
    <row r="1623" spans="1:5" x14ac:dyDescent="0.35">
      <c r="A1623" s="178"/>
      <c r="B1623" s="178"/>
      <c r="C1623" s="178"/>
      <c r="D1623" s="178"/>
      <c r="E1623"/>
    </row>
    <row r="1624" spans="1:5" x14ac:dyDescent="0.35">
      <c r="A1624" s="178"/>
      <c r="B1624" s="178"/>
      <c r="C1624" s="178"/>
      <c r="D1624" s="178"/>
      <c r="E1624"/>
    </row>
    <row r="1625" spans="1:5" x14ac:dyDescent="0.35">
      <c r="A1625" s="178"/>
      <c r="B1625" s="178"/>
      <c r="C1625" s="178"/>
      <c r="D1625" s="178"/>
      <c r="E1625"/>
    </row>
    <row r="1626" spans="1:5" x14ac:dyDescent="0.35">
      <c r="A1626" s="178"/>
      <c r="B1626" s="178"/>
      <c r="C1626" s="178"/>
      <c r="D1626" s="178"/>
      <c r="E1626"/>
    </row>
    <row r="1627" spans="1:5" x14ac:dyDescent="0.35">
      <c r="A1627" s="178"/>
      <c r="B1627" s="178"/>
      <c r="C1627" s="178"/>
      <c r="D1627" s="178"/>
      <c r="E1627"/>
    </row>
    <row r="1628" spans="1:5" x14ac:dyDescent="0.35">
      <c r="A1628" s="178"/>
      <c r="B1628" s="178"/>
      <c r="C1628" s="178"/>
      <c r="D1628" s="178"/>
      <c r="E1628"/>
    </row>
    <row r="1629" spans="1:5" x14ac:dyDescent="0.35">
      <c r="A1629" s="178"/>
      <c r="B1629" s="178"/>
      <c r="C1629" s="178"/>
      <c r="D1629" s="178"/>
      <c r="E1629"/>
    </row>
    <row r="1630" spans="1:5" x14ac:dyDescent="0.35">
      <c r="A1630" s="178"/>
      <c r="B1630" s="178"/>
      <c r="C1630" s="178"/>
      <c r="D1630" s="178"/>
      <c r="E1630"/>
    </row>
    <row r="1631" spans="1:5" x14ac:dyDescent="0.35">
      <c r="A1631" s="178"/>
      <c r="B1631" s="178"/>
      <c r="C1631" s="178"/>
      <c r="D1631" s="178"/>
      <c r="E1631"/>
    </row>
    <row r="1632" spans="1:5" x14ac:dyDescent="0.35">
      <c r="A1632" s="178"/>
      <c r="B1632" s="178"/>
      <c r="C1632" s="178"/>
      <c r="D1632" s="178"/>
      <c r="E1632"/>
    </row>
    <row r="1633" spans="1:5" x14ac:dyDescent="0.35">
      <c r="A1633" s="178"/>
      <c r="B1633" s="178"/>
      <c r="C1633" s="178"/>
      <c r="D1633" s="178"/>
      <c r="E1633"/>
    </row>
    <row r="1634" spans="1:5" x14ac:dyDescent="0.35">
      <c r="A1634" s="178"/>
      <c r="B1634" s="178"/>
      <c r="C1634" s="178"/>
      <c r="D1634" s="178"/>
      <c r="E1634"/>
    </row>
    <row r="1635" spans="1:5" x14ac:dyDescent="0.35">
      <c r="A1635" s="178"/>
      <c r="B1635" s="178"/>
      <c r="C1635" s="178"/>
      <c r="D1635" s="178"/>
      <c r="E1635"/>
    </row>
    <row r="1636" spans="1:5" x14ac:dyDescent="0.35">
      <c r="A1636" s="178"/>
      <c r="B1636" s="178"/>
      <c r="C1636" s="178"/>
      <c r="D1636" s="178"/>
      <c r="E1636"/>
    </row>
    <row r="1637" spans="1:5" x14ac:dyDescent="0.35">
      <c r="A1637" s="178"/>
      <c r="B1637" s="178"/>
      <c r="C1637" s="178"/>
      <c r="D1637" s="178"/>
      <c r="E1637"/>
    </row>
    <row r="1638" spans="1:5" x14ac:dyDescent="0.35">
      <c r="A1638" s="178"/>
      <c r="B1638" s="178"/>
      <c r="C1638" s="178"/>
      <c r="D1638" s="178"/>
      <c r="E1638"/>
    </row>
    <row r="1639" spans="1:5" x14ac:dyDescent="0.35">
      <c r="A1639" s="178"/>
      <c r="B1639" s="178"/>
      <c r="C1639" s="178"/>
      <c r="D1639" s="178"/>
      <c r="E1639"/>
    </row>
    <row r="1640" spans="1:5" x14ac:dyDescent="0.35">
      <c r="A1640" s="178"/>
      <c r="B1640" s="178"/>
      <c r="C1640" s="178"/>
      <c r="D1640" s="178"/>
      <c r="E1640"/>
    </row>
    <row r="1641" spans="1:5" x14ac:dyDescent="0.35">
      <c r="A1641" s="178"/>
      <c r="B1641" s="178"/>
      <c r="C1641" s="178"/>
      <c r="D1641" s="178"/>
      <c r="E1641"/>
    </row>
    <row r="1642" spans="1:5" x14ac:dyDescent="0.35">
      <c r="A1642" s="178"/>
      <c r="B1642" s="178"/>
      <c r="C1642" s="178"/>
      <c r="D1642" s="178"/>
      <c r="E1642"/>
    </row>
    <row r="1643" spans="1:5" x14ac:dyDescent="0.35">
      <c r="A1643" s="178"/>
      <c r="B1643" s="178"/>
      <c r="C1643" s="178"/>
      <c r="D1643" s="178"/>
      <c r="E1643"/>
    </row>
    <row r="1644" spans="1:5" x14ac:dyDescent="0.35">
      <c r="A1644" s="178"/>
      <c r="B1644" s="178"/>
      <c r="C1644" s="178"/>
      <c r="D1644" s="178"/>
      <c r="E1644"/>
    </row>
    <row r="1645" spans="1:5" x14ac:dyDescent="0.35">
      <c r="A1645" s="178"/>
      <c r="B1645" s="178"/>
      <c r="C1645" s="178"/>
      <c r="D1645" s="178"/>
      <c r="E1645"/>
    </row>
    <row r="1646" spans="1:5" x14ac:dyDescent="0.35">
      <c r="A1646" s="178"/>
      <c r="B1646" s="178"/>
      <c r="C1646" s="178"/>
      <c r="D1646" s="178"/>
      <c r="E1646"/>
    </row>
    <row r="1647" spans="1:5" x14ac:dyDescent="0.35">
      <c r="A1647" s="178"/>
      <c r="B1647" s="178"/>
      <c r="C1647" s="178"/>
      <c r="D1647" s="178"/>
      <c r="E1647"/>
    </row>
    <row r="1648" spans="1:5" x14ac:dyDescent="0.35">
      <c r="A1648" s="178"/>
      <c r="B1648" s="178"/>
      <c r="C1648" s="178"/>
      <c r="D1648" s="178"/>
      <c r="E1648"/>
    </row>
    <row r="1649" spans="1:5" x14ac:dyDescent="0.35">
      <c r="A1649" s="178"/>
      <c r="B1649" s="178"/>
      <c r="C1649" s="178"/>
      <c r="D1649" s="178"/>
      <c r="E1649"/>
    </row>
    <row r="1650" spans="1:5" x14ac:dyDescent="0.35">
      <c r="A1650" s="178"/>
      <c r="B1650" s="178"/>
      <c r="C1650" s="178"/>
      <c r="D1650" s="178"/>
      <c r="E1650"/>
    </row>
    <row r="1651" spans="1:5" x14ac:dyDescent="0.35">
      <c r="A1651" s="178"/>
      <c r="B1651" s="178"/>
      <c r="C1651" s="178"/>
      <c r="D1651" s="178"/>
      <c r="E1651"/>
    </row>
    <row r="1652" spans="1:5" x14ac:dyDescent="0.35">
      <c r="A1652" s="178"/>
      <c r="B1652" s="178"/>
      <c r="C1652" s="178"/>
      <c r="D1652" s="178"/>
      <c r="E1652"/>
    </row>
    <row r="1653" spans="1:5" x14ac:dyDescent="0.35">
      <c r="A1653" s="178"/>
      <c r="B1653" s="178"/>
      <c r="C1653" s="178"/>
      <c r="D1653" s="178"/>
      <c r="E1653"/>
    </row>
    <row r="1654" spans="1:5" x14ac:dyDescent="0.35">
      <c r="A1654" s="178"/>
      <c r="B1654" s="178"/>
      <c r="C1654" s="178"/>
      <c r="D1654" s="178"/>
      <c r="E1654"/>
    </row>
    <row r="1655" spans="1:5" x14ac:dyDescent="0.35">
      <c r="A1655" s="178"/>
      <c r="B1655" s="178"/>
      <c r="C1655" s="178"/>
      <c r="D1655" s="178"/>
      <c r="E1655"/>
    </row>
    <row r="1656" spans="1:5" x14ac:dyDescent="0.35">
      <c r="A1656" s="178"/>
      <c r="B1656" s="178"/>
      <c r="C1656" s="178"/>
      <c r="D1656" s="178"/>
      <c r="E1656"/>
    </row>
    <row r="1657" spans="1:5" x14ac:dyDescent="0.35">
      <c r="A1657" s="178"/>
      <c r="B1657" s="178"/>
      <c r="C1657" s="178"/>
      <c r="D1657" s="178"/>
      <c r="E1657"/>
    </row>
    <row r="1658" spans="1:5" x14ac:dyDescent="0.35">
      <c r="A1658" s="178"/>
      <c r="B1658" s="178"/>
      <c r="C1658" s="178"/>
      <c r="D1658" s="178"/>
      <c r="E1658"/>
    </row>
    <row r="1659" spans="1:5" x14ac:dyDescent="0.35">
      <c r="A1659" s="178"/>
      <c r="B1659" s="178"/>
      <c r="C1659" s="178"/>
      <c r="D1659" s="178"/>
      <c r="E1659"/>
    </row>
    <row r="1660" spans="1:5" x14ac:dyDescent="0.35">
      <c r="A1660" s="178"/>
      <c r="B1660" s="178"/>
      <c r="C1660" s="178"/>
      <c r="D1660" s="178"/>
      <c r="E1660"/>
    </row>
    <row r="1661" spans="1:5" x14ac:dyDescent="0.35">
      <c r="A1661" s="178"/>
      <c r="B1661" s="178"/>
      <c r="C1661" s="178"/>
      <c r="D1661" s="178"/>
      <c r="E1661"/>
    </row>
    <row r="1662" spans="1:5" x14ac:dyDescent="0.35">
      <c r="A1662" s="178"/>
      <c r="B1662" s="178"/>
      <c r="C1662" s="178"/>
      <c r="D1662" s="178"/>
      <c r="E1662"/>
    </row>
    <row r="1663" spans="1:5" x14ac:dyDescent="0.35">
      <c r="A1663" s="178"/>
      <c r="B1663" s="178"/>
      <c r="C1663" s="178"/>
      <c r="D1663" s="178"/>
      <c r="E1663"/>
    </row>
    <row r="1664" spans="1:5" x14ac:dyDescent="0.35">
      <c r="A1664" s="178"/>
      <c r="B1664" s="178"/>
      <c r="C1664" s="178"/>
      <c r="D1664" s="178"/>
      <c r="E1664"/>
    </row>
    <row r="1665" spans="1:5" x14ac:dyDescent="0.35">
      <c r="A1665" s="178"/>
      <c r="B1665" s="178"/>
      <c r="C1665" s="178"/>
      <c r="D1665" s="178"/>
      <c r="E1665"/>
    </row>
    <row r="1666" spans="1:5" x14ac:dyDescent="0.35">
      <c r="A1666" s="178"/>
      <c r="B1666" s="178"/>
      <c r="C1666" s="178"/>
      <c r="D1666" s="178"/>
      <c r="E1666"/>
    </row>
    <row r="1667" spans="1:5" x14ac:dyDescent="0.35">
      <c r="A1667" s="178"/>
      <c r="B1667" s="178"/>
      <c r="C1667" s="178"/>
      <c r="D1667" s="178"/>
      <c r="E1667"/>
    </row>
    <row r="1668" spans="1:5" x14ac:dyDescent="0.35">
      <c r="A1668" s="178"/>
      <c r="B1668" s="178"/>
      <c r="C1668" s="178"/>
      <c r="D1668" s="178"/>
      <c r="E1668"/>
    </row>
    <row r="1669" spans="1:5" x14ac:dyDescent="0.35">
      <c r="A1669" s="178"/>
      <c r="B1669" s="178"/>
      <c r="C1669" s="178"/>
      <c r="D1669" s="178"/>
      <c r="E1669"/>
    </row>
    <row r="1670" spans="1:5" x14ac:dyDescent="0.35">
      <c r="A1670" s="178"/>
      <c r="B1670" s="178"/>
      <c r="C1670" s="178"/>
      <c r="D1670" s="178"/>
      <c r="E1670"/>
    </row>
    <row r="1671" spans="1:5" x14ac:dyDescent="0.35">
      <c r="A1671" s="178"/>
      <c r="B1671" s="178"/>
      <c r="C1671" s="178"/>
      <c r="D1671" s="178"/>
      <c r="E1671"/>
    </row>
    <row r="1672" spans="1:5" x14ac:dyDescent="0.35">
      <c r="A1672" s="178"/>
      <c r="B1672" s="178"/>
      <c r="C1672" s="178"/>
      <c r="D1672" s="178"/>
      <c r="E1672"/>
    </row>
    <row r="1673" spans="1:5" x14ac:dyDescent="0.35">
      <c r="A1673" s="178"/>
      <c r="B1673" s="178"/>
      <c r="C1673" s="178"/>
      <c r="D1673" s="178"/>
      <c r="E1673"/>
    </row>
    <row r="1674" spans="1:5" x14ac:dyDescent="0.35">
      <c r="A1674" s="178"/>
      <c r="B1674" s="178"/>
      <c r="C1674" s="178"/>
      <c r="D1674" s="178"/>
      <c r="E1674"/>
    </row>
    <row r="1675" spans="1:5" x14ac:dyDescent="0.35">
      <c r="A1675" s="178"/>
      <c r="B1675" s="178"/>
      <c r="C1675" s="178"/>
      <c r="D1675" s="178"/>
      <c r="E1675"/>
    </row>
    <row r="1676" spans="1:5" x14ac:dyDescent="0.35">
      <c r="A1676" s="178"/>
      <c r="B1676" s="178"/>
      <c r="C1676" s="178"/>
      <c r="D1676" s="178"/>
      <c r="E1676"/>
    </row>
    <row r="1677" spans="1:5" x14ac:dyDescent="0.35">
      <c r="A1677" s="178"/>
      <c r="B1677" s="178"/>
      <c r="C1677" s="178"/>
      <c r="D1677" s="178"/>
      <c r="E1677"/>
    </row>
    <row r="1678" spans="1:5" x14ac:dyDescent="0.35">
      <c r="A1678" s="178"/>
      <c r="B1678" s="178"/>
      <c r="C1678" s="178"/>
      <c r="D1678" s="178"/>
      <c r="E1678"/>
    </row>
    <row r="1679" spans="1:5" x14ac:dyDescent="0.35">
      <c r="A1679" s="178"/>
      <c r="B1679" s="178"/>
      <c r="C1679" s="178"/>
      <c r="D1679" s="178"/>
      <c r="E1679"/>
    </row>
    <row r="1680" spans="1:5" x14ac:dyDescent="0.35">
      <c r="A1680" s="178"/>
      <c r="B1680" s="178"/>
      <c r="C1680" s="178"/>
      <c r="D1680" s="178"/>
      <c r="E1680"/>
    </row>
    <row r="1681" spans="1:6" x14ac:dyDescent="0.35">
      <c r="A1681" s="178"/>
      <c r="B1681" s="178"/>
      <c r="C1681" s="178"/>
      <c r="D1681" s="178"/>
      <c r="E1681"/>
    </row>
    <row r="1682" spans="1:6" x14ac:dyDescent="0.35">
      <c r="A1682" s="178"/>
      <c r="B1682" s="178"/>
      <c r="C1682" s="178"/>
      <c r="D1682" s="178"/>
      <c r="E1682"/>
    </row>
    <row r="1683" spans="1:6" x14ac:dyDescent="0.35">
      <c r="A1683" s="178"/>
      <c r="B1683" s="178"/>
      <c r="C1683" s="178"/>
      <c r="D1683" s="178"/>
      <c r="E1683"/>
    </row>
    <row r="1684" spans="1:6" x14ac:dyDescent="0.35">
      <c r="A1684" s="178"/>
      <c r="B1684" s="178"/>
      <c r="C1684" s="178"/>
      <c r="D1684" s="178"/>
      <c r="E1684"/>
    </row>
    <row r="1685" spans="1:6" x14ac:dyDescent="0.35">
      <c r="A1685" s="178"/>
      <c r="B1685" s="178"/>
      <c r="C1685" s="178"/>
      <c r="D1685" s="178"/>
      <c r="E1685"/>
    </row>
    <row r="1686" spans="1:6" x14ac:dyDescent="0.35">
      <c r="A1686" s="178"/>
      <c r="B1686" s="178"/>
      <c r="C1686" s="178"/>
      <c r="D1686" s="178"/>
      <c r="E1686"/>
    </row>
    <row r="1687" spans="1:6" x14ac:dyDescent="0.35">
      <c r="A1687" s="178"/>
      <c r="B1687" s="178"/>
      <c r="C1687" s="178"/>
      <c r="D1687" s="178"/>
      <c r="E1687"/>
    </row>
    <row r="1688" spans="1:6" x14ac:dyDescent="0.35">
      <c r="A1688" s="178"/>
      <c r="B1688" s="178"/>
      <c r="C1688" s="178"/>
      <c r="D1688" s="178"/>
      <c r="E1688"/>
    </row>
    <row r="1689" spans="1:6" x14ac:dyDescent="0.35">
      <c r="A1689" s="178"/>
      <c r="B1689" s="178"/>
      <c r="C1689" s="178"/>
      <c r="D1689" s="178"/>
      <c r="E1689"/>
    </row>
    <row r="1690" spans="1:6" x14ac:dyDescent="0.35">
      <c r="A1690" s="178"/>
      <c r="B1690" s="178"/>
      <c r="C1690" s="178"/>
      <c r="D1690" s="178"/>
      <c r="E1690"/>
    </row>
    <row r="1691" spans="1:6" x14ac:dyDescent="0.35">
      <c r="A1691" s="178"/>
      <c r="B1691" s="178"/>
      <c r="C1691" s="178"/>
      <c r="D1691" s="178"/>
      <c r="E1691"/>
    </row>
    <row r="1692" spans="1:6" x14ac:dyDescent="0.35">
      <c r="A1692" s="178"/>
      <c r="B1692" s="178"/>
      <c r="C1692" s="178"/>
      <c r="D1692" s="178"/>
      <c r="E1692"/>
    </row>
    <row r="1693" spans="1:6" x14ac:dyDescent="0.35">
      <c r="A1693" s="178"/>
      <c r="B1693" s="178"/>
      <c r="C1693" s="178"/>
      <c r="D1693" s="178"/>
      <c r="E1693" s="178"/>
      <c r="F1693" s="178"/>
    </row>
    <row r="1694" spans="1:6" x14ac:dyDescent="0.35">
      <c r="A1694" s="178"/>
      <c r="B1694" s="178"/>
      <c r="C1694" s="178"/>
      <c r="D1694" s="178"/>
      <c r="E1694"/>
    </row>
    <row r="1695" spans="1:6" x14ac:dyDescent="0.35">
      <c r="A1695" s="178"/>
      <c r="B1695" s="178"/>
      <c r="C1695" s="178"/>
      <c r="D1695" s="178"/>
      <c r="E1695"/>
    </row>
    <row r="1696" spans="1:6" x14ac:dyDescent="0.35">
      <c r="A1696" s="178"/>
      <c r="B1696" s="178"/>
      <c r="C1696" s="178"/>
      <c r="D1696" s="178"/>
      <c r="E1696"/>
    </row>
    <row r="1697" spans="1:5" x14ac:dyDescent="0.35">
      <c r="A1697" s="178"/>
      <c r="B1697" s="178"/>
      <c r="C1697" s="178"/>
      <c r="D1697" s="178"/>
      <c r="E1697"/>
    </row>
    <row r="1698" spans="1:5" x14ac:dyDescent="0.35">
      <c r="A1698" s="178"/>
      <c r="B1698" s="178"/>
      <c r="C1698" s="178"/>
      <c r="D1698" s="178"/>
      <c r="E1698"/>
    </row>
    <row r="1699" spans="1:5" x14ac:dyDescent="0.35">
      <c r="A1699" s="178"/>
      <c r="B1699" s="178"/>
      <c r="C1699" s="178"/>
      <c r="D1699" s="178"/>
      <c r="E1699"/>
    </row>
    <row r="1700" spans="1:5" x14ac:dyDescent="0.35">
      <c r="A1700" s="178"/>
      <c r="B1700" s="178"/>
      <c r="C1700" s="178"/>
      <c r="D1700" s="178"/>
      <c r="E1700"/>
    </row>
    <row r="1701" spans="1:5" x14ac:dyDescent="0.35">
      <c r="A1701" s="178"/>
      <c r="B1701" s="178"/>
      <c r="C1701" s="178"/>
      <c r="D1701" s="178"/>
      <c r="E1701"/>
    </row>
    <row r="1702" spans="1:5" x14ac:dyDescent="0.35">
      <c r="A1702" s="178"/>
      <c r="B1702" s="178"/>
      <c r="C1702" s="178"/>
      <c r="D1702" s="178"/>
      <c r="E1702"/>
    </row>
    <row r="1703" spans="1:5" x14ac:dyDescent="0.35">
      <c r="A1703" s="178"/>
      <c r="B1703" s="178"/>
      <c r="C1703" s="178"/>
      <c r="D1703" s="178"/>
      <c r="E1703"/>
    </row>
    <row r="1704" spans="1:5" x14ac:dyDescent="0.35">
      <c r="A1704" s="178"/>
      <c r="B1704" s="178"/>
      <c r="C1704" s="178"/>
      <c r="D1704" s="178"/>
      <c r="E1704"/>
    </row>
    <row r="1705" spans="1:5" x14ac:dyDescent="0.35">
      <c r="A1705" s="178"/>
      <c r="B1705" s="178"/>
      <c r="C1705" s="178"/>
      <c r="D1705" s="178"/>
      <c r="E1705"/>
    </row>
    <row r="1706" spans="1:5" x14ac:dyDescent="0.35">
      <c r="A1706" s="178"/>
      <c r="B1706" s="178"/>
      <c r="C1706" s="178"/>
      <c r="D1706" s="178"/>
      <c r="E1706"/>
    </row>
    <row r="1707" spans="1:5" x14ac:dyDescent="0.35">
      <c r="A1707" s="178"/>
      <c r="B1707" s="178"/>
      <c r="C1707" s="178"/>
      <c r="D1707" s="178"/>
      <c r="E1707"/>
    </row>
    <row r="1708" spans="1:5" x14ac:dyDescent="0.35">
      <c r="A1708" s="178"/>
      <c r="B1708" s="178"/>
      <c r="C1708" s="178"/>
      <c r="D1708" s="178"/>
      <c r="E1708"/>
    </row>
    <row r="1709" spans="1:5" x14ac:dyDescent="0.35">
      <c r="A1709" s="178"/>
      <c r="B1709" s="178"/>
      <c r="C1709" s="178"/>
      <c r="D1709" s="178"/>
      <c r="E1709"/>
    </row>
    <row r="1710" spans="1:5" x14ac:dyDescent="0.35">
      <c r="A1710" s="178"/>
      <c r="B1710" s="178"/>
      <c r="C1710" s="178"/>
      <c r="D1710" s="178"/>
      <c r="E1710"/>
    </row>
    <row r="1711" spans="1:5" x14ac:dyDescent="0.35">
      <c r="A1711" s="178"/>
      <c r="B1711" s="178"/>
      <c r="C1711" s="178"/>
      <c r="D1711" s="178"/>
      <c r="E1711"/>
    </row>
    <row r="1712" spans="1:5" x14ac:dyDescent="0.35">
      <c r="A1712" s="178"/>
      <c r="B1712" s="178"/>
      <c r="C1712" s="178"/>
      <c r="D1712" s="178"/>
      <c r="E1712"/>
    </row>
    <row r="1713" spans="1:5" x14ac:dyDescent="0.35">
      <c r="A1713" s="178"/>
      <c r="B1713" s="178"/>
      <c r="C1713" s="178"/>
      <c r="D1713" s="178"/>
      <c r="E1713"/>
    </row>
    <row r="1714" spans="1:5" x14ac:dyDescent="0.35">
      <c r="A1714" s="178"/>
      <c r="B1714" s="178"/>
      <c r="C1714" s="178"/>
      <c r="D1714" s="178"/>
      <c r="E1714"/>
    </row>
    <row r="1715" spans="1:5" x14ac:dyDescent="0.35">
      <c r="A1715" s="178"/>
      <c r="B1715" s="178"/>
      <c r="C1715" s="178"/>
      <c r="D1715" s="178"/>
      <c r="E1715"/>
    </row>
    <row r="1716" spans="1:5" x14ac:dyDescent="0.35">
      <c r="A1716" s="178"/>
      <c r="B1716" s="178"/>
      <c r="C1716" s="178"/>
      <c r="D1716" s="178"/>
      <c r="E1716"/>
    </row>
    <row r="1717" spans="1:5" x14ac:dyDescent="0.35">
      <c r="A1717" s="178"/>
      <c r="B1717" s="178"/>
      <c r="C1717" s="178"/>
      <c r="D1717" s="178"/>
      <c r="E1717"/>
    </row>
    <row r="1718" spans="1:5" x14ac:dyDescent="0.35">
      <c r="A1718" s="178"/>
      <c r="B1718" s="178"/>
      <c r="C1718" s="178"/>
      <c r="D1718" s="178"/>
      <c r="E1718"/>
    </row>
    <row r="1719" spans="1:5" x14ac:dyDescent="0.35">
      <c r="A1719" s="178"/>
      <c r="B1719" s="178"/>
      <c r="C1719" s="178"/>
      <c r="D1719" s="178"/>
      <c r="E1719"/>
    </row>
    <row r="1720" spans="1:5" x14ac:dyDescent="0.35">
      <c r="A1720" s="178"/>
      <c r="B1720" s="178"/>
      <c r="C1720" s="178"/>
      <c r="D1720" s="178"/>
      <c r="E1720"/>
    </row>
    <row r="1721" spans="1:5" x14ac:dyDescent="0.35">
      <c r="A1721" s="178"/>
      <c r="B1721" s="178"/>
      <c r="C1721" s="178"/>
      <c r="D1721" s="178"/>
      <c r="E1721"/>
    </row>
    <row r="1722" spans="1:5" x14ac:dyDescent="0.35">
      <c r="A1722" s="178"/>
      <c r="B1722" s="178"/>
      <c r="C1722" s="178"/>
      <c r="D1722" s="178"/>
      <c r="E1722"/>
    </row>
    <row r="1723" spans="1:5" x14ac:dyDescent="0.35">
      <c r="A1723" s="178"/>
      <c r="B1723" s="178"/>
      <c r="C1723" s="178"/>
      <c r="D1723" s="178"/>
      <c r="E1723"/>
    </row>
    <row r="1724" spans="1:5" x14ac:dyDescent="0.35">
      <c r="A1724" s="178"/>
      <c r="B1724" s="178"/>
      <c r="C1724" s="178"/>
      <c r="D1724" s="178"/>
      <c r="E1724"/>
    </row>
    <row r="1725" spans="1:5" x14ac:dyDescent="0.35">
      <c r="A1725" s="178"/>
      <c r="B1725" s="178"/>
      <c r="C1725" s="178"/>
      <c r="D1725" s="178"/>
      <c r="E1725"/>
    </row>
    <row r="1726" spans="1:5" x14ac:dyDescent="0.35">
      <c r="A1726" s="178"/>
      <c r="B1726" s="178"/>
      <c r="C1726" s="178"/>
      <c r="D1726" s="178"/>
      <c r="E1726"/>
    </row>
    <row r="1727" spans="1:5" x14ac:dyDescent="0.35">
      <c r="A1727" s="178"/>
      <c r="B1727" s="178"/>
      <c r="C1727" s="178"/>
      <c r="D1727" s="178"/>
      <c r="E1727"/>
    </row>
    <row r="1728" spans="1:5" x14ac:dyDescent="0.35">
      <c r="A1728" s="178"/>
      <c r="B1728" s="178"/>
      <c r="C1728" s="178"/>
      <c r="D1728" s="178"/>
      <c r="E1728"/>
    </row>
    <row r="1729" spans="1:5" x14ac:dyDescent="0.35">
      <c r="A1729" s="178"/>
      <c r="B1729" s="178"/>
      <c r="C1729" s="178"/>
      <c r="D1729" s="178"/>
      <c r="E1729"/>
    </row>
    <row r="1730" spans="1:5" x14ac:dyDescent="0.35">
      <c r="A1730" s="178"/>
      <c r="B1730" s="178"/>
      <c r="C1730" s="178"/>
      <c r="D1730" s="178"/>
      <c r="E1730"/>
    </row>
    <row r="1731" spans="1:5" x14ac:dyDescent="0.35">
      <c r="A1731" s="178"/>
      <c r="B1731" s="178"/>
      <c r="C1731" s="178"/>
      <c r="D1731" s="178"/>
      <c r="E1731"/>
    </row>
    <row r="1732" spans="1:5" x14ac:dyDescent="0.35">
      <c r="A1732" s="178"/>
      <c r="B1732" s="178"/>
      <c r="C1732" s="178"/>
      <c r="D1732" s="178"/>
      <c r="E1732"/>
    </row>
    <row r="1733" spans="1:5" x14ac:dyDescent="0.35">
      <c r="A1733" s="178"/>
      <c r="B1733" s="178"/>
      <c r="C1733" s="178"/>
      <c r="D1733" s="178"/>
      <c r="E1733"/>
    </row>
    <row r="1734" spans="1:5" x14ac:dyDescent="0.35">
      <c r="A1734" s="178"/>
      <c r="B1734" s="178"/>
      <c r="C1734" s="178"/>
      <c r="D1734" s="178"/>
      <c r="E1734"/>
    </row>
    <row r="1735" spans="1:5" x14ac:dyDescent="0.35">
      <c r="A1735" s="178"/>
      <c r="B1735" s="178"/>
      <c r="C1735" s="178"/>
      <c r="D1735" s="178"/>
      <c r="E1735"/>
    </row>
    <row r="1736" spans="1:5" x14ac:dyDescent="0.35">
      <c r="A1736" s="178"/>
      <c r="B1736" s="178"/>
      <c r="C1736" s="178"/>
      <c r="D1736" s="178"/>
      <c r="E1736"/>
    </row>
    <row r="1737" spans="1:5" x14ac:dyDescent="0.35">
      <c r="A1737" s="178"/>
      <c r="B1737" s="178"/>
      <c r="C1737" s="178"/>
      <c r="D1737" s="178"/>
      <c r="E1737"/>
    </row>
    <row r="1738" spans="1:5" x14ac:dyDescent="0.35">
      <c r="A1738" s="178"/>
      <c r="B1738" s="178"/>
      <c r="C1738" s="178"/>
      <c r="D1738" s="178"/>
      <c r="E1738"/>
    </row>
    <row r="1739" spans="1:5" x14ac:dyDescent="0.35">
      <c r="A1739" s="178"/>
      <c r="B1739" s="178"/>
      <c r="C1739" s="178"/>
      <c r="D1739" s="178"/>
      <c r="E1739"/>
    </row>
    <row r="1740" spans="1:5" x14ac:dyDescent="0.35">
      <c r="A1740" s="178"/>
      <c r="B1740" s="178"/>
      <c r="C1740" s="178"/>
      <c r="D1740" s="178"/>
      <c r="E1740"/>
    </row>
    <row r="1741" spans="1:5" x14ac:dyDescent="0.35">
      <c r="A1741" s="178"/>
      <c r="B1741" s="178"/>
      <c r="C1741" s="178"/>
      <c r="D1741" s="178"/>
      <c r="E1741"/>
    </row>
    <row r="1742" spans="1:5" x14ac:dyDescent="0.35">
      <c r="A1742" s="178"/>
      <c r="B1742" s="178"/>
      <c r="C1742" s="178"/>
      <c r="D1742" s="178"/>
      <c r="E1742"/>
    </row>
    <row r="1743" spans="1:5" x14ac:dyDescent="0.35">
      <c r="A1743" s="178"/>
      <c r="B1743" s="178"/>
      <c r="C1743" s="178"/>
      <c r="D1743" s="178"/>
      <c r="E1743"/>
    </row>
    <row r="1744" spans="1:5" x14ac:dyDescent="0.35">
      <c r="A1744" s="178"/>
      <c r="B1744" s="178"/>
      <c r="C1744" s="178"/>
      <c r="D1744" s="178"/>
      <c r="E1744"/>
    </row>
    <row r="1745" spans="1:5" x14ac:dyDescent="0.35">
      <c r="A1745" s="178"/>
      <c r="B1745" s="178"/>
      <c r="C1745" s="178"/>
      <c r="D1745" s="178"/>
      <c r="E1745"/>
    </row>
    <row r="1746" spans="1:5" x14ac:dyDescent="0.35">
      <c r="A1746" s="178"/>
      <c r="B1746" s="178"/>
      <c r="C1746" s="178"/>
      <c r="D1746" s="178"/>
      <c r="E1746"/>
    </row>
    <row r="1747" spans="1:5" x14ac:dyDescent="0.35">
      <c r="A1747" s="178"/>
      <c r="B1747" s="178"/>
      <c r="C1747" s="178"/>
      <c r="D1747" s="178"/>
      <c r="E1747"/>
    </row>
    <row r="1748" spans="1:5" x14ac:dyDescent="0.35">
      <c r="A1748" s="178"/>
      <c r="B1748" s="178"/>
      <c r="C1748" s="178"/>
      <c r="D1748" s="178"/>
      <c r="E1748"/>
    </row>
    <row r="1749" spans="1:5" x14ac:dyDescent="0.35">
      <c r="A1749" s="178"/>
      <c r="B1749" s="178"/>
      <c r="C1749" s="178"/>
      <c r="D1749" s="178"/>
      <c r="E1749"/>
    </row>
    <row r="1750" spans="1:5" x14ac:dyDescent="0.35">
      <c r="A1750" s="178"/>
      <c r="B1750" s="178"/>
      <c r="C1750" s="178"/>
      <c r="D1750" s="178"/>
      <c r="E1750"/>
    </row>
    <row r="1751" spans="1:5" x14ac:dyDescent="0.35">
      <c r="A1751" s="178"/>
      <c r="B1751" s="178"/>
      <c r="C1751" s="178"/>
      <c r="D1751" s="178"/>
      <c r="E1751"/>
    </row>
    <row r="1752" spans="1:5" x14ac:dyDescent="0.35">
      <c r="A1752" s="178"/>
      <c r="B1752" s="178"/>
      <c r="C1752" s="178"/>
      <c r="D1752" s="178"/>
      <c r="E1752"/>
    </row>
    <row r="1753" spans="1:5" x14ac:dyDescent="0.35">
      <c r="A1753" s="178"/>
      <c r="B1753" s="178"/>
      <c r="C1753" s="178"/>
      <c r="D1753" s="178"/>
      <c r="E1753"/>
    </row>
    <row r="1754" spans="1:5" x14ac:dyDescent="0.35">
      <c r="A1754" s="178"/>
      <c r="B1754" s="178"/>
      <c r="C1754" s="178"/>
      <c r="D1754" s="178"/>
      <c r="E1754"/>
    </row>
    <row r="1755" spans="1:5" x14ac:dyDescent="0.35">
      <c r="A1755" s="178"/>
      <c r="B1755" s="178"/>
      <c r="C1755" s="178"/>
      <c r="D1755" s="178"/>
      <c r="E1755"/>
    </row>
    <row r="1756" spans="1:5" x14ac:dyDescent="0.35">
      <c r="A1756" s="178"/>
      <c r="B1756" s="178"/>
      <c r="C1756" s="178"/>
      <c r="D1756" s="178"/>
      <c r="E1756"/>
    </row>
    <row r="1757" spans="1:5" x14ac:dyDescent="0.35">
      <c r="A1757" s="178"/>
      <c r="B1757" s="178"/>
      <c r="C1757" s="178"/>
      <c r="D1757" s="178"/>
      <c r="E1757"/>
    </row>
    <row r="1758" spans="1:5" x14ac:dyDescent="0.35">
      <c r="A1758" s="178"/>
      <c r="B1758" s="178"/>
      <c r="C1758" s="178"/>
      <c r="D1758" s="178"/>
      <c r="E1758"/>
    </row>
    <row r="1759" spans="1:5" x14ac:dyDescent="0.35">
      <c r="A1759" s="178"/>
      <c r="B1759" s="178"/>
      <c r="C1759" s="178"/>
      <c r="D1759" s="178"/>
      <c r="E1759"/>
    </row>
    <row r="1760" spans="1:5" x14ac:dyDescent="0.35">
      <c r="A1760" s="178"/>
      <c r="B1760" s="178"/>
      <c r="C1760" s="178"/>
      <c r="D1760" s="178"/>
      <c r="E1760"/>
    </row>
    <row r="1761" spans="1:5" x14ac:dyDescent="0.35">
      <c r="A1761" s="178"/>
      <c r="B1761" s="178"/>
      <c r="C1761" s="178"/>
      <c r="D1761" s="178"/>
      <c r="E1761"/>
    </row>
    <row r="1762" spans="1:5" x14ac:dyDescent="0.35">
      <c r="A1762" s="178"/>
      <c r="B1762" s="178"/>
      <c r="C1762" s="178"/>
      <c r="D1762" s="178"/>
      <c r="E1762"/>
    </row>
    <row r="1763" spans="1:5" x14ac:dyDescent="0.35">
      <c r="A1763" s="178"/>
      <c r="B1763" s="178"/>
      <c r="C1763" s="178"/>
      <c r="D1763" s="178"/>
      <c r="E1763"/>
    </row>
    <row r="1764" spans="1:5" x14ac:dyDescent="0.35">
      <c r="A1764" s="178"/>
      <c r="B1764" s="178"/>
      <c r="C1764" s="178"/>
      <c r="D1764" s="178"/>
      <c r="E1764"/>
    </row>
    <row r="1765" spans="1:5" x14ac:dyDescent="0.35">
      <c r="A1765" s="178"/>
      <c r="B1765" s="178"/>
      <c r="C1765" s="178"/>
      <c r="D1765" s="178"/>
      <c r="E1765"/>
    </row>
    <row r="1766" spans="1:5" x14ac:dyDescent="0.35">
      <c r="A1766" s="178"/>
      <c r="B1766" s="178"/>
      <c r="C1766" s="178"/>
      <c r="D1766" s="178"/>
      <c r="E1766"/>
    </row>
    <row r="1767" spans="1:5" x14ac:dyDescent="0.35">
      <c r="A1767" s="178"/>
      <c r="B1767" s="178"/>
      <c r="C1767" s="178"/>
      <c r="D1767" s="178"/>
      <c r="E1767"/>
    </row>
    <row r="1768" spans="1:5" x14ac:dyDescent="0.35">
      <c r="A1768" s="178"/>
      <c r="B1768" s="178"/>
      <c r="C1768" s="178"/>
      <c r="D1768" s="178"/>
      <c r="E1768"/>
    </row>
    <row r="1769" spans="1:5" x14ac:dyDescent="0.35">
      <c r="A1769" s="178"/>
      <c r="B1769" s="178"/>
      <c r="C1769" s="178"/>
      <c r="D1769" s="178"/>
      <c r="E1769"/>
    </row>
    <row r="1770" spans="1:5" x14ac:dyDescent="0.35">
      <c r="A1770" s="178"/>
      <c r="B1770" s="178"/>
      <c r="C1770" s="178"/>
      <c r="D1770" s="178"/>
      <c r="E1770"/>
    </row>
    <row r="1771" spans="1:5" x14ac:dyDescent="0.35">
      <c r="A1771" s="178"/>
      <c r="B1771" s="178"/>
      <c r="C1771" s="178"/>
      <c r="D1771" s="178"/>
      <c r="E1771"/>
    </row>
    <row r="1772" spans="1:5" x14ac:dyDescent="0.35">
      <c r="A1772" s="178"/>
      <c r="B1772" s="178"/>
      <c r="C1772" s="178"/>
      <c r="D1772" s="178"/>
      <c r="E1772"/>
    </row>
    <row r="1773" spans="1:5" x14ac:dyDescent="0.35">
      <c r="A1773" s="178"/>
      <c r="B1773" s="178"/>
      <c r="C1773" s="178"/>
      <c r="D1773" s="178"/>
      <c r="E1773"/>
    </row>
    <row r="1774" spans="1:5" x14ac:dyDescent="0.35">
      <c r="A1774" s="178"/>
      <c r="B1774" s="178"/>
      <c r="C1774" s="178"/>
      <c r="D1774" s="178"/>
      <c r="E1774"/>
    </row>
    <row r="1775" spans="1:5" x14ac:dyDescent="0.35">
      <c r="A1775" s="178"/>
      <c r="B1775" s="178"/>
      <c r="C1775" s="178"/>
      <c r="D1775" s="178"/>
      <c r="E1775"/>
    </row>
    <row r="1776" spans="1:5" x14ac:dyDescent="0.35">
      <c r="A1776" s="178"/>
      <c r="B1776" s="178"/>
      <c r="C1776" s="178"/>
      <c r="D1776" s="178"/>
      <c r="E1776"/>
    </row>
    <row r="1777" spans="1:5" x14ac:dyDescent="0.35">
      <c r="A1777" s="178"/>
      <c r="B1777" s="178"/>
      <c r="C1777" s="178"/>
      <c r="D1777" s="178"/>
      <c r="E1777"/>
    </row>
    <row r="1778" spans="1:5" x14ac:dyDescent="0.35">
      <c r="A1778" s="178"/>
      <c r="B1778" s="178"/>
      <c r="C1778" s="178"/>
      <c r="D1778" s="178"/>
      <c r="E1778"/>
    </row>
    <row r="1779" spans="1:5" x14ac:dyDescent="0.35">
      <c r="A1779" s="178"/>
      <c r="B1779" s="178"/>
      <c r="C1779" s="178"/>
      <c r="D1779" s="178"/>
      <c r="E1779"/>
    </row>
    <row r="1780" spans="1:5" x14ac:dyDescent="0.35">
      <c r="A1780" s="178"/>
      <c r="B1780" s="178"/>
      <c r="C1780" s="178"/>
      <c r="D1780" s="178"/>
      <c r="E1780"/>
    </row>
    <row r="1781" spans="1:5" x14ac:dyDescent="0.35">
      <c r="A1781" s="178"/>
      <c r="B1781" s="178"/>
      <c r="C1781" s="178"/>
      <c r="D1781" s="178"/>
      <c r="E1781"/>
    </row>
    <row r="1782" spans="1:5" x14ac:dyDescent="0.35">
      <c r="A1782" s="178"/>
      <c r="B1782" s="178"/>
      <c r="C1782" s="178"/>
      <c r="D1782" s="178"/>
      <c r="E1782"/>
    </row>
    <row r="1783" spans="1:5" x14ac:dyDescent="0.35">
      <c r="A1783" s="178"/>
      <c r="B1783" s="178"/>
      <c r="C1783" s="178"/>
      <c r="D1783" s="178"/>
      <c r="E1783"/>
    </row>
    <row r="1784" spans="1:5" x14ac:dyDescent="0.35">
      <c r="A1784" s="178"/>
      <c r="B1784" s="178"/>
      <c r="C1784" s="178"/>
      <c r="D1784" s="178"/>
      <c r="E1784"/>
    </row>
    <row r="1785" spans="1:5" x14ac:dyDescent="0.35">
      <c r="A1785" s="178"/>
      <c r="B1785" s="178"/>
      <c r="C1785" s="178"/>
      <c r="D1785" s="178"/>
      <c r="E1785"/>
    </row>
    <row r="1786" spans="1:5" x14ac:dyDescent="0.35">
      <c r="A1786" s="178"/>
      <c r="B1786" s="178"/>
      <c r="C1786" s="178"/>
      <c r="D1786" s="178"/>
      <c r="E1786"/>
    </row>
    <row r="1787" spans="1:5" x14ac:dyDescent="0.35">
      <c r="A1787" s="178"/>
      <c r="B1787" s="178"/>
      <c r="C1787" s="178"/>
      <c r="D1787" s="178"/>
      <c r="E1787"/>
    </row>
    <row r="1788" spans="1:5" x14ac:dyDescent="0.35">
      <c r="A1788" s="178"/>
      <c r="B1788" s="178"/>
      <c r="C1788" s="178"/>
      <c r="D1788" s="178"/>
      <c r="E1788"/>
    </row>
    <row r="1789" spans="1:5" x14ac:dyDescent="0.35">
      <c r="A1789" s="178"/>
      <c r="B1789" s="178"/>
      <c r="C1789" s="178"/>
      <c r="D1789" s="178"/>
      <c r="E1789"/>
    </row>
    <row r="1790" spans="1:5" x14ac:dyDescent="0.35">
      <c r="A1790" s="178"/>
      <c r="B1790" s="178"/>
      <c r="C1790" s="178"/>
      <c r="D1790" s="178"/>
      <c r="E1790"/>
    </row>
    <row r="1791" spans="1:5" x14ac:dyDescent="0.35">
      <c r="A1791" s="178"/>
      <c r="B1791" s="178"/>
      <c r="C1791" s="178"/>
      <c r="D1791" s="178"/>
      <c r="E1791"/>
    </row>
    <row r="1792" spans="1:5" x14ac:dyDescent="0.35">
      <c r="A1792" s="178"/>
      <c r="B1792" s="178"/>
      <c r="C1792" s="178"/>
      <c r="D1792" s="178"/>
      <c r="E1792"/>
    </row>
    <row r="1793" spans="1:6" x14ac:dyDescent="0.35">
      <c r="A1793" s="178"/>
      <c r="B1793" s="178"/>
      <c r="C1793" s="178"/>
      <c r="D1793" s="178"/>
      <c r="E1793"/>
    </row>
    <row r="1794" spans="1:6" x14ac:dyDescent="0.35">
      <c r="A1794" s="178"/>
      <c r="B1794" s="178"/>
      <c r="C1794" s="178"/>
      <c r="D1794" s="178"/>
      <c r="E1794"/>
    </row>
    <row r="1795" spans="1:6" x14ac:dyDescent="0.35">
      <c r="A1795" s="178"/>
      <c r="B1795" s="178"/>
      <c r="C1795" s="178"/>
      <c r="D1795" s="178"/>
      <c r="E1795"/>
    </row>
    <row r="1796" spans="1:6" x14ac:dyDescent="0.35">
      <c r="A1796" s="178"/>
      <c r="B1796" s="178"/>
      <c r="C1796" s="178"/>
      <c r="D1796" s="178"/>
      <c r="E1796"/>
    </row>
    <row r="1797" spans="1:6" x14ac:dyDescent="0.35">
      <c r="A1797" s="178"/>
      <c r="B1797" s="178"/>
      <c r="C1797" s="178"/>
      <c r="D1797" s="178"/>
      <c r="E1797"/>
    </row>
    <row r="1798" spans="1:6" x14ac:dyDescent="0.35">
      <c r="A1798" s="178"/>
      <c r="B1798" s="178"/>
      <c r="C1798" s="178"/>
      <c r="D1798" s="178"/>
      <c r="E1798"/>
    </row>
    <row r="1799" spans="1:6" x14ac:dyDescent="0.35">
      <c r="A1799" s="178"/>
      <c r="B1799" s="178"/>
      <c r="C1799" s="178"/>
      <c r="D1799" s="178"/>
      <c r="E1799"/>
    </row>
    <row r="1800" spans="1:6" x14ac:dyDescent="0.35">
      <c r="A1800" s="178"/>
      <c r="B1800" s="178"/>
      <c r="C1800" s="178"/>
      <c r="D1800" s="178"/>
      <c r="E1800"/>
    </row>
    <row r="1801" spans="1:6" x14ac:dyDescent="0.35">
      <c r="A1801" s="178"/>
      <c r="B1801" s="178"/>
      <c r="C1801" s="178"/>
      <c r="D1801" s="178"/>
      <c r="E1801"/>
    </row>
    <row r="1802" spans="1:6" x14ac:dyDescent="0.35">
      <c r="A1802" s="178"/>
      <c r="B1802" s="178"/>
      <c r="C1802" s="178"/>
      <c r="D1802" s="178"/>
      <c r="E1802"/>
    </row>
    <row r="1803" spans="1:6" x14ac:dyDescent="0.35">
      <c r="A1803" s="178"/>
      <c r="B1803" s="178"/>
      <c r="C1803" s="178"/>
      <c r="D1803" s="178"/>
      <c r="E1803"/>
    </row>
    <row r="1804" spans="1:6" x14ac:dyDescent="0.35">
      <c r="A1804" s="178"/>
      <c r="B1804" s="178"/>
      <c r="C1804" s="178"/>
      <c r="D1804" s="178"/>
      <c r="E1804"/>
    </row>
    <row r="1805" spans="1:6" x14ac:dyDescent="0.35">
      <c r="A1805" s="178"/>
      <c r="B1805" s="178"/>
      <c r="C1805" s="178"/>
      <c r="D1805" s="178"/>
      <c r="E1805"/>
    </row>
    <row r="1806" spans="1:6" x14ac:dyDescent="0.35">
      <c r="A1806" s="178"/>
      <c r="B1806" s="178"/>
      <c r="C1806" s="178"/>
      <c r="D1806" s="178"/>
      <c r="E1806"/>
    </row>
    <row r="1807" spans="1:6" x14ac:dyDescent="0.35">
      <c r="A1807" s="178"/>
      <c r="B1807" s="178"/>
      <c r="C1807" s="178"/>
      <c r="D1807" s="178"/>
      <c r="E1807"/>
      <c r="F1807" s="178"/>
    </row>
    <row r="1808" spans="1:6" x14ac:dyDescent="0.35">
      <c r="A1808" s="178"/>
      <c r="B1808" s="178"/>
      <c r="C1808" s="178"/>
      <c r="D1808" s="178"/>
      <c r="E1808"/>
    </row>
    <row r="1809" spans="1:5" x14ac:dyDescent="0.35">
      <c r="A1809" s="178"/>
      <c r="B1809" s="178"/>
      <c r="C1809" s="178"/>
      <c r="D1809" s="178"/>
      <c r="E1809"/>
    </row>
    <row r="1810" spans="1:5" x14ac:dyDescent="0.35">
      <c r="A1810" s="178"/>
      <c r="B1810" s="178"/>
      <c r="C1810" s="178"/>
      <c r="D1810" s="178"/>
      <c r="E1810"/>
    </row>
    <row r="1811" spans="1:5" x14ac:dyDescent="0.35">
      <c r="A1811" s="178"/>
      <c r="B1811" s="178"/>
      <c r="C1811" s="178"/>
      <c r="D1811" s="178"/>
      <c r="E1811"/>
    </row>
    <row r="1812" spans="1:5" x14ac:dyDescent="0.35">
      <c r="A1812" s="178"/>
      <c r="B1812" s="178"/>
      <c r="C1812" s="178"/>
      <c r="D1812" s="178"/>
      <c r="E1812"/>
    </row>
    <row r="1813" spans="1:5" x14ac:dyDescent="0.35">
      <c r="A1813" s="178"/>
      <c r="B1813" s="178"/>
      <c r="C1813" s="178"/>
      <c r="D1813" s="178"/>
      <c r="E1813"/>
    </row>
    <row r="1814" spans="1:5" x14ac:dyDescent="0.35">
      <c r="A1814" s="178"/>
      <c r="B1814" s="178"/>
      <c r="C1814" s="178"/>
      <c r="D1814" s="178"/>
      <c r="E1814"/>
    </row>
    <row r="1815" spans="1:5" x14ac:dyDescent="0.35">
      <c r="A1815" s="178"/>
      <c r="B1815" s="178"/>
      <c r="C1815" s="178"/>
      <c r="D1815" s="178"/>
      <c r="E1815"/>
    </row>
    <row r="1816" spans="1:5" x14ac:dyDescent="0.35">
      <c r="A1816" s="178"/>
      <c r="B1816" s="178"/>
      <c r="C1816" s="178"/>
      <c r="D1816" s="178"/>
      <c r="E1816"/>
    </row>
    <row r="1817" spans="1:5" x14ac:dyDescent="0.35">
      <c r="A1817" s="178"/>
      <c r="B1817" s="178"/>
      <c r="C1817" s="178"/>
      <c r="D1817" s="178"/>
      <c r="E1817"/>
    </row>
    <row r="1818" spans="1:5" x14ac:dyDescent="0.35">
      <c r="A1818" s="178"/>
      <c r="B1818" s="178"/>
      <c r="C1818" s="178"/>
      <c r="D1818" s="178"/>
      <c r="E1818"/>
    </row>
    <row r="1819" spans="1:5" x14ac:dyDescent="0.35">
      <c r="A1819" s="178"/>
      <c r="B1819" s="178"/>
      <c r="C1819" s="178"/>
      <c r="D1819" s="178"/>
      <c r="E1819"/>
    </row>
    <row r="1820" spans="1:5" x14ac:dyDescent="0.35">
      <c r="A1820" s="178"/>
      <c r="B1820" s="178"/>
      <c r="C1820" s="178"/>
      <c r="D1820" s="178"/>
      <c r="E1820"/>
    </row>
    <row r="1821" spans="1:5" x14ac:dyDescent="0.35">
      <c r="A1821" s="178"/>
      <c r="B1821" s="178"/>
      <c r="C1821" s="178"/>
      <c r="D1821" s="178"/>
      <c r="E1821"/>
    </row>
    <row r="1822" spans="1:5" x14ac:dyDescent="0.35">
      <c r="A1822" s="178"/>
      <c r="B1822" s="178"/>
      <c r="C1822" s="178"/>
      <c r="D1822" s="178"/>
      <c r="E1822"/>
    </row>
    <row r="1823" spans="1:5" x14ac:dyDescent="0.35">
      <c r="A1823" s="178"/>
      <c r="B1823" s="178"/>
      <c r="C1823" s="178"/>
      <c r="D1823" s="178"/>
      <c r="E1823"/>
    </row>
    <row r="1824" spans="1:5" x14ac:dyDescent="0.35">
      <c r="A1824" s="178"/>
      <c r="B1824" s="178"/>
      <c r="C1824" s="178"/>
      <c r="D1824" s="178"/>
      <c r="E1824"/>
    </row>
    <row r="1825" spans="1:5" x14ac:dyDescent="0.35">
      <c r="A1825" s="178"/>
      <c r="B1825" s="178"/>
      <c r="C1825" s="178"/>
      <c r="D1825" s="178"/>
      <c r="E1825"/>
    </row>
    <row r="1826" spans="1:5" x14ac:dyDescent="0.35">
      <c r="A1826" s="178"/>
      <c r="B1826" s="178"/>
      <c r="C1826" s="178"/>
      <c r="D1826" s="178"/>
      <c r="E1826"/>
    </row>
    <row r="1827" spans="1:5" x14ac:dyDescent="0.35">
      <c r="A1827" s="178"/>
      <c r="B1827" s="178"/>
      <c r="C1827" s="178"/>
      <c r="D1827" s="178"/>
      <c r="E1827"/>
    </row>
    <row r="1828" spans="1:5" x14ac:dyDescent="0.35">
      <c r="A1828" s="178"/>
      <c r="B1828" s="178"/>
      <c r="C1828" s="178"/>
      <c r="D1828" s="178"/>
      <c r="E1828"/>
    </row>
    <row r="1829" spans="1:5" x14ac:dyDescent="0.35">
      <c r="A1829" s="178"/>
      <c r="B1829" s="178"/>
      <c r="C1829" s="178"/>
      <c r="D1829" s="178"/>
      <c r="E1829"/>
    </row>
    <row r="1830" spans="1:5" x14ac:dyDescent="0.35">
      <c r="A1830" s="178"/>
      <c r="B1830" s="178"/>
      <c r="C1830" s="178"/>
      <c r="D1830" s="178"/>
      <c r="E1830"/>
    </row>
    <row r="1831" spans="1:5" x14ac:dyDescent="0.35">
      <c r="A1831" s="178"/>
      <c r="B1831" s="178"/>
      <c r="C1831" s="178"/>
      <c r="D1831" s="178"/>
      <c r="E1831"/>
    </row>
    <row r="1832" spans="1:5" x14ac:dyDescent="0.35">
      <c r="A1832" s="178"/>
      <c r="B1832" s="178"/>
      <c r="C1832" s="178"/>
      <c r="D1832" s="178"/>
      <c r="E1832"/>
    </row>
    <row r="1833" spans="1:5" x14ac:dyDescent="0.35">
      <c r="A1833" s="178"/>
      <c r="B1833" s="178"/>
      <c r="C1833" s="178"/>
      <c r="D1833" s="178"/>
      <c r="E1833"/>
    </row>
    <row r="1834" spans="1:5" x14ac:dyDescent="0.35">
      <c r="A1834" s="178"/>
      <c r="B1834" s="178"/>
      <c r="C1834" s="178"/>
      <c r="D1834" s="178"/>
      <c r="E1834"/>
    </row>
    <row r="1835" spans="1:5" x14ac:dyDescent="0.35">
      <c r="A1835" s="178"/>
      <c r="B1835" s="178"/>
      <c r="C1835" s="178"/>
      <c r="D1835" s="178"/>
      <c r="E1835"/>
    </row>
    <row r="1836" spans="1:5" x14ac:dyDescent="0.35">
      <c r="A1836" s="178"/>
      <c r="B1836" s="178"/>
      <c r="C1836" s="178"/>
      <c r="D1836" s="178"/>
      <c r="E1836"/>
    </row>
    <row r="1837" spans="1:5" x14ac:dyDescent="0.35">
      <c r="A1837" s="178"/>
      <c r="B1837" s="178"/>
      <c r="C1837" s="178"/>
      <c r="D1837" s="178"/>
      <c r="E1837"/>
    </row>
    <row r="1838" spans="1:5" x14ac:dyDescent="0.35">
      <c r="A1838" s="178"/>
      <c r="B1838" s="178"/>
      <c r="C1838" s="178"/>
      <c r="D1838" s="178"/>
      <c r="E1838"/>
    </row>
    <row r="1839" spans="1:5" x14ac:dyDescent="0.35">
      <c r="A1839" s="178"/>
      <c r="B1839" s="178"/>
      <c r="C1839" s="178"/>
      <c r="D1839" s="178"/>
      <c r="E1839"/>
    </row>
    <row r="1840" spans="1:5" x14ac:dyDescent="0.35">
      <c r="A1840" s="178"/>
      <c r="B1840" s="178"/>
      <c r="C1840" s="178"/>
      <c r="D1840" s="178"/>
      <c r="E1840"/>
    </row>
    <row r="1841" spans="1:6" x14ac:dyDescent="0.35">
      <c r="A1841" s="178"/>
      <c r="B1841" s="178"/>
      <c r="C1841" s="178"/>
      <c r="D1841" s="178"/>
      <c r="E1841"/>
    </row>
    <row r="1842" spans="1:6" x14ac:dyDescent="0.35">
      <c r="A1842" s="178"/>
      <c r="B1842" s="178"/>
      <c r="C1842" s="178"/>
      <c r="D1842" s="178"/>
      <c r="E1842"/>
    </row>
    <row r="1843" spans="1:6" x14ac:dyDescent="0.35">
      <c r="A1843" s="178"/>
      <c r="B1843" s="178"/>
      <c r="C1843" s="178"/>
      <c r="D1843" s="178"/>
      <c r="E1843"/>
    </row>
    <row r="1844" spans="1:6" x14ac:dyDescent="0.35">
      <c r="A1844" s="178"/>
      <c r="B1844" s="178"/>
      <c r="C1844" s="178"/>
      <c r="D1844" s="178"/>
      <c r="E1844"/>
      <c r="F1844" s="178"/>
    </row>
    <row r="1845" spans="1:6" x14ac:dyDescent="0.35">
      <c r="A1845" s="178"/>
      <c r="B1845" s="178"/>
      <c r="C1845" s="178"/>
      <c r="D1845" s="178"/>
      <c r="E1845"/>
      <c r="F1845" s="178"/>
    </row>
    <row r="1846" spans="1:6" x14ac:dyDescent="0.35">
      <c r="A1846" s="178"/>
      <c r="B1846" s="178"/>
      <c r="C1846" s="178"/>
      <c r="D1846" s="178"/>
      <c r="E1846"/>
    </row>
    <row r="1847" spans="1:6" x14ac:dyDescent="0.35">
      <c r="A1847" s="178"/>
      <c r="B1847" s="178"/>
      <c r="C1847" s="178"/>
      <c r="D1847" s="178"/>
      <c r="E1847"/>
      <c r="F1847" s="178"/>
    </row>
    <row r="1848" spans="1:6" x14ac:dyDescent="0.35">
      <c r="A1848" s="178"/>
      <c r="E1848"/>
    </row>
    <row r="1849" spans="1:6" x14ac:dyDescent="0.35">
      <c r="A1849" s="178"/>
      <c r="B1849" s="178"/>
      <c r="C1849" s="178"/>
      <c r="D1849" s="178"/>
      <c r="E1849"/>
    </row>
    <row r="1850" spans="1:6" x14ac:dyDescent="0.35">
      <c r="A1850" s="178"/>
      <c r="B1850" s="178"/>
      <c r="C1850" s="178"/>
      <c r="D1850" s="178"/>
      <c r="E1850"/>
    </row>
    <row r="1851" spans="1:6" x14ac:dyDescent="0.35">
      <c r="A1851" s="178"/>
      <c r="B1851" s="178"/>
      <c r="C1851" s="178"/>
      <c r="D1851" s="178"/>
      <c r="E1851"/>
    </row>
    <row r="1852" spans="1:6" x14ac:dyDescent="0.35">
      <c r="A1852" s="178"/>
      <c r="B1852" s="178"/>
      <c r="C1852" s="178"/>
      <c r="D1852" s="178"/>
      <c r="E1852"/>
    </row>
    <row r="1853" spans="1:6" x14ac:dyDescent="0.35">
      <c r="A1853" s="178"/>
      <c r="B1853" s="178"/>
      <c r="C1853" s="178"/>
      <c r="D1853" s="178"/>
      <c r="E1853"/>
    </row>
    <row r="1854" spans="1:6" x14ac:dyDescent="0.35">
      <c r="A1854" s="178"/>
      <c r="B1854" s="178"/>
      <c r="C1854" s="178"/>
      <c r="D1854" s="178"/>
      <c r="E1854"/>
    </row>
    <row r="1855" spans="1:6" x14ac:dyDescent="0.35">
      <c r="A1855" s="178"/>
    </row>
  </sheetData>
  <conditionalFormatting sqref="B1:B65386">
    <cfRule type="duplicateValues" dxfId="0" priority="7"/>
  </conditionalFormatting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S628"/>
  <sheetViews>
    <sheetView workbookViewId="0">
      <selection sqref="A1:XFD1048576"/>
    </sheetView>
  </sheetViews>
  <sheetFormatPr defaultRowHeight="14.5" x14ac:dyDescent="0.35"/>
  <cols>
    <col min="1" max="1" width="24.54296875" bestFit="1" customWidth="1"/>
    <col min="2" max="3" width="9.1796875" style="14" customWidth="1"/>
    <col min="4" max="4" width="11" style="14" customWidth="1"/>
    <col min="5" max="5" width="9" style="14" bestFit="1" customWidth="1"/>
    <col min="6" max="7" width="11.1796875" style="14" customWidth="1"/>
    <col min="8" max="8" width="8.26953125" style="14" customWidth="1"/>
    <col min="9" max="9" width="7.81640625" style="14" customWidth="1"/>
    <col min="10" max="10" width="7.81640625" style="15" customWidth="1"/>
    <col min="11" max="11" width="12.7265625" style="14" bestFit="1" customWidth="1"/>
    <col min="12" max="12" width="9" style="14" hidden="1" customWidth="1"/>
    <col min="13" max="13" width="9.7265625" style="14" bestFit="1" customWidth="1"/>
    <col min="14" max="14" width="14.1796875" style="14" customWidth="1"/>
    <col min="15" max="17" width="13.81640625" style="12" customWidth="1"/>
    <col min="18" max="18" width="9.1796875" style="13" customWidth="1"/>
    <col min="19" max="19" width="8" style="13" customWidth="1"/>
    <col min="20" max="20" width="9.1796875" customWidth="1"/>
  </cols>
  <sheetData>
    <row r="1" spans="1:19" s="3" customFormat="1" ht="19.5" customHeight="1" x14ac:dyDescent="0.35">
      <c r="A1" s="26"/>
      <c r="B1" s="27"/>
      <c r="C1" s="27"/>
      <c r="D1" s="27"/>
      <c r="E1" s="75"/>
      <c r="F1" s="27"/>
      <c r="G1" s="28"/>
      <c r="H1" s="51"/>
      <c r="I1" s="51"/>
      <c r="J1" s="51"/>
      <c r="K1" s="27"/>
      <c r="L1" s="29"/>
      <c r="M1" s="29"/>
      <c r="N1" s="29"/>
      <c r="O1" s="29"/>
      <c r="R1" s="2"/>
      <c r="S1" s="2"/>
    </row>
    <row r="2" spans="1:19" s="5" customFormat="1" ht="22.5" customHeight="1" x14ac:dyDescent="0.35">
      <c r="A2" s="30"/>
      <c r="B2" s="19"/>
      <c r="C2" s="19"/>
      <c r="D2" s="19"/>
      <c r="E2" s="76"/>
      <c r="F2" s="19"/>
      <c r="G2" s="31"/>
      <c r="H2" s="65"/>
      <c r="I2" s="65"/>
      <c r="J2" s="65"/>
      <c r="K2" s="31"/>
      <c r="L2" s="32"/>
      <c r="M2" s="32"/>
      <c r="N2" s="32"/>
      <c r="O2" s="32"/>
      <c r="P2" s="32"/>
      <c r="Q2" s="66"/>
      <c r="R2" s="4"/>
      <c r="S2" s="4"/>
    </row>
    <row r="3" spans="1:19" s="5" customFormat="1" ht="15.5" x14ac:dyDescent="0.35">
      <c r="A3" s="21"/>
      <c r="B3" s="60"/>
      <c r="C3" s="60"/>
      <c r="D3" s="60"/>
      <c r="E3" s="77"/>
      <c r="F3" s="60"/>
      <c r="G3" s="61"/>
      <c r="H3" s="61"/>
      <c r="I3" s="61"/>
      <c r="J3" s="61"/>
      <c r="K3" s="61"/>
      <c r="L3" s="63"/>
      <c r="M3" s="63"/>
      <c r="N3" s="63"/>
      <c r="O3" s="62"/>
      <c r="P3" s="62"/>
      <c r="Q3" s="67"/>
      <c r="R3" s="6"/>
      <c r="S3" s="7"/>
    </row>
    <row r="4" spans="1:19" x14ac:dyDescent="0.35">
      <c r="A4" s="55"/>
      <c r="B4" s="17"/>
      <c r="C4" s="17"/>
      <c r="D4" s="17"/>
      <c r="E4" s="78"/>
      <c r="F4" s="17"/>
      <c r="G4" s="18"/>
      <c r="H4" s="52"/>
      <c r="I4" s="52"/>
      <c r="J4" s="52"/>
      <c r="K4" s="40"/>
      <c r="L4" s="25"/>
      <c r="M4" s="25"/>
      <c r="N4" s="25"/>
      <c r="O4" s="25"/>
      <c r="P4" s="25"/>
      <c r="Q4" s="68"/>
      <c r="R4" s="8"/>
      <c r="S4" s="8"/>
    </row>
    <row r="5" spans="1:19" x14ac:dyDescent="0.35">
      <c r="A5" s="55"/>
      <c r="B5" s="17"/>
      <c r="C5" s="17"/>
      <c r="D5" s="17"/>
      <c r="E5" s="78"/>
      <c r="F5" s="17"/>
      <c r="G5" s="18"/>
      <c r="H5" s="52"/>
      <c r="I5" s="73"/>
      <c r="J5" s="52"/>
      <c r="K5" s="40"/>
      <c r="L5" s="25"/>
      <c r="M5" s="25"/>
      <c r="N5" s="25"/>
      <c r="O5" s="25"/>
      <c r="P5" s="25"/>
      <c r="Q5" s="68"/>
      <c r="R5" s="8"/>
      <c r="S5" s="8"/>
    </row>
    <row r="6" spans="1:19" x14ac:dyDescent="0.35">
      <c r="A6" s="55"/>
      <c r="B6" s="17"/>
      <c r="C6" s="17"/>
      <c r="D6" s="17"/>
      <c r="E6" s="78"/>
      <c r="F6" s="17"/>
      <c r="G6" s="18"/>
      <c r="H6" s="71"/>
      <c r="I6" s="73"/>
      <c r="J6" s="52"/>
      <c r="K6" s="40"/>
      <c r="L6" s="25"/>
      <c r="M6" s="25"/>
      <c r="N6" s="25"/>
      <c r="O6" s="25"/>
      <c r="P6" s="25"/>
      <c r="Q6" s="68"/>
      <c r="R6" s="8"/>
      <c r="S6" s="8"/>
    </row>
    <row r="7" spans="1:19" x14ac:dyDescent="0.35">
      <c r="A7" s="55"/>
      <c r="B7" s="17"/>
      <c r="C7" s="17"/>
      <c r="D7" s="17"/>
      <c r="E7" s="78"/>
      <c r="F7" s="17"/>
      <c r="G7" s="18"/>
      <c r="H7" s="52"/>
      <c r="I7" s="73"/>
      <c r="J7" s="52"/>
      <c r="K7" s="40"/>
      <c r="L7" s="25"/>
      <c r="M7" s="25"/>
      <c r="N7" s="25"/>
      <c r="O7" s="25"/>
      <c r="P7" s="25"/>
      <c r="Q7" s="68"/>
      <c r="R7" s="8"/>
      <c r="S7" s="8"/>
    </row>
    <row r="8" spans="1:19" x14ac:dyDescent="0.35">
      <c r="A8" s="55"/>
      <c r="B8" s="17"/>
      <c r="C8" s="17"/>
      <c r="D8" s="17"/>
      <c r="E8" s="78"/>
      <c r="F8" s="17"/>
      <c r="G8" s="18"/>
      <c r="H8" s="71"/>
      <c r="I8" s="52"/>
      <c r="J8" s="52"/>
      <c r="K8" s="40"/>
      <c r="L8" s="25"/>
      <c r="M8" s="25"/>
      <c r="N8" s="25"/>
      <c r="O8" s="25"/>
      <c r="P8" s="25"/>
      <c r="Q8" s="68"/>
      <c r="R8" s="8"/>
      <c r="S8" s="8"/>
    </row>
    <row r="9" spans="1:19" x14ac:dyDescent="0.35">
      <c r="A9" s="55"/>
      <c r="B9" s="17"/>
      <c r="C9" s="17"/>
      <c r="D9" s="17"/>
      <c r="E9" s="78"/>
      <c r="F9" s="17"/>
      <c r="G9" s="18"/>
      <c r="H9" s="52"/>
      <c r="I9" s="52"/>
      <c r="J9" s="52"/>
      <c r="K9" s="40"/>
      <c r="L9" s="25"/>
      <c r="M9" s="25"/>
      <c r="N9" s="25"/>
      <c r="O9" s="25"/>
      <c r="P9" s="25"/>
      <c r="Q9" s="68"/>
      <c r="R9" s="8"/>
      <c r="S9" s="8"/>
    </row>
    <row r="10" spans="1:19" x14ac:dyDescent="0.35">
      <c r="A10" s="55"/>
      <c r="B10" s="17"/>
      <c r="C10" s="17"/>
      <c r="D10" s="17"/>
      <c r="E10" s="78"/>
      <c r="F10" s="17"/>
      <c r="G10" s="18"/>
      <c r="H10" s="52"/>
      <c r="I10" s="52"/>
      <c r="J10" s="52"/>
      <c r="K10" s="40"/>
      <c r="L10" s="25"/>
      <c r="M10" s="25"/>
      <c r="N10" s="25"/>
      <c r="O10" s="25"/>
      <c r="P10" s="25"/>
      <c r="Q10" s="68"/>
      <c r="R10" s="8"/>
      <c r="S10" s="8"/>
    </row>
    <row r="11" spans="1:19" x14ac:dyDescent="0.35">
      <c r="A11" s="55"/>
      <c r="B11" s="17"/>
      <c r="C11" s="17"/>
      <c r="D11" s="17"/>
      <c r="E11" s="78"/>
      <c r="F11" s="17"/>
      <c r="G11" s="18"/>
      <c r="H11" s="52"/>
      <c r="I11" s="52"/>
      <c r="J11" s="52"/>
      <c r="K11" s="40"/>
      <c r="L11" s="25"/>
      <c r="M11" s="25"/>
      <c r="N11" s="25"/>
      <c r="O11" s="25"/>
      <c r="P11" s="25"/>
      <c r="Q11" s="68"/>
      <c r="R11" s="8"/>
      <c r="S11" s="8"/>
    </row>
    <row r="12" spans="1:19" x14ac:dyDescent="0.35">
      <c r="A12" s="55"/>
      <c r="B12" s="17"/>
      <c r="C12" s="17"/>
      <c r="D12" s="17"/>
      <c r="E12" s="78"/>
      <c r="F12" s="17"/>
      <c r="G12" s="18"/>
      <c r="H12" s="52"/>
      <c r="I12" s="52"/>
      <c r="J12" s="52"/>
      <c r="K12" s="40"/>
      <c r="L12" s="25"/>
      <c r="M12" s="25"/>
      <c r="N12" s="25"/>
      <c r="O12" s="25"/>
      <c r="P12" s="25"/>
      <c r="Q12" s="68"/>
      <c r="R12" s="8"/>
      <c r="S12" s="8"/>
    </row>
    <row r="13" spans="1:19" x14ac:dyDescent="0.35">
      <c r="A13" s="55"/>
      <c r="B13" s="17"/>
      <c r="C13" s="17"/>
      <c r="D13" s="17"/>
      <c r="E13" s="78"/>
      <c r="F13" s="17"/>
      <c r="G13" s="18"/>
      <c r="H13" s="71"/>
      <c r="I13" s="52"/>
      <c r="J13" s="52"/>
      <c r="K13" s="40"/>
      <c r="L13" s="25"/>
      <c r="M13" s="25"/>
      <c r="N13" s="25"/>
      <c r="O13" s="25"/>
      <c r="P13" s="25"/>
      <c r="Q13" s="68"/>
      <c r="R13" s="8"/>
      <c r="S13" s="8"/>
    </row>
    <row r="14" spans="1:19" x14ac:dyDescent="0.35">
      <c r="A14" s="55"/>
      <c r="B14" s="17"/>
      <c r="C14" s="17"/>
      <c r="D14" s="17"/>
      <c r="E14" s="78"/>
      <c r="F14" s="17"/>
      <c r="G14" s="18"/>
      <c r="H14" s="52"/>
      <c r="I14" s="73"/>
      <c r="J14" s="52"/>
      <c r="K14" s="40"/>
      <c r="L14" s="25"/>
      <c r="M14" s="25"/>
      <c r="N14" s="25"/>
      <c r="O14" s="25"/>
      <c r="P14" s="25"/>
      <c r="Q14" s="68"/>
      <c r="R14" s="8"/>
      <c r="S14" s="8"/>
    </row>
    <row r="15" spans="1:19" x14ac:dyDescent="0.35">
      <c r="A15" s="55"/>
      <c r="B15" s="17"/>
      <c r="C15" s="17"/>
      <c r="D15" s="17"/>
      <c r="E15" s="78"/>
      <c r="F15" s="17"/>
      <c r="G15" s="18"/>
      <c r="H15" s="52"/>
      <c r="I15" s="52"/>
      <c r="J15" s="52"/>
      <c r="K15" s="40"/>
      <c r="L15" s="25"/>
      <c r="M15" s="25"/>
      <c r="N15" s="25"/>
      <c r="O15" s="25"/>
      <c r="P15" s="25"/>
      <c r="Q15" s="68"/>
      <c r="R15" s="8"/>
      <c r="S15" s="8"/>
    </row>
    <row r="16" spans="1:19" x14ac:dyDescent="0.35">
      <c r="A16" s="55"/>
      <c r="B16" s="17"/>
      <c r="C16" s="17"/>
      <c r="D16" s="17"/>
      <c r="E16" s="78"/>
      <c r="F16" s="17"/>
      <c r="G16" s="18"/>
      <c r="H16" s="71"/>
      <c r="I16" s="52"/>
      <c r="J16" s="52"/>
      <c r="K16" s="40"/>
      <c r="L16" s="25"/>
      <c r="M16" s="25"/>
      <c r="N16" s="25"/>
      <c r="O16" s="25"/>
      <c r="P16" s="25"/>
      <c r="Q16" s="68"/>
      <c r="R16" s="8"/>
      <c r="S16" s="8"/>
    </row>
    <row r="17" spans="1:19" x14ac:dyDescent="0.35">
      <c r="A17" s="55"/>
      <c r="B17" s="17"/>
      <c r="C17" s="17"/>
      <c r="D17" s="17"/>
      <c r="E17" s="78"/>
      <c r="F17" s="17"/>
      <c r="G17" s="18"/>
      <c r="H17" s="52"/>
      <c r="I17" s="52"/>
      <c r="J17" s="52"/>
      <c r="K17" s="40"/>
      <c r="L17" s="25"/>
      <c r="M17" s="25"/>
      <c r="N17" s="25"/>
      <c r="O17" s="25"/>
      <c r="P17" s="25"/>
      <c r="Q17" s="68"/>
      <c r="R17" s="8"/>
      <c r="S17" s="8"/>
    </row>
    <row r="18" spans="1:19" x14ac:dyDescent="0.35">
      <c r="A18" s="55"/>
      <c r="B18" s="17"/>
      <c r="C18" s="17"/>
      <c r="D18" s="17"/>
      <c r="E18" s="78"/>
      <c r="F18" s="17"/>
      <c r="G18" s="18"/>
      <c r="H18" s="52"/>
      <c r="I18" s="52"/>
      <c r="J18" s="52"/>
      <c r="K18" s="40"/>
      <c r="L18" s="25"/>
      <c r="M18" s="25"/>
      <c r="N18" s="25"/>
      <c r="O18" s="25"/>
      <c r="P18" s="25"/>
      <c r="Q18" s="68"/>
      <c r="R18" s="8"/>
      <c r="S18" s="8"/>
    </row>
    <row r="19" spans="1:19" x14ac:dyDescent="0.35">
      <c r="A19" s="55"/>
      <c r="B19" s="17"/>
      <c r="C19" s="17"/>
      <c r="D19" s="17"/>
      <c r="E19" s="78"/>
      <c r="F19" s="17"/>
      <c r="G19" s="18"/>
      <c r="H19" s="52"/>
      <c r="I19" s="52"/>
      <c r="J19" s="52"/>
      <c r="K19" s="40"/>
      <c r="L19" s="25"/>
      <c r="M19" s="25"/>
      <c r="N19" s="25"/>
      <c r="O19" s="25"/>
      <c r="P19" s="25"/>
      <c r="Q19" s="68"/>
      <c r="R19" s="8"/>
      <c r="S19" s="8"/>
    </row>
    <row r="20" spans="1:19" x14ac:dyDescent="0.35">
      <c r="A20" s="55"/>
      <c r="B20" s="17"/>
      <c r="C20" s="17"/>
      <c r="D20" s="17"/>
      <c r="E20" s="78"/>
      <c r="F20" s="17"/>
      <c r="G20" s="18"/>
      <c r="H20" s="52"/>
      <c r="I20" s="52"/>
      <c r="J20" s="52"/>
      <c r="K20" s="40"/>
      <c r="L20" s="25"/>
      <c r="M20" s="25"/>
      <c r="N20" s="25"/>
      <c r="O20" s="25"/>
      <c r="P20" s="25"/>
      <c r="Q20" s="68"/>
      <c r="R20" s="8"/>
      <c r="S20" s="8"/>
    </row>
    <row r="21" spans="1:19" x14ac:dyDescent="0.35">
      <c r="A21" s="55"/>
      <c r="B21" s="17"/>
      <c r="C21" s="17"/>
      <c r="D21" s="17"/>
      <c r="E21" s="78"/>
      <c r="F21" s="17"/>
      <c r="G21" s="18"/>
      <c r="H21" s="52"/>
      <c r="I21" s="52"/>
      <c r="J21" s="52"/>
      <c r="K21" s="40"/>
      <c r="L21" s="25"/>
      <c r="M21" s="25"/>
      <c r="N21" s="25"/>
      <c r="O21" s="25"/>
      <c r="P21" s="25"/>
      <c r="Q21" s="68"/>
      <c r="R21" s="8"/>
      <c r="S21" s="8"/>
    </row>
    <row r="22" spans="1:19" x14ac:dyDescent="0.35">
      <c r="A22" s="64"/>
      <c r="B22" s="17"/>
      <c r="C22" s="17"/>
      <c r="D22" s="17"/>
      <c r="E22" s="78"/>
      <c r="F22" s="17"/>
      <c r="G22" s="18"/>
      <c r="H22" s="52"/>
      <c r="I22" s="73"/>
      <c r="J22" s="52"/>
      <c r="K22" s="40"/>
      <c r="L22" s="25"/>
      <c r="M22" s="25"/>
      <c r="N22" s="25"/>
      <c r="O22" s="25"/>
      <c r="P22" s="25"/>
      <c r="Q22" s="68"/>
      <c r="R22" s="8"/>
      <c r="S22" s="8"/>
    </row>
    <row r="23" spans="1:19" x14ac:dyDescent="0.35">
      <c r="A23" s="55"/>
      <c r="B23" s="17"/>
      <c r="C23" s="17"/>
      <c r="D23" s="17"/>
      <c r="E23" s="78"/>
      <c r="F23" s="17"/>
      <c r="G23" s="18"/>
      <c r="H23" s="52"/>
      <c r="I23" s="52"/>
      <c r="J23" s="52"/>
      <c r="K23" s="40"/>
      <c r="L23" s="25"/>
      <c r="M23" s="25"/>
      <c r="N23" s="25"/>
      <c r="O23" s="25"/>
      <c r="P23" s="25"/>
      <c r="Q23" s="68"/>
      <c r="R23" s="8"/>
      <c r="S23" s="8"/>
    </row>
    <row r="24" spans="1:19" x14ac:dyDescent="0.35">
      <c r="A24" s="55"/>
      <c r="B24" s="17"/>
      <c r="C24" s="17"/>
      <c r="D24" s="17"/>
      <c r="E24" s="78"/>
      <c r="F24" s="17"/>
      <c r="G24" s="18"/>
      <c r="H24" s="52"/>
      <c r="I24" s="52"/>
      <c r="J24" s="52"/>
      <c r="K24" s="40"/>
      <c r="L24" s="25"/>
      <c r="M24" s="25"/>
      <c r="N24" s="25"/>
      <c r="O24" s="25"/>
      <c r="P24" s="25"/>
      <c r="Q24" s="68"/>
      <c r="R24" s="8"/>
      <c r="S24" s="8"/>
    </row>
    <row r="25" spans="1:19" x14ac:dyDescent="0.35">
      <c r="A25" s="55"/>
      <c r="B25" s="17"/>
      <c r="C25" s="17"/>
      <c r="D25" s="17"/>
      <c r="E25" s="78"/>
      <c r="F25" s="17"/>
      <c r="G25" s="18"/>
      <c r="H25" s="52"/>
      <c r="I25" s="52"/>
      <c r="J25" s="52"/>
      <c r="K25" s="40"/>
      <c r="L25" s="25"/>
      <c r="M25" s="25"/>
      <c r="N25" s="25"/>
      <c r="O25" s="25"/>
      <c r="P25" s="25"/>
      <c r="Q25" s="68"/>
      <c r="R25" s="8"/>
      <c r="S25" s="8"/>
    </row>
    <row r="26" spans="1:19" x14ac:dyDescent="0.35">
      <c r="A26" s="55"/>
      <c r="B26" s="17"/>
      <c r="C26" s="17"/>
      <c r="D26" s="17"/>
      <c r="E26" s="78"/>
      <c r="F26" s="17"/>
      <c r="G26" s="18"/>
      <c r="H26" s="71"/>
      <c r="I26" s="52"/>
      <c r="J26" s="52"/>
      <c r="K26" s="40"/>
      <c r="L26" s="25"/>
      <c r="M26" s="25"/>
      <c r="N26" s="25"/>
      <c r="O26" s="25"/>
      <c r="P26" s="25"/>
      <c r="Q26" s="68"/>
      <c r="R26" s="8"/>
      <c r="S26" s="8"/>
    </row>
    <row r="27" spans="1:19" x14ac:dyDescent="0.35">
      <c r="A27" s="55"/>
      <c r="B27" s="17"/>
      <c r="C27" s="17"/>
      <c r="D27" s="17"/>
      <c r="E27" s="78"/>
      <c r="F27" s="17"/>
      <c r="G27" s="18"/>
      <c r="H27" s="52"/>
      <c r="I27" s="52"/>
      <c r="J27" s="52"/>
      <c r="K27" s="40"/>
      <c r="L27" s="25"/>
      <c r="M27" s="25"/>
      <c r="N27" s="25"/>
      <c r="O27" s="25"/>
      <c r="P27" s="25"/>
      <c r="Q27" s="68"/>
      <c r="R27" s="8"/>
      <c r="S27" s="8"/>
    </row>
    <row r="28" spans="1:19" x14ac:dyDescent="0.35">
      <c r="A28" s="41"/>
      <c r="B28" s="17"/>
      <c r="C28" s="17"/>
      <c r="D28" s="17"/>
      <c r="E28" s="78"/>
      <c r="F28" s="17"/>
      <c r="G28" s="18"/>
      <c r="H28" s="52"/>
      <c r="I28" s="52"/>
      <c r="J28" s="52"/>
      <c r="K28" s="40"/>
      <c r="L28" s="25"/>
      <c r="M28" s="25"/>
      <c r="N28" s="25"/>
      <c r="O28" s="25"/>
      <c r="P28" s="25"/>
      <c r="Q28" s="68"/>
      <c r="R28" s="8"/>
      <c r="S28" s="8"/>
    </row>
    <row r="29" spans="1:19" x14ac:dyDescent="0.35">
      <c r="A29" s="55"/>
      <c r="B29" s="17"/>
      <c r="C29" s="17"/>
      <c r="D29" s="17"/>
      <c r="E29" s="78"/>
      <c r="F29" s="17"/>
      <c r="G29" s="18"/>
      <c r="H29" s="71"/>
      <c r="I29" s="52"/>
      <c r="J29" s="52"/>
      <c r="K29" s="40"/>
      <c r="L29" s="25"/>
      <c r="M29" s="25"/>
      <c r="N29" s="25"/>
      <c r="O29" s="25"/>
      <c r="P29" s="25"/>
      <c r="Q29" s="68"/>
      <c r="R29" s="8"/>
      <c r="S29" s="8"/>
    </row>
    <row r="30" spans="1:19" x14ac:dyDescent="0.35">
      <c r="A30" s="41"/>
      <c r="B30" s="17"/>
      <c r="C30" s="17"/>
      <c r="D30" s="17"/>
      <c r="E30" s="78"/>
      <c r="F30" s="17"/>
      <c r="G30" s="18"/>
      <c r="H30" s="52"/>
      <c r="I30" s="52"/>
      <c r="J30" s="52"/>
      <c r="K30" s="40"/>
      <c r="L30" s="25"/>
      <c r="M30" s="25"/>
      <c r="N30" s="25"/>
      <c r="O30" s="25"/>
      <c r="P30" s="25"/>
      <c r="Q30" s="68"/>
      <c r="R30" s="8"/>
      <c r="S30" s="8"/>
    </row>
    <row r="31" spans="1:19" x14ac:dyDescent="0.35">
      <c r="A31" s="55"/>
      <c r="B31" s="17"/>
      <c r="C31" s="17"/>
      <c r="D31" s="17"/>
      <c r="E31" s="78"/>
      <c r="F31" s="17"/>
      <c r="G31" s="18"/>
      <c r="H31" s="71"/>
      <c r="I31" s="73"/>
      <c r="J31" s="52"/>
      <c r="K31" s="40"/>
      <c r="L31" s="25"/>
      <c r="M31" s="25"/>
      <c r="N31" s="25"/>
      <c r="O31" s="25"/>
      <c r="P31" s="25"/>
      <c r="Q31" s="68"/>
      <c r="R31" s="8"/>
      <c r="S31" s="8"/>
    </row>
    <row r="32" spans="1:19" x14ac:dyDescent="0.35">
      <c r="A32" s="41"/>
      <c r="B32" s="17"/>
      <c r="C32" s="17"/>
      <c r="D32" s="17"/>
      <c r="E32" s="78"/>
      <c r="F32" s="17"/>
      <c r="G32" s="18"/>
      <c r="H32" s="52"/>
      <c r="I32" s="52"/>
      <c r="J32" s="52"/>
      <c r="K32" s="40"/>
      <c r="L32" s="25"/>
      <c r="M32" s="25"/>
      <c r="N32" s="25"/>
      <c r="O32" s="25"/>
      <c r="P32" s="25"/>
      <c r="Q32" s="68"/>
      <c r="R32" s="8"/>
      <c r="S32" s="8"/>
    </row>
    <row r="33" spans="1:19" x14ac:dyDescent="0.35">
      <c r="A33" s="55"/>
      <c r="B33" s="17"/>
      <c r="C33" s="17"/>
      <c r="D33" s="17"/>
      <c r="E33" s="78"/>
      <c r="F33" s="17"/>
      <c r="G33" s="18"/>
      <c r="H33" s="52"/>
      <c r="I33" s="52"/>
      <c r="J33" s="52"/>
      <c r="K33" s="40"/>
      <c r="L33" s="25"/>
      <c r="M33" s="25"/>
      <c r="N33" s="25"/>
      <c r="O33" s="25"/>
      <c r="P33" s="25"/>
      <c r="Q33" s="68"/>
      <c r="R33" s="8"/>
      <c r="S33" s="8"/>
    </row>
    <row r="34" spans="1:19" x14ac:dyDescent="0.35">
      <c r="A34" s="41"/>
      <c r="B34" s="17"/>
      <c r="C34" s="17"/>
      <c r="D34" s="17"/>
      <c r="E34" s="78"/>
      <c r="F34" s="17"/>
      <c r="G34" s="18"/>
      <c r="H34" s="52"/>
      <c r="I34" s="52"/>
      <c r="J34" s="52"/>
      <c r="K34" s="40"/>
      <c r="L34" s="25"/>
      <c r="M34" s="25"/>
      <c r="N34" s="25"/>
      <c r="O34" s="25"/>
      <c r="P34" s="25"/>
      <c r="Q34" s="68"/>
      <c r="R34" s="8"/>
      <c r="S34" s="8"/>
    </row>
    <row r="35" spans="1:19" x14ac:dyDescent="0.35">
      <c r="A35" s="55"/>
      <c r="B35" s="17"/>
      <c r="C35" s="17"/>
      <c r="D35" s="17"/>
      <c r="E35" s="78"/>
      <c r="F35" s="17"/>
      <c r="G35" s="18"/>
      <c r="H35" s="52"/>
      <c r="I35" s="52"/>
      <c r="J35" s="52"/>
      <c r="K35" s="40"/>
      <c r="L35" s="25"/>
      <c r="M35" s="25"/>
      <c r="N35" s="25"/>
      <c r="O35" s="25"/>
      <c r="P35" s="25"/>
      <c r="Q35" s="68"/>
      <c r="R35" s="8"/>
      <c r="S35" s="8"/>
    </row>
    <row r="36" spans="1:19" x14ac:dyDescent="0.35">
      <c r="A36" s="41"/>
      <c r="B36" s="17"/>
      <c r="C36" s="17"/>
      <c r="D36" s="17"/>
      <c r="E36" s="78"/>
      <c r="F36" s="17"/>
      <c r="G36" s="18"/>
      <c r="H36" s="52"/>
      <c r="I36" s="52"/>
      <c r="J36" s="52"/>
      <c r="K36" s="40"/>
      <c r="L36" s="25"/>
      <c r="M36" s="25"/>
      <c r="N36" s="25"/>
      <c r="O36" s="25"/>
      <c r="P36" s="25"/>
      <c r="Q36" s="68"/>
      <c r="R36" s="8"/>
      <c r="S36" s="8"/>
    </row>
    <row r="37" spans="1:19" x14ac:dyDescent="0.35">
      <c r="A37" s="55"/>
      <c r="B37" s="17"/>
      <c r="C37" s="17"/>
      <c r="D37" s="17"/>
      <c r="E37" s="78"/>
      <c r="F37" s="17"/>
      <c r="G37" s="18"/>
      <c r="H37" s="52"/>
      <c r="I37" s="52"/>
      <c r="J37" s="52"/>
      <c r="K37" s="40"/>
      <c r="L37" s="25"/>
      <c r="M37" s="25"/>
      <c r="N37" s="25"/>
      <c r="O37" s="25"/>
      <c r="P37" s="25"/>
      <c r="Q37" s="68"/>
      <c r="R37" s="8"/>
      <c r="S37" s="8"/>
    </row>
    <row r="38" spans="1:19" x14ac:dyDescent="0.35">
      <c r="A38" s="55"/>
      <c r="B38" s="17"/>
      <c r="C38" s="17"/>
      <c r="D38" s="17"/>
      <c r="E38" s="78"/>
      <c r="F38" s="17"/>
      <c r="G38" s="18"/>
      <c r="H38" s="71"/>
      <c r="I38" s="52"/>
      <c r="J38" s="52"/>
      <c r="K38" s="40"/>
      <c r="L38" s="25"/>
      <c r="M38" s="25"/>
      <c r="N38" s="25"/>
      <c r="O38" s="25"/>
      <c r="P38" s="25"/>
      <c r="Q38" s="68"/>
      <c r="R38" s="8"/>
      <c r="S38" s="8"/>
    </row>
    <row r="39" spans="1:19" x14ac:dyDescent="0.35">
      <c r="A39" s="55"/>
      <c r="B39" s="17"/>
      <c r="C39" s="17"/>
      <c r="D39" s="17"/>
      <c r="E39" s="78"/>
      <c r="F39" s="17"/>
      <c r="G39" s="18"/>
      <c r="H39" s="52"/>
      <c r="I39" s="52"/>
      <c r="J39" s="52"/>
      <c r="K39" s="40"/>
      <c r="L39" s="25"/>
      <c r="M39" s="25"/>
      <c r="N39" s="25"/>
      <c r="O39" s="25"/>
      <c r="P39" s="25"/>
      <c r="Q39" s="68"/>
      <c r="R39" s="8"/>
      <c r="S39" s="8"/>
    </row>
    <row r="40" spans="1:19" x14ac:dyDescent="0.35">
      <c r="A40" s="55"/>
      <c r="B40" s="17"/>
      <c r="C40" s="17"/>
      <c r="D40" s="17"/>
      <c r="E40" s="78"/>
      <c r="F40" s="17"/>
      <c r="G40" s="18"/>
      <c r="H40" s="71"/>
      <c r="I40" s="52"/>
      <c r="J40" s="52"/>
      <c r="K40" s="40"/>
      <c r="L40" s="25"/>
      <c r="M40" s="25"/>
      <c r="N40" s="25"/>
      <c r="O40" s="25"/>
      <c r="P40" s="25"/>
      <c r="Q40" s="68"/>
      <c r="R40" s="8"/>
      <c r="S40" s="8"/>
    </row>
    <row r="41" spans="1:19" x14ac:dyDescent="0.35">
      <c r="A41" s="55"/>
      <c r="B41" s="17"/>
      <c r="C41" s="17"/>
      <c r="D41" s="17"/>
      <c r="E41" s="78"/>
      <c r="F41" s="17"/>
      <c r="G41" s="18"/>
      <c r="H41" s="71"/>
      <c r="I41" s="52"/>
      <c r="J41" s="52"/>
      <c r="K41" s="40"/>
      <c r="L41" s="25"/>
      <c r="M41" s="25"/>
      <c r="N41" s="25"/>
      <c r="O41" s="25"/>
      <c r="P41" s="25"/>
      <c r="Q41" s="68"/>
      <c r="R41" s="8"/>
      <c r="S41" s="8"/>
    </row>
    <row r="42" spans="1:19" x14ac:dyDescent="0.35">
      <c r="A42" s="55"/>
      <c r="B42" s="17"/>
      <c r="C42" s="17"/>
      <c r="D42" s="17"/>
      <c r="E42" s="78"/>
      <c r="F42" s="17"/>
      <c r="G42" s="18"/>
      <c r="H42" s="52"/>
      <c r="I42" s="52"/>
      <c r="J42" s="52"/>
      <c r="K42" s="40"/>
      <c r="L42" s="25"/>
      <c r="M42" s="25"/>
      <c r="N42" s="25"/>
      <c r="O42" s="25"/>
      <c r="P42" s="25"/>
      <c r="Q42" s="68"/>
      <c r="R42" s="8"/>
      <c r="S42" s="8"/>
    </row>
    <row r="43" spans="1:19" x14ac:dyDescent="0.35">
      <c r="A43" s="55"/>
      <c r="B43" s="17"/>
      <c r="C43" s="17"/>
      <c r="D43" s="17"/>
      <c r="E43" s="78"/>
      <c r="F43" s="17"/>
      <c r="G43" s="18"/>
      <c r="H43" s="71"/>
      <c r="I43" s="52"/>
      <c r="J43" s="52"/>
      <c r="K43" s="40"/>
      <c r="L43" s="25"/>
      <c r="M43" s="25"/>
      <c r="N43" s="25"/>
      <c r="O43" s="25"/>
      <c r="P43" s="25"/>
      <c r="Q43" s="68"/>
      <c r="R43" s="8"/>
      <c r="S43" s="8"/>
    </row>
    <row r="44" spans="1:19" x14ac:dyDescent="0.35">
      <c r="A44" s="55"/>
      <c r="B44" s="17"/>
      <c r="C44" s="17"/>
      <c r="D44" s="17"/>
      <c r="E44" s="78"/>
      <c r="F44" s="17"/>
      <c r="G44" s="18"/>
      <c r="H44" s="71"/>
      <c r="I44" s="52"/>
      <c r="J44" s="52"/>
      <c r="K44" s="40"/>
      <c r="L44" s="25"/>
      <c r="M44" s="25"/>
      <c r="N44" s="25"/>
      <c r="O44" s="25"/>
      <c r="P44" s="25"/>
      <c r="Q44" s="68"/>
      <c r="R44" s="8"/>
      <c r="S44" s="8"/>
    </row>
    <row r="45" spans="1:19" x14ac:dyDescent="0.35">
      <c r="A45" s="55"/>
      <c r="B45" s="17"/>
      <c r="C45" s="17"/>
      <c r="D45" s="17"/>
      <c r="E45" s="78"/>
      <c r="F45" s="17"/>
      <c r="G45" s="18"/>
      <c r="H45" s="71"/>
      <c r="I45" s="52"/>
      <c r="J45" s="52"/>
      <c r="K45" s="40"/>
      <c r="L45" s="25"/>
      <c r="M45" s="25"/>
      <c r="N45" s="25"/>
      <c r="O45" s="25"/>
      <c r="P45" s="25"/>
      <c r="Q45" s="68"/>
      <c r="R45" s="8"/>
      <c r="S45" s="8"/>
    </row>
    <row r="46" spans="1:19" x14ac:dyDescent="0.35">
      <c r="A46" s="55"/>
      <c r="B46" s="17"/>
      <c r="C46" s="17"/>
      <c r="D46" s="17"/>
      <c r="E46" s="78"/>
      <c r="F46" s="17"/>
      <c r="G46" s="18"/>
      <c r="H46" s="71"/>
      <c r="I46" s="52"/>
      <c r="J46" s="52"/>
      <c r="K46" s="40"/>
      <c r="L46" s="25"/>
      <c r="M46" s="25"/>
      <c r="N46" s="25"/>
      <c r="O46" s="25"/>
      <c r="P46" s="25"/>
      <c r="Q46" s="68"/>
      <c r="R46" s="8"/>
      <c r="S46" s="8"/>
    </row>
    <row r="47" spans="1:19" x14ac:dyDescent="0.35">
      <c r="A47" s="55"/>
      <c r="B47" s="17"/>
      <c r="C47" s="17"/>
      <c r="D47" s="17"/>
      <c r="E47" s="78"/>
      <c r="F47" s="17"/>
      <c r="G47" s="18"/>
      <c r="H47" s="71"/>
      <c r="I47" s="52"/>
      <c r="J47" s="52"/>
      <c r="K47" s="40"/>
      <c r="L47" s="25"/>
      <c r="M47" s="25"/>
      <c r="N47" s="25"/>
      <c r="O47" s="25"/>
      <c r="P47" s="25"/>
      <c r="Q47" s="68"/>
      <c r="R47" s="9"/>
      <c r="S47" s="10"/>
    </row>
    <row r="48" spans="1:19" x14ac:dyDescent="0.35">
      <c r="A48" s="55"/>
      <c r="B48" s="17"/>
      <c r="C48" s="17"/>
      <c r="D48" s="17"/>
      <c r="E48" s="78"/>
      <c r="F48" s="17"/>
      <c r="G48" s="18"/>
      <c r="H48" s="52"/>
      <c r="I48" s="52"/>
      <c r="J48" s="52"/>
      <c r="K48" s="40"/>
      <c r="L48" s="25"/>
      <c r="M48" s="25"/>
      <c r="N48" s="25"/>
      <c r="O48" s="25"/>
      <c r="P48" s="25"/>
      <c r="Q48" s="68"/>
      <c r="R48" s="8"/>
      <c r="S48" s="8"/>
    </row>
    <row r="49" spans="1:19" x14ac:dyDescent="0.35">
      <c r="A49" s="55"/>
      <c r="B49" s="17"/>
      <c r="C49" s="17"/>
      <c r="D49" s="17"/>
      <c r="E49" s="78"/>
      <c r="F49" s="17"/>
      <c r="G49" s="18"/>
      <c r="H49" s="52"/>
      <c r="I49" s="52"/>
      <c r="J49" s="52"/>
      <c r="K49" s="40"/>
      <c r="L49" s="25"/>
      <c r="M49" s="25"/>
      <c r="N49" s="25"/>
      <c r="O49" s="25"/>
      <c r="P49" s="25"/>
      <c r="Q49" s="68"/>
      <c r="R49" s="8"/>
      <c r="S49" s="8"/>
    </row>
    <row r="50" spans="1:19" x14ac:dyDescent="0.35">
      <c r="A50" s="55"/>
      <c r="B50" s="17"/>
      <c r="C50" s="17"/>
      <c r="D50" s="17"/>
      <c r="E50" s="78"/>
      <c r="F50" s="17"/>
      <c r="G50" s="18"/>
      <c r="H50" s="52"/>
      <c r="I50" s="73"/>
      <c r="J50" s="52"/>
      <c r="K50" s="40"/>
      <c r="L50" s="25"/>
      <c r="M50" s="25"/>
      <c r="N50" s="25"/>
      <c r="O50" s="25"/>
      <c r="P50" s="25"/>
      <c r="Q50" s="68"/>
      <c r="R50" s="8"/>
      <c r="S50" s="8"/>
    </row>
    <row r="51" spans="1:19" x14ac:dyDescent="0.35">
      <c r="A51" s="55"/>
      <c r="B51" s="17"/>
      <c r="C51" s="17"/>
      <c r="D51" s="17"/>
      <c r="E51" s="78"/>
      <c r="F51" s="17"/>
      <c r="G51" s="18"/>
      <c r="H51" s="52"/>
      <c r="I51" s="73"/>
      <c r="J51" s="52"/>
      <c r="K51" s="40"/>
      <c r="L51" s="25"/>
      <c r="M51" s="25"/>
      <c r="N51" s="25"/>
      <c r="O51" s="25"/>
      <c r="P51" s="25"/>
      <c r="Q51" s="68"/>
      <c r="R51" s="8"/>
      <c r="S51" s="8"/>
    </row>
    <row r="52" spans="1:19" x14ac:dyDescent="0.35">
      <c r="A52" s="55"/>
      <c r="B52" s="17"/>
      <c r="C52" s="17"/>
      <c r="D52" s="17"/>
      <c r="E52" s="78"/>
      <c r="F52" s="17"/>
      <c r="G52" s="18"/>
      <c r="H52" s="52"/>
      <c r="I52" s="52"/>
      <c r="J52" s="52"/>
      <c r="K52" s="40"/>
      <c r="L52" s="25"/>
      <c r="M52" s="25"/>
      <c r="N52" s="25"/>
      <c r="O52" s="25"/>
      <c r="P52" s="25"/>
      <c r="Q52" s="68"/>
      <c r="R52" s="8"/>
      <c r="S52" s="8"/>
    </row>
    <row r="53" spans="1:19" x14ac:dyDescent="0.35">
      <c r="A53" s="55"/>
      <c r="B53" s="17"/>
      <c r="C53" s="17"/>
      <c r="D53" s="17"/>
      <c r="E53" s="78"/>
      <c r="F53" s="17"/>
      <c r="G53" s="18"/>
      <c r="H53" s="52"/>
      <c r="I53" s="52"/>
      <c r="J53" s="52"/>
      <c r="K53" s="40"/>
      <c r="L53" s="25"/>
      <c r="M53" s="25"/>
      <c r="N53" s="25"/>
      <c r="O53" s="25"/>
      <c r="P53" s="25"/>
      <c r="Q53" s="68"/>
      <c r="R53" s="8"/>
      <c r="S53" s="8"/>
    </row>
    <row r="54" spans="1:19" x14ac:dyDescent="0.35">
      <c r="A54" s="55"/>
      <c r="B54" s="17"/>
      <c r="C54" s="17"/>
      <c r="D54" s="17"/>
      <c r="E54" s="78"/>
      <c r="F54" s="17"/>
      <c r="G54" s="18"/>
      <c r="H54" s="52"/>
      <c r="I54" s="52"/>
      <c r="J54" s="52"/>
      <c r="K54" s="40"/>
      <c r="L54" s="25"/>
      <c r="M54" s="25"/>
      <c r="N54" s="25"/>
      <c r="O54" s="25"/>
      <c r="P54" s="25"/>
      <c r="Q54" s="68"/>
      <c r="R54" s="8"/>
      <c r="S54" s="8"/>
    </row>
    <row r="55" spans="1:19" x14ac:dyDescent="0.35">
      <c r="A55" s="55"/>
      <c r="B55" s="17"/>
      <c r="C55" s="17"/>
      <c r="D55" s="17"/>
      <c r="E55" s="78"/>
      <c r="F55" s="17"/>
      <c r="G55" s="18"/>
      <c r="H55" s="52"/>
      <c r="I55" s="73"/>
      <c r="J55" s="52"/>
      <c r="K55" s="40"/>
      <c r="L55" s="25"/>
      <c r="M55" s="25"/>
      <c r="N55" s="25"/>
      <c r="O55" s="25"/>
      <c r="P55" s="25"/>
      <c r="Q55" s="68"/>
      <c r="R55" s="8"/>
      <c r="S55" s="8"/>
    </row>
    <row r="56" spans="1:19" x14ac:dyDescent="0.35">
      <c r="A56" s="55"/>
      <c r="B56" s="17"/>
      <c r="C56" s="17"/>
      <c r="D56" s="17"/>
      <c r="E56" s="78"/>
      <c r="F56" s="17"/>
      <c r="G56" s="18"/>
      <c r="H56" s="52"/>
      <c r="I56" s="52"/>
      <c r="J56" s="52"/>
      <c r="K56" s="40"/>
      <c r="L56" s="25"/>
      <c r="M56" s="25"/>
      <c r="N56" s="25"/>
      <c r="O56" s="25"/>
      <c r="P56" s="25"/>
      <c r="Q56" s="68"/>
      <c r="R56" s="8"/>
      <c r="S56" s="8"/>
    </row>
    <row r="57" spans="1:19" x14ac:dyDescent="0.35">
      <c r="A57" s="72"/>
      <c r="B57" s="20"/>
      <c r="C57" s="17"/>
      <c r="D57" s="20"/>
      <c r="E57" s="78"/>
      <c r="F57" s="20"/>
      <c r="G57" s="18"/>
      <c r="H57" s="52"/>
      <c r="I57" s="52"/>
      <c r="J57" s="52"/>
      <c r="K57" s="40"/>
      <c r="L57" s="25"/>
      <c r="M57" s="25"/>
      <c r="N57" s="22"/>
      <c r="O57" s="23"/>
      <c r="P57" s="23"/>
      <c r="Q57" s="68"/>
      <c r="R57" s="8"/>
      <c r="S57" s="8"/>
    </row>
    <row r="58" spans="1:19" hidden="1" x14ac:dyDescent="0.35">
      <c r="A58" s="72"/>
      <c r="B58" s="20"/>
      <c r="C58" s="17"/>
      <c r="D58" s="20"/>
      <c r="E58" s="78"/>
      <c r="F58" s="20"/>
      <c r="G58" s="18"/>
      <c r="H58" s="52"/>
      <c r="I58" s="52"/>
      <c r="J58" s="52"/>
      <c r="K58" s="40"/>
      <c r="L58" s="25"/>
      <c r="M58" s="25"/>
      <c r="N58" s="22"/>
      <c r="O58" s="23"/>
      <c r="P58" s="23"/>
      <c r="Q58" s="68"/>
      <c r="R58" s="8"/>
      <c r="S58" s="8"/>
    </row>
    <row r="59" spans="1:19" x14ac:dyDescent="0.35">
      <c r="A59" s="72"/>
      <c r="B59" s="20"/>
      <c r="C59" s="17"/>
      <c r="D59" s="20"/>
      <c r="E59" s="78"/>
      <c r="F59" s="20"/>
      <c r="G59" s="18"/>
      <c r="H59" s="52"/>
      <c r="I59" s="52"/>
      <c r="J59" s="52"/>
      <c r="K59" s="40"/>
      <c r="L59" s="25"/>
      <c r="M59" s="25"/>
      <c r="N59" s="22"/>
      <c r="O59" s="23"/>
      <c r="P59" s="23"/>
      <c r="Q59" s="68"/>
      <c r="R59" s="8"/>
      <c r="S59" s="8"/>
    </row>
    <row r="60" spans="1:19" ht="15.5" x14ac:dyDescent="0.35">
      <c r="A60" s="42"/>
      <c r="B60" s="43"/>
      <c r="C60" s="44"/>
      <c r="D60" s="43"/>
      <c r="E60" s="43"/>
      <c r="F60" s="45"/>
      <c r="G60" s="46"/>
      <c r="H60" s="53"/>
      <c r="I60" s="53"/>
      <c r="J60" s="53"/>
      <c r="K60" s="56"/>
      <c r="L60" s="57"/>
      <c r="M60" s="57"/>
      <c r="N60" s="58"/>
      <c r="O60" s="59"/>
      <c r="P60" s="59"/>
      <c r="Q60" s="68"/>
      <c r="R60" s="8"/>
      <c r="S60" s="8"/>
    </row>
    <row r="61" spans="1:19" x14ac:dyDescent="0.35">
      <c r="A61" s="47"/>
      <c r="B61" s="44"/>
      <c r="C61" s="44"/>
      <c r="D61" s="44"/>
      <c r="E61" s="44"/>
      <c r="F61" s="44"/>
      <c r="G61" s="48"/>
      <c r="H61" s="53"/>
      <c r="I61" s="53"/>
      <c r="J61" s="53"/>
      <c r="K61" s="56"/>
      <c r="L61" s="57"/>
      <c r="M61" s="57"/>
      <c r="N61" s="57"/>
      <c r="O61" s="57"/>
      <c r="P61" s="57"/>
      <c r="Q61" s="68"/>
      <c r="R61" s="8"/>
      <c r="S61" s="8"/>
    </row>
    <row r="62" spans="1:19" x14ac:dyDescent="0.35">
      <c r="A62" s="47"/>
      <c r="B62" s="44"/>
      <c r="C62" s="44"/>
      <c r="D62" s="44"/>
      <c r="E62" s="44"/>
      <c r="F62" s="44"/>
      <c r="G62" s="48"/>
      <c r="H62" s="53"/>
      <c r="I62" s="53"/>
      <c r="J62" s="53"/>
      <c r="K62" s="56"/>
      <c r="L62" s="57"/>
      <c r="M62" s="57"/>
      <c r="N62" s="57"/>
      <c r="O62" s="57"/>
      <c r="P62" s="57"/>
      <c r="Q62" s="68"/>
      <c r="R62" s="8"/>
      <c r="S62" s="8"/>
    </row>
    <row r="63" spans="1:19" x14ac:dyDescent="0.35">
      <c r="A63" s="47"/>
      <c r="B63" s="44"/>
      <c r="C63" s="44"/>
      <c r="D63" s="44"/>
      <c r="E63" s="44"/>
      <c r="F63" s="44"/>
      <c r="G63" s="48"/>
      <c r="H63" s="53"/>
      <c r="I63" s="53"/>
      <c r="J63" s="53"/>
      <c r="K63" s="56"/>
      <c r="L63" s="57"/>
      <c r="M63" s="57"/>
      <c r="N63" s="57"/>
      <c r="O63" s="57"/>
      <c r="P63" s="57"/>
      <c r="Q63" s="68"/>
      <c r="R63" s="8"/>
      <c r="S63" s="8"/>
    </row>
    <row r="64" spans="1:19" x14ac:dyDescent="0.35">
      <c r="A64" s="47"/>
      <c r="B64" s="44"/>
      <c r="C64" s="44"/>
      <c r="D64" s="44"/>
      <c r="E64" s="44"/>
      <c r="F64" s="44"/>
      <c r="G64" s="48"/>
      <c r="H64" s="53"/>
      <c r="I64" s="53"/>
      <c r="J64" s="53"/>
      <c r="K64" s="56"/>
      <c r="L64" s="57"/>
      <c r="M64" s="57"/>
      <c r="N64" s="57"/>
      <c r="O64" s="57"/>
      <c r="P64" s="57"/>
      <c r="Q64" s="68"/>
      <c r="R64" s="8"/>
      <c r="S64" s="8"/>
    </row>
    <row r="65" spans="1:19" x14ac:dyDescent="0.35">
      <c r="A65" s="47"/>
      <c r="B65" s="44"/>
      <c r="C65" s="44"/>
      <c r="D65" s="44"/>
      <c r="E65" s="44"/>
      <c r="F65" s="44"/>
      <c r="G65" s="48"/>
      <c r="H65" s="53"/>
      <c r="I65" s="53"/>
      <c r="J65" s="53"/>
      <c r="K65" s="56"/>
      <c r="L65" s="57"/>
      <c r="M65" s="57"/>
      <c r="N65" s="57"/>
      <c r="O65" s="57"/>
      <c r="P65" s="57"/>
      <c r="Q65" s="68"/>
      <c r="R65" s="8"/>
      <c r="S65" s="8"/>
    </row>
    <row r="66" spans="1:19" x14ac:dyDescent="0.35">
      <c r="A66" s="47"/>
      <c r="B66" s="44"/>
      <c r="C66" s="44"/>
      <c r="D66" s="44"/>
      <c r="E66" s="44"/>
      <c r="F66" s="44"/>
      <c r="G66" s="48"/>
      <c r="H66" s="53"/>
      <c r="I66" s="53"/>
      <c r="J66" s="53"/>
      <c r="K66" s="56"/>
      <c r="L66" s="57"/>
      <c r="M66" s="57"/>
      <c r="N66" s="57"/>
      <c r="O66" s="57"/>
      <c r="P66" s="57"/>
      <c r="Q66" s="68"/>
      <c r="R66" s="8"/>
      <c r="S66" s="8"/>
    </row>
    <row r="67" spans="1:19" x14ac:dyDescent="0.35">
      <c r="A67" s="47"/>
      <c r="B67" s="44"/>
      <c r="C67" s="44"/>
      <c r="D67" s="44"/>
      <c r="E67" s="44"/>
      <c r="F67" s="44"/>
      <c r="G67" s="48"/>
      <c r="H67" s="53"/>
      <c r="I67" s="53"/>
      <c r="J67" s="53"/>
      <c r="K67" s="56"/>
      <c r="L67" s="57"/>
      <c r="M67" s="57"/>
      <c r="N67" s="57"/>
      <c r="O67" s="57"/>
      <c r="P67" s="57"/>
      <c r="Q67" s="68"/>
      <c r="R67" s="8"/>
      <c r="S67" s="8"/>
    </row>
    <row r="68" spans="1:19" x14ac:dyDescent="0.35">
      <c r="A68" s="47"/>
      <c r="B68" s="44"/>
      <c r="C68" s="44"/>
      <c r="D68" s="44"/>
      <c r="E68" s="44"/>
      <c r="F68" s="44"/>
      <c r="G68" s="48"/>
      <c r="H68" s="53"/>
      <c r="I68" s="53"/>
      <c r="J68" s="53"/>
      <c r="K68" s="56"/>
      <c r="L68" s="57"/>
      <c r="M68" s="57"/>
      <c r="N68" s="57"/>
      <c r="O68" s="57"/>
      <c r="P68" s="57"/>
      <c r="Q68" s="68"/>
      <c r="R68" s="8"/>
      <c r="S68" s="8"/>
    </row>
    <row r="69" spans="1:19" x14ac:dyDescent="0.35">
      <c r="A69" s="47"/>
      <c r="B69" s="44"/>
      <c r="C69" s="44"/>
      <c r="D69" s="44"/>
      <c r="E69" s="44"/>
      <c r="F69" s="44"/>
      <c r="G69" s="48"/>
      <c r="H69" s="53"/>
      <c r="I69" s="53"/>
      <c r="J69" s="53"/>
      <c r="K69" s="56"/>
      <c r="L69" s="57"/>
      <c r="M69" s="57"/>
      <c r="N69" s="57"/>
      <c r="O69" s="57"/>
      <c r="P69" s="57"/>
      <c r="Q69" s="68"/>
      <c r="R69" s="8"/>
      <c r="S69" s="8"/>
    </row>
    <row r="70" spans="1:19" x14ac:dyDescent="0.35">
      <c r="A70" s="47"/>
      <c r="B70" s="44"/>
      <c r="C70" s="44"/>
      <c r="D70" s="44"/>
      <c r="E70" s="44"/>
      <c r="F70" s="44"/>
      <c r="G70" s="48"/>
      <c r="H70" s="53"/>
      <c r="I70" s="53"/>
      <c r="J70" s="53"/>
      <c r="K70" s="56"/>
      <c r="L70" s="57"/>
      <c r="M70" s="57"/>
      <c r="N70" s="57"/>
      <c r="O70" s="57"/>
      <c r="P70" s="57"/>
      <c r="Q70" s="68"/>
      <c r="R70" s="8"/>
      <c r="S70" s="8"/>
    </row>
    <row r="71" spans="1:19" x14ac:dyDescent="0.35">
      <c r="A71" s="47"/>
      <c r="B71" s="44"/>
      <c r="C71" s="44"/>
      <c r="D71" s="44"/>
      <c r="E71" s="44"/>
      <c r="F71" s="44"/>
      <c r="G71" s="48"/>
      <c r="H71" s="53"/>
      <c r="I71" s="53"/>
      <c r="J71" s="53"/>
      <c r="K71" s="56"/>
      <c r="L71" s="57"/>
      <c r="M71" s="57"/>
      <c r="N71" s="57"/>
      <c r="O71" s="57"/>
      <c r="P71" s="57"/>
      <c r="Q71" s="68"/>
      <c r="R71" s="8"/>
      <c r="S71" s="8"/>
    </row>
    <row r="72" spans="1:19" x14ac:dyDescent="0.35">
      <c r="A72" s="47"/>
      <c r="B72" s="44"/>
      <c r="C72" s="44"/>
      <c r="D72" s="44"/>
      <c r="E72" s="44"/>
      <c r="F72" s="44"/>
      <c r="G72" s="48"/>
      <c r="H72" s="53"/>
      <c r="I72" s="53"/>
      <c r="J72" s="53"/>
      <c r="K72" s="56"/>
      <c r="L72" s="57"/>
      <c r="M72" s="57"/>
      <c r="N72" s="57"/>
      <c r="O72" s="57"/>
      <c r="P72" s="57"/>
      <c r="Q72" s="68"/>
      <c r="R72" s="8"/>
      <c r="S72" s="8"/>
    </row>
    <row r="73" spans="1:19" x14ac:dyDescent="0.35">
      <c r="A73" s="47"/>
      <c r="B73" s="44"/>
      <c r="C73" s="44"/>
      <c r="D73" s="44"/>
      <c r="E73" s="44"/>
      <c r="F73" s="44"/>
      <c r="G73" s="48"/>
      <c r="H73" s="53"/>
      <c r="I73" s="53"/>
      <c r="J73" s="53"/>
      <c r="K73" s="56"/>
      <c r="L73" s="57"/>
      <c r="M73" s="57"/>
      <c r="N73" s="57"/>
      <c r="O73" s="57"/>
      <c r="P73" s="57"/>
      <c r="Q73" s="68"/>
      <c r="R73" s="8"/>
      <c r="S73" s="8"/>
    </row>
    <row r="74" spans="1:19" x14ac:dyDescent="0.35">
      <c r="A74" s="47"/>
      <c r="B74" s="44"/>
      <c r="C74" s="44"/>
      <c r="D74" s="44"/>
      <c r="E74" s="44"/>
      <c r="F74" s="44"/>
      <c r="G74" s="48"/>
      <c r="H74" s="53"/>
      <c r="I74" s="53"/>
      <c r="J74" s="53"/>
      <c r="K74" s="56"/>
      <c r="L74" s="57"/>
      <c r="M74" s="57"/>
      <c r="N74" s="57"/>
      <c r="O74" s="57"/>
      <c r="P74" s="57"/>
      <c r="Q74" s="68"/>
      <c r="R74" s="8"/>
      <c r="S74" s="8"/>
    </row>
    <row r="75" spans="1:19" x14ac:dyDescent="0.35">
      <c r="A75" s="47"/>
      <c r="B75" s="44"/>
      <c r="C75" s="44"/>
      <c r="D75" s="44"/>
      <c r="E75" s="44"/>
      <c r="F75" s="44"/>
      <c r="G75" s="48"/>
      <c r="H75" s="53"/>
      <c r="I75" s="53"/>
      <c r="J75" s="53"/>
      <c r="K75" s="56"/>
      <c r="L75" s="57"/>
      <c r="M75" s="57"/>
      <c r="N75" s="57"/>
      <c r="O75" s="57"/>
      <c r="P75" s="57"/>
      <c r="Q75" s="68"/>
      <c r="R75" s="9"/>
      <c r="S75" s="10"/>
    </row>
    <row r="76" spans="1:19" x14ac:dyDescent="0.35">
      <c r="A76" s="47"/>
      <c r="B76" s="44"/>
      <c r="C76" s="44"/>
      <c r="D76" s="44"/>
      <c r="E76" s="44"/>
      <c r="F76" s="44"/>
      <c r="G76" s="48"/>
      <c r="H76" s="53"/>
      <c r="I76" s="53"/>
      <c r="J76" s="53"/>
      <c r="K76" s="56"/>
      <c r="L76" s="57"/>
      <c r="M76" s="57"/>
      <c r="N76" s="57"/>
      <c r="O76" s="57"/>
      <c r="P76" s="57"/>
      <c r="Q76" s="68"/>
      <c r="R76" s="8"/>
      <c r="S76" s="8"/>
    </row>
    <row r="77" spans="1:19" x14ac:dyDescent="0.35">
      <c r="A77" s="47"/>
      <c r="B77" s="44"/>
      <c r="C77" s="44"/>
      <c r="D77" s="44"/>
      <c r="E77" s="44"/>
      <c r="F77" s="44"/>
      <c r="G77" s="48"/>
      <c r="H77" s="53"/>
      <c r="I77" s="53"/>
      <c r="J77" s="53"/>
      <c r="K77" s="56"/>
      <c r="L77" s="57"/>
      <c r="M77" s="57"/>
      <c r="N77" s="57"/>
      <c r="O77" s="57"/>
      <c r="P77" s="57"/>
      <c r="Q77" s="68"/>
      <c r="R77" s="8"/>
      <c r="S77" s="8"/>
    </row>
    <row r="78" spans="1:19" x14ac:dyDescent="0.35">
      <c r="A78" s="47"/>
      <c r="B78" s="44"/>
      <c r="C78" s="44"/>
      <c r="D78" s="44"/>
      <c r="E78" s="44"/>
      <c r="F78" s="44"/>
      <c r="G78" s="48"/>
      <c r="H78" s="53"/>
      <c r="I78" s="53"/>
      <c r="J78" s="53"/>
      <c r="K78" s="56"/>
      <c r="L78" s="57"/>
      <c r="M78" s="57"/>
      <c r="N78" s="57"/>
      <c r="O78" s="57"/>
      <c r="P78" s="57"/>
      <c r="Q78" s="68"/>
      <c r="R78" s="8"/>
      <c r="S78" s="8"/>
    </row>
    <row r="79" spans="1:19" x14ac:dyDescent="0.35">
      <c r="A79" s="47"/>
      <c r="B79" s="44"/>
      <c r="C79" s="44"/>
      <c r="D79" s="44"/>
      <c r="E79" s="44"/>
      <c r="F79" s="44"/>
      <c r="G79" s="48"/>
      <c r="H79" s="53"/>
      <c r="I79" s="53"/>
      <c r="J79" s="53"/>
      <c r="K79" s="56"/>
      <c r="L79" s="57"/>
      <c r="M79" s="57"/>
      <c r="N79" s="57"/>
      <c r="O79" s="57"/>
      <c r="P79" s="57"/>
      <c r="Q79" s="68"/>
      <c r="R79" s="8"/>
      <c r="S79" s="8"/>
    </row>
    <row r="80" spans="1:19" x14ac:dyDescent="0.35">
      <c r="A80" s="47"/>
      <c r="B80" s="44"/>
      <c r="C80" s="44"/>
      <c r="D80" s="44"/>
      <c r="E80" s="44"/>
      <c r="F80" s="44"/>
      <c r="G80" s="48"/>
      <c r="H80" s="53"/>
      <c r="I80" s="53"/>
      <c r="J80" s="53"/>
      <c r="K80" s="56"/>
      <c r="L80" s="57"/>
      <c r="M80" s="57"/>
      <c r="N80" s="57"/>
      <c r="O80" s="57"/>
      <c r="P80" s="57"/>
      <c r="Q80" s="68"/>
      <c r="R80" s="8"/>
      <c r="S80" s="8"/>
    </row>
    <row r="81" spans="1:19" x14ac:dyDescent="0.35">
      <c r="A81" s="47"/>
      <c r="B81" s="44"/>
      <c r="C81" s="44"/>
      <c r="D81" s="44"/>
      <c r="E81" s="44"/>
      <c r="F81" s="44"/>
      <c r="G81" s="48"/>
      <c r="H81" s="53"/>
      <c r="I81" s="53"/>
      <c r="J81" s="53"/>
      <c r="K81" s="56"/>
      <c r="L81" s="57"/>
      <c r="M81" s="57"/>
      <c r="N81" s="57"/>
      <c r="O81" s="57"/>
      <c r="P81" s="57"/>
      <c r="Q81" s="68"/>
      <c r="R81" s="8"/>
      <c r="S81" s="8"/>
    </row>
    <row r="82" spans="1:19" x14ac:dyDescent="0.35">
      <c r="A82" s="47"/>
      <c r="B82" s="44"/>
      <c r="C82" s="44"/>
      <c r="D82" s="44"/>
      <c r="E82" s="44"/>
      <c r="F82" s="44"/>
      <c r="G82" s="48"/>
      <c r="H82" s="53"/>
      <c r="I82" s="53"/>
      <c r="J82" s="53"/>
      <c r="K82" s="56"/>
      <c r="L82" s="57"/>
      <c r="M82" s="57"/>
      <c r="N82" s="57"/>
      <c r="O82" s="57"/>
      <c r="P82" s="57"/>
      <c r="Q82" s="68"/>
      <c r="R82" s="8"/>
      <c r="S82" s="8"/>
    </row>
    <row r="83" spans="1:19" x14ac:dyDescent="0.35">
      <c r="A83" s="49"/>
      <c r="B83" s="50"/>
      <c r="C83" s="44"/>
      <c r="D83" s="44"/>
      <c r="E83" s="44"/>
      <c r="F83" s="44"/>
      <c r="G83" s="48"/>
      <c r="H83" s="53"/>
      <c r="I83" s="53"/>
      <c r="J83" s="53"/>
      <c r="K83" s="56"/>
      <c r="L83" s="57"/>
      <c r="M83" s="57"/>
      <c r="N83" s="57"/>
      <c r="O83" s="57"/>
      <c r="P83" s="57"/>
      <c r="Q83" s="68"/>
      <c r="R83" s="8"/>
      <c r="S83" s="8"/>
    </row>
    <row r="84" spans="1:19" x14ac:dyDescent="0.35">
      <c r="A84" s="49"/>
      <c r="B84" s="50"/>
      <c r="C84" s="44"/>
      <c r="D84" s="44"/>
      <c r="E84" s="44"/>
      <c r="F84" s="44"/>
      <c r="G84" s="48"/>
      <c r="H84" s="53"/>
      <c r="I84" s="53"/>
      <c r="J84" s="53"/>
      <c r="K84" s="56"/>
      <c r="L84" s="57"/>
      <c r="M84" s="57"/>
      <c r="N84" s="57"/>
      <c r="O84" s="57"/>
      <c r="P84" s="57"/>
      <c r="Q84" s="68"/>
      <c r="R84" s="8"/>
      <c r="S84" s="8"/>
    </row>
    <row r="85" spans="1:19" x14ac:dyDescent="0.35">
      <c r="A85" s="49"/>
      <c r="B85" s="50"/>
      <c r="C85" s="44"/>
      <c r="D85" s="44"/>
      <c r="E85" s="44"/>
      <c r="F85" s="44"/>
      <c r="G85" s="48"/>
      <c r="H85" s="53"/>
      <c r="I85" s="53"/>
      <c r="J85" s="53"/>
      <c r="K85" s="56"/>
      <c r="L85" s="57"/>
      <c r="M85" s="57"/>
      <c r="N85" s="57"/>
      <c r="O85" s="57"/>
      <c r="P85" s="57"/>
      <c r="Q85" s="68"/>
      <c r="R85" s="8"/>
      <c r="S85" s="8"/>
    </row>
    <row r="86" spans="1:19" x14ac:dyDescent="0.35">
      <c r="A86" s="49"/>
      <c r="B86" s="50"/>
      <c r="C86" s="44"/>
      <c r="D86" s="44"/>
      <c r="E86" s="44"/>
      <c r="F86" s="44"/>
      <c r="G86" s="48"/>
      <c r="H86" s="53"/>
      <c r="I86" s="53"/>
      <c r="J86" s="53"/>
      <c r="K86" s="56"/>
      <c r="L86" s="57"/>
      <c r="M86" s="57"/>
      <c r="N86" s="57"/>
      <c r="O86" s="57"/>
      <c r="P86" s="57"/>
      <c r="Q86" s="68"/>
      <c r="R86" s="8"/>
      <c r="S86" s="8"/>
    </row>
    <row r="87" spans="1:19" x14ac:dyDescent="0.35">
      <c r="A87" s="49"/>
      <c r="B87" s="50"/>
      <c r="C87" s="44"/>
      <c r="D87" s="44"/>
      <c r="E87" s="44"/>
      <c r="F87" s="44"/>
      <c r="G87" s="48"/>
      <c r="H87" s="53"/>
      <c r="I87" s="53"/>
      <c r="J87" s="53"/>
      <c r="K87" s="56"/>
      <c r="L87" s="57"/>
      <c r="M87" s="57"/>
      <c r="N87" s="57"/>
      <c r="O87" s="57"/>
      <c r="P87" s="57"/>
      <c r="Q87" s="68"/>
      <c r="R87" s="8"/>
      <c r="S87" s="8"/>
    </row>
    <row r="88" spans="1:19" x14ac:dyDescent="0.35">
      <c r="A88" s="49"/>
      <c r="B88" s="50"/>
      <c r="C88" s="44"/>
      <c r="D88" s="44"/>
      <c r="E88" s="44"/>
      <c r="F88" s="44"/>
      <c r="G88" s="48"/>
      <c r="H88" s="53"/>
      <c r="I88" s="53"/>
      <c r="J88" s="53"/>
      <c r="K88" s="56"/>
      <c r="L88" s="57"/>
      <c r="M88" s="57"/>
      <c r="N88" s="57"/>
      <c r="O88" s="57"/>
      <c r="P88" s="57"/>
      <c r="Q88" s="68"/>
      <c r="R88" s="8"/>
      <c r="S88" s="8"/>
    </row>
    <row r="89" spans="1:19" x14ac:dyDescent="0.35">
      <c r="A89" s="49"/>
      <c r="B89" s="50"/>
      <c r="C89" s="44"/>
      <c r="D89" s="44"/>
      <c r="E89" s="44"/>
      <c r="F89" s="44"/>
      <c r="G89" s="48"/>
      <c r="H89" s="53"/>
      <c r="I89" s="53"/>
      <c r="J89" s="53"/>
      <c r="K89" s="56"/>
      <c r="L89" s="57"/>
      <c r="M89" s="57"/>
      <c r="N89" s="57"/>
      <c r="O89" s="57"/>
      <c r="P89" s="57"/>
      <c r="Q89" s="68"/>
      <c r="R89" s="11"/>
      <c r="S89" s="11"/>
    </row>
    <row r="90" spans="1:19" x14ac:dyDescent="0.35">
      <c r="A90" s="49"/>
      <c r="B90" s="50"/>
      <c r="C90" s="44"/>
      <c r="D90" s="44"/>
      <c r="E90" s="44"/>
      <c r="F90" s="44"/>
      <c r="G90" s="48"/>
      <c r="H90" s="53"/>
      <c r="I90" s="53"/>
      <c r="J90" s="53"/>
      <c r="K90" s="56"/>
      <c r="L90" s="57"/>
      <c r="M90" s="57"/>
      <c r="N90" s="57"/>
      <c r="O90" s="57"/>
      <c r="P90" s="57"/>
      <c r="Q90" s="68"/>
      <c r="R90" s="8"/>
      <c r="S90" s="8"/>
    </row>
    <row r="91" spans="1:19" x14ac:dyDescent="0.35">
      <c r="A91" s="49"/>
      <c r="B91" s="50"/>
      <c r="C91" s="44"/>
      <c r="D91" s="44"/>
      <c r="E91" s="44"/>
      <c r="F91" s="44"/>
      <c r="G91" s="48"/>
      <c r="H91" s="53"/>
      <c r="I91" s="53"/>
      <c r="J91" s="53"/>
      <c r="K91" s="56"/>
      <c r="L91" s="57"/>
      <c r="M91" s="57"/>
      <c r="N91" s="57"/>
      <c r="O91" s="57"/>
      <c r="P91" s="57"/>
      <c r="Q91" s="68"/>
      <c r="R91" s="8"/>
      <c r="S91" s="8"/>
    </row>
    <row r="92" spans="1:19" x14ac:dyDescent="0.35">
      <c r="A92" s="49"/>
      <c r="B92" s="50"/>
      <c r="C92" s="44"/>
      <c r="D92" s="44"/>
      <c r="E92" s="44"/>
      <c r="F92" s="44"/>
      <c r="G92" s="48"/>
      <c r="H92" s="53"/>
      <c r="I92" s="53"/>
      <c r="J92" s="53"/>
      <c r="K92" s="56"/>
      <c r="L92" s="57"/>
      <c r="M92" s="57"/>
      <c r="N92" s="57"/>
      <c r="O92" s="57"/>
      <c r="P92" s="57"/>
      <c r="Q92" s="68"/>
      <c r="R92" s="8"/>
      <c r="S92" s="8"/>
    </row>
    <row r="93" spans="1:19" hidden="1" x14ac:dyDescent="0.35">
      <c r="A93" s="49"/>
      <c r="B93" s="50"/>
      <c r="C93" s="44"/>
      <c r="D93" s="44"/>
      <c r="E93" s="44"/>
      <c r="F93" s="44"/>
      <c r="G93" s="48"/>
      <c r="H93" s="53"/>
      <c r="I93" s="53"/>
      <c r="J93" s="53"/>
      <c r="K93" s="56"/>
      <c r="L93" s="57"/>
      <c r="M93" s="57"/>
      <c r="N93" s="57"/>
      <c r="O93" s="57"/>
      <c r="P93" s="57"/>
      <c r="Q93" s="68"/>
      <c r="R93" s="8"/>
      <c r="S93" s="8"/>
    </row>
    <row r="94" spans="1:19" hidden="1" x14ac:dyDescent="0.35">
      <c r="A94" s="49"/>
      <c r="B94" s="50"/>
      <c r="C94" s="44"/>
      <c r="D94" s="44"/>
      <c r="E94" s="44"/>
      <c r="F94" s="44"/>
      <c r="G94" s="48"/>
      <c r="H94" s="53"/>
      <c r="I94" s="53"/>
      <c r="J94" s="53"/>
      <c r="K94" s="56"/>
      <c r="L94" s="57"/>
      <c r="M94" s="57"/>
      <c r="N94" s="57"/>
      <c r="O94" s="57"/>
      <c r="P94" s="57"/>
      <c r="Q94" s="68"/>
      <c r="R94" s="8"/>
      <c r="S94" s="8"/>
    </row>
    <row r="95" spans="1:19" ht="9.75" hidden="1" customHeight="1" x14ac:dyDescent="0.35">
      <c r="A95" s="49"/>
      <c r="B95" s="50"/>
      <c r="C95" s="44"/>
      <c r="D95" s="44"/>
      <c r="E95" s="44"/>
      <c r="F95" s="44"/>
      <c r="G95" s="48"/>
      <c r="H95" s="53"/>
      <c r="I95" s="53"/>
      <c r="J95" s="53"/>
      <c r="K95" s="56"/>
      <c r="L95" s="57"/>
      <c r="M95" s="57"/>
      <c r="N95" s="57"/>
      <c r="O95" s="57"/>
      <c r="P95" s="57"/>
      <c r="Q95" s="68"/>
    </row>
    <row r="96" spans="1:19" x14ac:dyDescent="0.35">
      <c r="A96" s="49"/>
      <c r="B96" s="50"/>
      <c r="C96" s="44"/>
      <c r="D96" s="44"/>
      <c r="E96" s="44"/>
      <c r="F96" s="44"/>
      <c r="G96" s="48"/>
      <c r="H96" s="53"/>
      <c r="I96" s="53"/>
      <c r="J96" s="53"/>
      <c r="K96" s="56"/>
      <c r="L96" s="57"/>
      <c r="M96" s="57"/>
      <c r="N96" s="57"/>
      <c r="O96" s="57"/>
      <c r="P96" s="57"/>
      <c r="Q96" s="68"/>
    </row>
    <row r="97" spans="1:19" ht="15" thickBot="1" x14ac:dyDescent="0.4">
      <c r="A97" s="49"/>
      <c r="B97" s="50"/>
      <c r="C97" s="44"/>
      <c r="D97" s="44"/>
      <c r="E97" s="44"/>
      <c r="F97" s="44"/>
      <c r="G97" s="48"/>
      <c r="H97" s="53"/>
      <c r="I97" s="53"/>
      <c r="J97" s="53"/>
      <c r="K97" s="56"/>
      <c r="L97" s="57"/>
      <c r="M97" s="57"/>
      <c r="N97" s="57"/>
      <c r="O97" s="57"/>
      <c r="P97" s="57"/>
      <c r="Q97" s="68"/>
      <c r="R97" s="16"/>
      <c r="S97" s="16"/>
    </row>
    <row r="98" spans="1:19" ht="15" thickTop="1" x14ac:dyDescent="0.35">
      <c r="A98" s="49"/>
      <c r="B98" s="44"/>
      <c r="C98" s="44"/>
      <c r="D98" s="44"/>
      <c r="E98" s="44"/>
      <c r="F98" s="43"/>
      <c r="G98" s="48"/>
      <c r="H98" s="53"/>
      <c r="I98" s="53"/>
      <c r="J98" s="53"/>
      <c r="K98" s="56"/>
      <c r="L98" s="57"/>
      <c r="M98" s="57"/>
      <c r="N98" s="57"/>
      <c r="O98" s="57"/>
      <c r="P98" s="57"/>
      <c r="Q98" s="68"/>
    </row>
    <row r="99" spans="1:19" x14ac:dyDescent="0.35">
      <c r="A99" s="74"/>
      <c r="B99" s="44"/>
      <c r="C99" s="44"/>
      <c r="D99" s="44"/>
      <c r="E99" s="44"/>
      <c r="F99" s="43"/>
      <c r="G99" s="48"/>
      <c r="H99" s="53"/>
      <c r="I99" s="53"/>
      <c r="J99" s="53"/>
      <c r="K99" s="56"/>
      <c r="L99" s="57"/>
      <c r="M99" s="57"/>
      <c r="N99" s="57"/>
      <c r="O99" s="57"/>
      <c r="P99" s="59"/>
      <c r="Q99" s="68"/>
      <c r="R99" s="9"/>
      <c r="S99" s="10"/>
    </row>
    <row r="100" spans="1:19" x14ac:dyDescent="0.35">
      <c r="A100" s="74"/>
      <c r="B100" s="44"/>
      <c r="C100" s="44"/>
      <c r="D100" s="44"/>
      <c r="E100" s="44"/>
      <c r="F100" s="43"/>
      <c r="G100" s="48"/>
      <c r="H100" s="53"/>
      <c r="I100" s="53"/>
      <c r="J100" s="53"/>
      <c r="K100" s="56"/>
      <c r="L100" s="57"/>
      <c r="M100" s="57"/>
      <c r="N100" s="57"/>
      <c r="O100" s="57"/>
      <c r="P100" s="59"/>
      <c r="Q100" s="68"/>
      <c r="R100" s="8"/>
      <c r="S100" s="8"/>
    </row>
    <row r="101" spans="1:19" x14ac:dyDescent="0.35">
      <c r="A101" s="74"/>
      <c r="B101" s="44"/>
      <c r="C101" s="44"/>
      <c r="D101" s="44"/>
      <c r="E101" s="44"/>
      <c r="F101" s="43"/>
      <c r="G101" s="48"/>
      <c r="H101" s="53"/>
      <c r="I101" s="53"/>
      <c r="J101" s="53"/>
      <c r="K101" s="56"/>
      <c r="L101" s="57"/>
      <c r="M101" s="57"/>
      <c r="N101" s="57"/>
      <c r="O101" s="57"/>
      <c r="P101" s="59"/>
      <c r="Q101" s="68"/>
      <c r="R101" s="8"/>
      <c r="S101" s="8"/>
    </row>
    <row r="102" spans="1:19" ht="15.5" x14ac:dyDescent="0.35">
      <c r="A102" s="42"/>
      <c r="B102" s="44"/>
      <c r="C102" s="44"/>
      <c r="D102" s="44"/>
      <c r="E102" s="44"/>
      <c r="F102" s="43"/>
      <c r="G102" s="48"/>
      <c r="H102" s="53"/>
      <c r="I102" s="53"/>
      <c r="J102" s="53"/>
      <c r="K102" s="56"/>
      <c r="L102" s="57"/>
      <c r="M102" s="57"/>
      <c r="N102" s="57"/>
      <c r="O102" s="57"/>
      <c r="P102" s="59"/>
      <c r="Q102" s="68"/>
      <c r="R102" s="8"/>
      <c r="S102" s="8"/>
    </row>
    <row r="103" spans="1:19" x14ac:dyDescent="0.35">
      <c r="A103" s="49"/>
      <c r="B103" s="44"/>
      <c r="C103" s="44"/>
      <c r="D103" s="44"/>
      <c r="E103" s="44"/>
      <c r="F103" s="43"/>
      <c r="G103" s="48"/>
      <c r="H103" s="53"/>
      <c r="I103" s="53"/>
      <c r="J103" s="53"/>
      <c r="K103" s="56"/>
      <c r="L103" s="57"/>
      <c r="M103" s="57"/>
      <c r="N103" s="57"/>
      <c r="O103" s="57"/>
      <c r="P103" s="57"/>
      <c r="Q103" s="68"/>
      <c r="R103" s="8"/>
      <c r="S103" s="8"/>
    </row>
    <row r="104" spans="1:19" x14ac:dyDescent="0.35">
      <c r="A104" s="49"/>
      <c r="B104" s="44"/>
      <c r="C104" s="44"/>
      <c r="D104" s="44"/>
      <c r="E104" s="44"/>
      <c r="F104" s="43"/>
      <c r="G104" s="48"/>
      <c r="H104" s="53"/>
      <c r="I104" s="53"/>
      <c r="J104" s="53"/>
      <c r="K104" s="56"/>
      <c r="L104" s="57"/>
      <c r="M104" s="57"/>
      <c r="N104" s="57"/>
      <c r="O104" s="57"/>
      <c r="P104" s="57"/>
      <c r="Q104" s="68"/>
      <c r="R104" s="8"/>
      <c r="S104" s="8"/>
    </row>
    <row r="105" spans="1:19" x14ac:dyDescent="0.35">
      <c r="A105" s="49"/>
      <c r="B105" s="44"/>
      <c r="C105" s="44"/>
      <c r="D105" s="44"/>
      <c r="E105" s="44"/>
      <c r="F105" s="43"/>
      <c r="G105" s="48"/>
      <c r="H105" s="53"/>
      <c r="I105" s="53"/>
      <c r="J105" s="53"/>
      <c r="K105" s="56"/>
      <c r="L105" s="57"/>
      <c r="M105" s="57"/>
      <c r="N105" s="57"/>
      <c r="O105" s="57"/>
      <c r="P105" s="57"/>
      <c r="Q105" s="68"/>
      <c r="R105" s="8"/>
      <c r="S105" s="8"/>
    </row>
    <row r="106" spans="1:19" x14ac:dyDescent="0.35">
      <c r="A106" s="49"/>
      <c r="B106" s="44"/>
      <c r="C106" s="44"/>
      <c r="D106" s="44"/>
      <c r="E106" s="44"/>
      <c r="F106" s="43"/>
      <c r="G106" s="48"/>
      <c r="H106" s="53"/>
      <c r="I106" s="53"/>
      <c r="J106" s="53"/>
      <c r="K106" s="56"/>
      <c r="L106" s="57"/>
      <c r="M106" s="57"/>
      <c r="N106" s="57"/>
      <c r="O106" s="57"/>
      <c r="P106" s="57"/>
      <c r="Q106" s="68"/>
      <c r="R106" s="8"/>
      <c r="S106" s="8"/>
    </row>
    <row r="107" spans="1:19" hidden="1" x14ac:dyDescent="0.35">
      <c r="A107" s="49"/>
      <c r="B107" s="44"/>
      <c r="C107" s="44"/>
      <c r="D107" s="44"/>
      <c r="E107" s="44"/>
      <c r="F107" s="43"/>
      <c r="G107" s="48"/>
      <c r="H107" s="53"/>
      <c r="I107" s="53"/>
      <c r="J107" s="53"/>
      <c r="K107" s="56"/>
      <c r="L107" s="57"/>
      <c r="M107" s="57"/>
      <c r="N107" s="57"/>
      <c r="O107" s="57"/>
      <c r="P107" s="59"/>
      <c r="Q107" s="68"/>
      <c r="R107" s="8"/>
      <c r="S107" s="8"/>
    </row>
    <row r="108" spans="1:19" x14ac:dyDescent="0.35">
      <c r="A108" s="49"/>
      <c r="B108" s="44"/>
      <c r="C108" s="44"/>
      <c r="D108" s="44"/>
      <c r="E108" s="44"/>
      <c r="F108" s="43"/>
      <c r="G108" s="48"/>
      <c r="H108" s="53"/>
      <c r="I108" s="53"/>
      <c r="J108" s="53"/>
      <c r="K108" s="56"/>
      <c r="L108" s="57"/>
      <c r="M108" s="57"/>
      <c r="N108" s="57"/>
      <c r="O108" s="57"/>
      <c r="P108" s="59"/>
      <c r="Q108" s="68"/>
      <c r="R108" s="8"/>
      <c r="S108" s="8"/>
    </row>
    <row r="109" spans="1:19" x14ac:dyDescent="0.35">
      <c r="A109" s="49"/>
      <c r="B109" s="44"/>
      <c r="C109" s="44"/>
      <c r="D109" s="44"/>
      <c r="E109" s="44"/>
      <c r="F109" s="43"/>
      <c r="G109" s="48"/>
      <c r="H109" s="53"/>
      <c r="I109" s="53"/>
      <c r="J109" s="53"/>
      <c r="K109" s="56"/>
      <c r="L109" s="57"/>
      <c r="M109" s="57"/>
      <c r="N109" s="57"/>
      <c r="O109" s="57"/>
      <c r="P109" s="59"/>
      <c r="Q109" s="68"/>
      <c r="R109" s="8"/>
      <c r="S109" s="8"/>
    </row>
    <row r="110" spans="1:19" ht="15.5" x14ac:dyDescent="0.35">
      <c r="A110" s="21"/>
      <c r="B110" s="20"/>
      <c r="C110" s="17"/>
      <c r="D110" s="20"/>
      <c r="E110" s="17"/>
      <c r="F110" s="20"/>
      <c r="G110" s="18"/>
      <c r="H110" s="52"/>
      <c r="I110" s="52"/>
      <c r="J110" s="52"/>
      <c r="K110" s="40"/>
      <c r="L110" s="25"/>
      <c r="M110" s="25"/>
      <c r="N110" s="22"/>
      <c r="O110" s="23"/>
      <c r="P110" s="23"/>
      <c r="Q110" s="69"/>
    </row>
    <row r="111" spans="1:19" x14ac:dyDescent="0.35">
      <c r="A111" s="55"/>
      <c r="B111" s="17"/>
      <c r="C111" s="17"/>
      <c r="D111" s="17"/>
      <c r="E111" s="78"/>
      <c r="F111" s="17"/>
      <c r="G111" s="18"/>
      <c r="H111" s="52"/>
      <c r="I111" s="52"/>
      <c r="J111" s="52"/>
      <c r="K111" s="40"/>
      <c r="L111" s="25"/>
      <c r="M111" s="25"/>
      <c r="N111" s="25"/>
      <c r="O111" s="25"/>
      <c r="P111" s="25"/>
      <c r="Q111" s="68"/>
    </row>
    <row r="112" spans="1:19" x14ac:dyDescent="0.35">
      <c r="A112" s="55"/>
      <c r="B112" s="17"/>
      <c r="C112" s="17"/>
      <c r="D112" s="17"/>
      <c r="E112" s="78"/>
      <c r="F112" s="17"/>
      <c r="G112" s="18"/>
      <c r="H112" s="52"/>
      <c r="I112" s="52"/>
      <c r="J112" s="52"/>
      <c r="K112" s="40"/>
      <c r="L112" s="25"/>
      <c r="M112" s="25"/>
      <c r="N112" s="25"/>
      <c r="O112" s="25"/>
      <c r="P112" s="25"/>
      <c r="Q112" s="68"/>
    </row>
    <row r="113" spans="1:17" customFormat="1" x14ac:dyDescent="0.35">
      <c r="A113" s="55"/>
      <c r="B113" s="17"/>
      <c r="C113" s="17"/>
      <c r="D113" s="17"/>
      <c r="E113" s="78"/>
      <c r="F113" s="17"/>
      <c r="G113" s="18"/>
      <c r="H113" s="52"/>
      <c r="I113" s="52"/>
      <c r="J113" s="52"/>
      <c r="K113" s="40"/>
      <c r="L113" s="25"/>
      <c r="M113" s="25"/>
      <c r="N113" s="25"/>
      <c r="O113" s="25"/>
      <c r="P113" s="25"/>
      <c r="Q113" s="68"/>
    </row>
    <row r="114" spans="1:17" customFormat="1" x14ac:dyDescent="0.35">
      <c r="A114" s="55"/>
      <c r="B114" s="17"/>
      <c r="C114" s="17"/>
      <c r="D114" s="17"/>
      <c r="E114" s="78"/>
      <c r="F114" s="17"/>
      <c r="G114" s="18"/>
      <c r="H114" s="52"/>
      <c r="I114" s="52"/>
      <c r="J114" s="52"/>
      <c r="K114" s="40"/>
      <c r="L114" s="25"/>
      <c r="M114" s="25"/>
      <c r="N114" s="25"/>
      <c r="O114" s="25"/>
      <c r="P114" s="25"/>
      <c r="Q114" s="68"/>
    </row>
    <row r="115" spans="1:17" customFormat="1" x14ac:dyDescent="0.35">
      <c r="A115" s="55"/>
      <c r="B115" s="17"/>
      <c r="C115" s="17"/>
      <c r="D115" s="17"/>
      <c r="E115" s="78"/>
      <c r="F115" s="17"/>
      <c r="G115" s="18"/>
      <c r="H115" s="52"/>
      <c r="I115" s="52"/>
      <c r="J115" s="52"/>
      <c r="K115" s="40"/>
      <c r="L115" s="25"/>
      <c r="M115" s="25"/>
      <c r="N115" s="25"/>
      <c r="O115" s="25"/>
      <c r="P115" s="25"/>
      <c r="Q115" s="68"/>
    </row>
    <row r="116" spans="1:17" customFormat="1" x14ac:dyDescent="0.35">
      <c r="A116" s="55"/>
      <c r="B116" s="17"/>
      <c r="C116" s="17"/>
      <c r="D116" s="17"/>
      <c r="E116" s="78"/>
      <c r="F116" s="17"/>
      <c r="G116" s="18"/>
      <c r="H116" s="52"/>
      <c r="I116" s="52"/>
      <c r="J116" s="52"/>
      <c r="K116" s="40"/>
      <c r="L116" s="25"/>
      <c r="M116" s="25"/>
      <c r="N116" s="25"/>
      <c r="O116" s="25"/>
      <c r="P116" s="25"/>
      <c r="Q116" s="68"/>
    </row>
    <row r="117" spans="1:17" customFormat="1" x14ac:dyDescent="0.35">
      <c r="A117" s="55"/>
      <c r="B117" s="17"/>
      <c r="C117" s="17"/>
      <c r="D117" s="17"/>
      <c r="E117" s="78"/>
      <c r="F117" s="17"/>
      <c r="G117" s="18"/>
      <c r="H117" s="52"/>
      <c r="I117" s="52"/>
      <c r="J117" s="52"/>
      <c r="K117" s="40"/>
      <c r="L117" s="25"/>
      <c r="M117" s="25"/>
      <c r="N117" s="25"/>
      <c r="O117" s="25"/>
      <c r="P117" s="25"/>
      <c r="Q117" s="68"/>
    </row>
    <row r="118" spans="1:17" customFormat="1" x14ac:dyDescent="0.35">
      <c r="A118" s="55"/>
      <c r="B118" s="17"/>
      <c r="C118" s="17"/>
      <c r="D118" s="17"/>
      <c r="E118" s="78"/>
      <c r="F118" s="17"/>
      <c r="G118" s="18"/>
      <c r="H118" s="52"/>
      <c r="I118" s="52"/>
      <c r="J118" s="52"/>
      <c r="K118" s="40"/>
      <c r="L118" s="25"/>
      <c r="M118" s="25"/>
      <c r="N118" s="25"/>
      <c r="O118" s="25"/>
      <c r="P118" s="25"/>
      <c r="Q118" s="68"/>
    </row>
    <row r="119" spans="1:17" customFormat="1" ht="15" thickBot="1" x14ac:dyDescent="0.4">
      <c r="B119" s="39"/>
      <c r="C119" s="39"/>
      <c r="D119" s="39"/>
      <c r="E119" s="38"/>
      <c r="F119" s="38"/>
      <c r="G119" s="38"/>
      <c r="H119" s="54"/>
      <c r="I119" s="54"/>
      <c r="J119" s="54"/>
      <c r="K119" s="35"/>
      <c r="L119" s="36"/>
      <c r="M119" s="36"/>
      <c r="N119" s="36"/>
      <c r="O119" s="36"/>
      <c r="P119" s="36"/>
      <c r="Q119" s="70"/>
    </row>
    <row r="120" spans="1:17" customFormat="1" ht="15" thickTop="1" x14ac:dyDescent="0.35">
      <c r="C120" s="17"/>
      <c r="P120" s="34"/>
      <c r="Q120" s="34"/>
    </row>
    <row r="121" spans="1:17" customFormat="1" ht="15.5" x14ac:dyDescent="0.35">
      <c r="A121" s="21"/>
      <c r="B121" s="20"/>
      <c r="C121" s="17"/>
      <c r="D121" s="20"/>
      <c r="E121" s="20"/>
      <c r="F121" s="20"/>
      <c r="G121" s="37"/>
      <c r="H121" s="52"/>
      <c r="I121" s="52"/>
      <c r="J121" s="52"/>
      <c r="K121" s="40"/>
      <c r="L121" s="22"/>
      <c r="M121" s="22"/>
      <c r="N121" s="22"/>
      <c r="O121" s="23"/>
      <c r="P121" s="23"/>
      <c r="Q121" s="23"/>
    </row>
    <row r="122" spans="1:17" customFormat="1" x14ac:dyDescent="0.35">
      <c r="A122" s="24"/>
      <c r="B122" s="17"/>
      <c r="C122" s="17"/>
      <c r="D122" s="17"/>
      <c r="E122" s="78"/>
      <c r="F122" s="17"/>
      <c r="G122" s="17"/>
      <c r="H122" s="52"/>
      <c r="I122" s="52"/>
      <c r="J122" s="52"/>
      <c r="K122" s="40"/>
      <c r="L122" s="25"/>
      <c r="M122" s="25"/>
      <c r="N122" s="25"/>
      <c r="O122" s="25"/>
      <c r="P122" s="25"/>
      <c r="Q122" s="25"/>
    </row>
    <row r="123" spans="1:17" customFormat="1" x14ac:dyDescent="0.35">
      <c r="A123" s="24"/>
      <c r="B123" s="17"/>
      <c r="C123" s="17"/>
      <c r="D123" s="17"/>
      <c r="E123" s="78"/>
      <c r="F123" s="17"/>
      <c r="G123" s="17"/>
      <c r="H123" s="52"/>
      <c r="I123" s="52"/>
      <c r="J123" s="52"/>
      <c r="K123" s="40"/>
      <c r="L123" s="25"/>
      <c r="M123" s="25"/>
      <c r="N123" s="25"/>
      <c r="O123" s="25"/>
      <c r="P123" s="25"/>
      <c r="Q123" s="25"/>
    </row>
    <row r="124" spans="1:17" customFormat="1" x14ac:dyDescent="0.35">
      <c r="A124" s="33"/>
      <c r="B124" s="17"/>
      <c r="C124" s="17"/>
      <c r="D124" s="17"/>
      <c r="E124" s="78"/>
      <c r="F124" s="17"/>
      <c r="G124" s="17"/>
      <c r="H124" s="52"/>
      <c r="I124" s="52"/>
      <c r="J124" s="52"/>
      <c r="K124" s="40"/>
      <c r="L124" s="25"/>
      <c r="M124" s="25"/>
      <c r="N124" s="25"/>
      <c r="O124" s="25"/>
      <c r="P124" s="25"/>
      <c r="Q124" s="25"/>
    </row>
    <row r="125" spans="1:17" customFormat="1" x14ac:dyDescent="0.35">
      <c r="A125" s="24"/>
      <c r="B125" s="17"/>
      <c r="C125" s="17"/>
      <c r="D125" s="17"/>
      <c r="E125" s="78"/>
      <c r="F125" s="17"/>
      <c r="G125" s="18"/>
      <c r="H125" s="52"/>
      <c r="I125" s="52"/>
      <c r="J125" s="52"/>
      <c r="K125" s="40"/>
      <c r="L125" s="25"/>
      <c r="M125" s="25"/>
      <c r="N125" s="25"/>
      <c r="O125" s="25"/>
      <c r="P125" s="25"/>
      <c r="Q125" s="25"/>
    </row>
    <row r="126" spans="1:17" customFormat="1" x14ac:dyDescent="0.35">
      <c r="A126" s="24"/>
      <c r="B126" s="17"/>
      <c r="C126" s="17"/>
      <c r="D126" s="17"/>
      <c r="E126" s="78"/>
      <c r="F126" s="17"/>
      <c r="G126" s="18"/>
      <c r="H126" s="52"/>
      <c r="I126" s="52"/>
      <c r="J126" s="52"/>
      <c r="K126" s="40"/>
      <c r="L126" s="25"/>
      <c r="M126" s="25"/>
      <c r="N126" s="25"/>
      <c r="O126" s="25"/>
      <c r="P126" s="25"/>
      <c r="Q126" s="25"/>
    </row>
    <row r="127" spans="1:17" customFormat="1" x14ac:dyDescent="0.35">
      <c r="A127" s="24"/>
      <c r="B127" s="17"/>
      <c r="C127" s="17"/>
      <c r="D127" s="17"/>
      <c r="E127" s="78"/>
      <c r="F127" s="17"/>
      <c r="G127" s="18"/>
      <c r="H127" s="52"/>
      <c r="I127" s="52"/>
      <c r="J127" s="52"/>
      <c r="K127" s="40"/>
      <c r="L127" s="25"/>
      <c r="M127" s="25"/>
      <c r="N127" s="25"/>
      <c r="O127" s="25"/>
      <c r="P127" s="25"/>
      <c r="Q127" s="25"/>
    </row>
    <row r="128" spans="1:17" customFormat="1" x14ac:dyDescent="0.35">
      <c r="A128" s="24"/>
      <c r="B128" s="17"/>
      <c r="C128" s="17"/>
      <c r="D128" s="17"/>
      <c r="E128" s="78"/>
      <c r="F128" s="17"/>
      <c r="G128" s="18"/>
      <c r="H128" s="52"/>
      <c r="I128" s="52"/>
      <c r="J128" s="52"/>
      <c r="K128" s="40"/>
      <c r="L128" s="25"/>
      <c r="M128" s="25"/>
      <c r="N128" s="25"/>
      <c r="O128" s="25"/>
      <c r="P128" s="25"/>
      <c r="Q128" s="25"/>
    </row>
    <row r="129" spans="1:17" customFormat="1" x14ac:dyDescent="0.35">
      <c r="A129" s="24"/>
      <c r="B129" s="17"/>
      <c r="C129" s="17"/>
      <c r="D129" s="17"/>
      <c r="E129" s="78"/>
      <c r="F129" s="17"/>
      <c r="G129" s="18"/>
      <c r="H129" s="52"/>
      <c r="I129" s="52"/>
      <c r="J129" s="52"/>
      <c r="K129" s="40"/>
      <c r="L129" s="25"/>
      <c r="M129" s="25"/>
      <c r="N129" s="25"/>
      <c r="O129" s="25"/>
      <c r="P129" s="25"/>
      <c r="Q129" s="25"/>
    </row>
    <row r="130" spans="1:17" customFormat="1" x14ac:dyDescent="0.35">
      <c r="A130" s="24"/>
      <c r="B130" s="17"/>
      <c r="C130" s="17"/>
      <c r="D130" s="17"/>
      <c r="E130" s="78"/>
      <c r="F130" s="17"/>
      <c r="G130" s="18"/>
      <c r="H130" s="52"/>
      <c r="I130" s="52"/>
      <c r="J130" s="52"/>
      <c r="K130" s="40"/>
      <c r="L130" s="25"/>
      <c r="M130" s="25"/>
      <c r="N130" s="25"/>
      <c r="O130" s="25"/>
      <c r="P130" s="25"/>
      <c r="Q130" s="25"/>
    </row>
    <row r="131" spans="1:17" customFormat="1" x14ac:dyDescent="0.35">
      <c r="A131" s="24"/>
      <c r="B131" s="17"/>
      <c r="C131" s="17"/>
      <c r="D131" s="17"/>
      <c r="E131" s="78"/>
      <c r="F131" s="17"/>
      <c r="G131" s="18"/>
      <c r="H131" s="52"/>
      <c r="I131" s="52"/>
      <c r="J131" s="52"/>
      <c r="K131" s="40"/>
      <c r="L131" s="25"/>
      <c r="M131" s="25"/>
      <c r="N131" s="25"/>
      <c r="O131" s="25"/>
      <c r="P131" s="25"/>
      <c r="Q131" s="25"/>
    </row>
    <row r="132" spans="1:17" customFormat="1" x14ac:dyDescent="0.35">
      <c r="A132" s="24"/>
      <c r="B132" s="17"/>
      <c r="C132" s="17"/>
      <c r="D132" s="17"/>
      <c r="E132" s="78"/>
      <c r="F132" s="17"/>
      <c r="G132" s="18"/>
      <c r="H132" s="52"/>
      <c r="I132" s="52"/>
      <c r="J132" s="52"/>
      <c r="K132" s="40"/>
      <c r="L132" s="25"/>
      <c r="M132" s="25"/>
      <c r="N132" s="25"/>
      <c r="O132" s="25"/>
      <c r="P132" s="25"/>
      <c r="Q132" s="25"/>
    </row>
    <row r="133" spans="1:17" customFormat="1" x14ac:dyDescent="0.35">
      <c r="A133" s="24"/>
      <c r="B133" s="17"/>
      <c r="C133" s="17"/>
      <c r="D133" s="17"/>
      <c r="E133" s="78"/>
      <c r="F133" s="17"/>
      <c r="G133" s="18"/>
      <c r="H133" s="52"/>
      <c r="I133" s="52"/>
      <c r="J133" s="52"/>
      <c r="K133" s="40"/>
      <c r="L133" s="25"/>
      <c r="M133" s="25"/>
      <c r="N133" s="25"/>
      <c r="O133" s="25"/>
      <c r="P133" s="25"/>
      <c r="Q133" s="25"/>
    </row>
    <row r="134" spans="1:17" customFormat="1" x14ac:dyDescent="0.35">
      <c r="A134" s="24"/>
      <c r="B134" s="17"/>
      <c r="C134" s="17"/>
      <c r="D134" s="17"/>
      <c r="E134" s="78"/>
      <c r="F134" s="17"/>
      <c r="G134" s="18"/>
      <c r="H134" s="52"/>
      <c r="I134" s="52"/>
      <c r="J134" s="52"/>
      <c r="K134" s="40"/>
      <c r="L134" s="25"/>
      <c r="M134" s="25"/>
      <c r="N134" s="25"/>
      <c r="O134" s="25"/>
      <c r="P134" s="25"/>
      <c r="Q134" s="25"/>
    </row>
    <row r="135" spans="1:17" customFormat="1" x14ac:dyDescent="0.35">
      <c r="A135" s="24"/>
      <c r="B135" s="17"/>
      <c r="C135" s="17"/>
      <c r="D135" s="17"/>
      <c r="E135" s="78"/>
      <c r="F135" s="17"/>
      <c r="G135" s="18"/>
      <c r="H135" s="52"/>
      <c r="I135" s="52"/>
      <c r="J135" s="52"/>
      <c r="K135" s="40"/>
      <c r="L135" s="25"/>
      <c r="M135" s="25"/>
      <c r="N135" s="25"/>
      <c r="O135" s="25"/>
      <c r="P135" s="25"/>
      <c r="Q135" s="25"/>
    </row>
    <row r="136" spans="1:17" customFormat="1" x14ac:dyDescent="0.35">
      <c r="A136" s="24"/>
      <c r="B136" s="17"/>
      <c r="C136" s="17"/>
      <c r="D136" s="17"/>
      <c r="E136" s="78"/>
      <c r="F136" s="17"/>
      <c r="G136" s="18"/>
      <c r="H136" s="52"/>
      <c r="I136" s="52"/>
      <c r="J136" s="52"/>
      <c r="K136" s="40"/>
      <c r="L136" s="25"/>
      <c r="M136" s="25"/>
      <c r="N136" s="25"/>
      <c r="O136" s="25"/>
      <c r="P136" s="25"/>
      <c r="Q136" s="25"/>
    </row>
    <row r="137" spans="1:17" x14ac:dyDescent="0.35">
      <c r="A137" s="24"/>
      <c r="B137" s="17"/>
      <c r="C137" s="17"/>
      <c r="D137" s="17"/>
      <c r="E137" s="78"/>
      <c r="F137" s="17"/>
      <c r="G137" s="18"/>
      <c r="H137" s="52"/>
      <c r="I137" s="52"/>
      <c r="J137" s="52"/>
      <c r="K137" s="40"/>
      <c r="L137" s="25"/>
      <c r="M137" s="25"/>
      <c r="N137" s="25"/>
      <c r="O137" s="25"/>
      <c r="P137" s="25"/>
      <c r="Q137" s="25"/>
    </row>
    <row r="138" spans="1:17" x14ac:dyDescent="0.35">
      <c r="A138" s="24"/>
      <c r="B138" s="17"/>
      <c r="C138" s="17"/>
      <c r="D138" s="17"/>
      <c r="E138" s="78"/>
      <c r="F138" s="17"/>
      <c r="G138" s="18"/>
      <c r="H138" s="52"/>
      <c r="I138" s="52"/>
      <c r="J138" s="52"/>
      <c r="K138" s="40"/>
      <c r="L138" s="25"/>
      <c r="M138" s="25"/>
      <c r="N138" s="25"/>
      <c r="O138" s="25"/>
      <c r="P138" s="25"/>
      <c r="Q138" s="25"/>
    </row>
    <row r="139" spans="1:17" x14ac:dyDescent="0.35">
      <c r="A139" s="24"/>
      <c r="B139" s="17"/>
      <c r="C139" s="17"/>
      <c r="D139" s="17"/>
      <c r="E139" s="78"/>
      <c r="F139" s="17"/>
      <c r="G139" s="18"/>
      <c r="H139" s="52"/>
      <c r="I139" s="52"/>
      <c r="J139" s="52"/>
      <c r="K139" s="40"/>
      <c r="L139" s="25"/>
      <c r="M139" s="25"/>
      <c r="N139" s="25"/>
      <c r="O139" s="25"/>
      <c r="P139" s="25"/>
      <c r="Q139" s="25"/>
    </row>
    <row r="140" spans="1:17" x14ac:dyDescent="0.35">
      <c r="A140" s="24"/>
      <c r="B140" s="17"/>
      <c r="C140" s="17"/>
      <c r="D140" s="17"/>
      <c r="E140" s="78"/>
      <c r="F140" s="17"/>
      <c r="G140" s="18"/>
      <c r="H140" s="52"/>
      <c r="I140" s="52"/>
      <c r="J140" s="52"/>
      <c r="K140" s="40"/>
      <c r="L140" s="25"/>
      <c r="M140" s="25"/>
      <c r="N140" s="25"/>
      <c r="O140" s="25"/>
      <c r="P140" s="25"/>
      <c r="Q140" s="25"/>
    </row>
    <row r="141" spans="1:17" x14ac:dyDescent="0.35">
      <c r="A141" s="24"/>
      <c r="B141" s="17"/>
      <c r="C141" s="17"/>
      <c r="D141" s="17"/>
      <c r="E141" s="78"/>
      <c r="F141" s="17"/>
      <c r="G141" s="18"/>
      <c r="H141" s="52"/>
      <c r="I141" s="52"/>
      <c r="J141" s="52"/>
      <c r="K141" s="40"/>
      <c r="L141" s="25"/>
      <c r="M141" s="25"/>
      <c r="N141" s="25"/>
      <c r="O141" s="25"/>
      <c r="P141" s="25"/>
      <c r="Q141" s="25"/>
    </row>
    <row r="142" spans="1:17" x14ac:dyDescent="0.35">
      <c r="B142"/>
      <c r="C142"/>
      <c r="D142"/>
      <c r="F142"/>
      <c r="G142"/>
      <c r="H142"/>
      <c r="I142"/>
      <c r="J142"/>
      <c r="K142" s="12"/>
      <c r="L142"/>
      <c r="M142"/>
      <c r="N142"/>
      <c r="O142"/>
      <c r="P142"/>
      <c r="Q142"/>
    </row>
    <row r="144" spans="1:17" x14ac:dyDescent="0.35">
      <c r="B144"/>
      <c r="C144"/>
      <c r="D144"/>
      <c r="E144" s="79"/>
      <c r="F144"/>
      <c r="G144"/>
      <c r="H144"/>
      <c r="I144"/>
      <c r="J144"/>
      <c r="K144" s="12"/>
      <c r="L144"/>
      <c r="M144"/>
      <c r="N144"/>
      <c r="O144"/>
      <c r="P144"/>
      <c r="Q144"/>
    </row>
    <row r="145" spans="11:11" customFormat="1" x14ac:dyDescent="0.35"/>
    <row r="146" spans="11:11" customFormat="1" x14ac:dyDescent="0.35">
      <c r="K146" s="12"/>
    </row>
    <row r="147" spans="11:11" customFormat="1" x14ac:dyDescent="0.35"/>
    <row r="148" spans="11:11" customFormat="1" x14ac:dyDescent="0.35"/>
    <row r="149" spans="11:11" customFormat="1" x14ac:dyDescent="0.35"/>
    <row r="150" spans="11:11" customFormat="1" x14ac:dyDescent="0.35"/>
    <row r="151" spans="11:11" customFormat="1" x14ac:dyDescent="0.35"/>
    <row r="152" spans="11:11" customFormat="1" x14ac:dyDescent="0.35"/>
    <row r="153" spans="11:11" customFormat="1" x14ac:dyDescent="0.35"/>
    <row r="154" spans="11:11" customFormat="1" x14ac:dyDescent="0.35"/>
    <row r="155" spans="11:11" customFormat="1" x14ac:dyDescent="0.35"/>
    <row r="156" spans="11:11" customFormat="1" x14ac:dyDescent="0.35"/>
    <row r="157" spans="11:11" customFormat="1" x14ac:dyDescent="0.35"/>
    <row r="158" spans="11:11" customFormat="1" x14ac:dyDescent="0.35"/>
    <row r="159" spans="11:11" customFormat="1" x14ac:dyDescent="0.35"/>
    <row r="160" spans="11:11" customFormat="1" x14ac:dyDescent="0.35"/>
    <row r="161" customFormat="1" x14ac:dyDescent="0.35"/>
    <row r="162" customFormat="1" x14ac:dyDescent="0.35"/>
    <row r="163" customFormat="1" x14ac:dyDescent="0.35"/>
    <row r="164" customFormat="1" x14ac:dyDescent="0.35"/>
    <row r="165" customFormat="1" x14ac:dyDescent="0.35"/>
    <row r="166" customFormat="1" x14ac:dyDescent="0.35"/>
    <row r="167" customFormat="1" x14ac:dyDescent="0.35"/>
    <row r="168" customFormat="1" x14ac:dyDescent="0.35"/>
    <row r="169" customFormat="1" x14ac:dyDescent="0.35"/>
    <row r="170" customFormat="1" x14ac:dyDescent="0.35"/>
    <row r="171" customFormat="1" x14ac:dyDescent="0.35"/>
    <row r="172" customFormat="1" x14ac:dyDescent="0.35"/>
    <row r="173" customFormat="1" x14ac:dyDescent="0.35"/>
    <row r="174" customFormat="1" x14ac:dyDescent="0.35"/>
    <row r="175" customFormat="1" x14ac:dyDescent="0.35"/>
    <row r="176" customFormat="1" x14ac:dyDescent="0.35"/>
    <row r="177" customFormat="1" x14ac:dyDescent="0.35"/>
    <row r="178" customFormat="1" x14ac:dyDescent="0.35"/>
    <row r="179" customFormat="1" x14ac:dyDescent="0.35"/>
    <row r="180" customFormat="1" x14ac:dyDescent="0.35"/>
    <row r="181" customFormat="1" x14ac:dyDescent="0.35"/>
    <row r="182" customFormat="1" x14ac:dyDescent="0.35"/>
    <row r="183" customFormat="1" x14ac:dyDescent="0.35"/>
    <row r="184" customFormat="1" x14ac:dyDescent="0.35"/>
    <row r="185" customFormat="1" x14ac:dyDescent="0.35"/>
    <row r="186" customFormat="1" x14ac:dyDescent="0.35"/>
    <row r="187" customFormat="1" x14ac:dyDescent="0.35"/>
    <row r="188" customFormat="1" x14ac:dyDescent="0.35"/>
    <row r="189" customFormat="1" x14ac:dyDescent="0.35"/>
    <row r="190" customFormat="1" x14ac:dyDescent="0.35"/>
    <row r="191" customFormat="1" x14ac:dyDescent="0.35"/>
    <row r="192" customFormat="1" x14ac:dyDescent="0.35"/>
    <row r="193" customFormat="1" x14ac:dyDescent="0.35"/>
    <row r="194" customFormat="1" x14ac:dyDescent="0.35"/>
    <row r="195" customFormat="1" x14ac:dyDescent="0.35"/>
    <row r="196" customFormat="1" x14ac:dyDescent="0.35"/>
    <row r="197" customFormat="1" x14ac:dyDescent="0.35"/>
    <row r="198" customFormat="1" x14ac:dyDescent="0.35"/>
    <row r="199" customFormat="1" x14ac:dyDescent="0.35"/>
    <row r="200" customFormat="1" x14ac:dyDescent="0.35"/>
    <row r="201" customFormat="1" x14ac:dyDescent="0.35"/>
    <row r="202" customFormat="1" x14ac:dyDescent="0.35"/>
    <row r="203" customFormat="1" x14ac:dyDescent="0.35"/>
    <row r="204" customFormat="1" x14ac:dyDescent="0.35"/>
    <row r="205" customFormat="1" x14ac:dyDescent="0.35"/>
    <row r="206" customFormat="1" x14ac:dyDescent="0.35"/>
    <row r="207" customFormat="1" x14ac:dyDescent="0.35"/>
    <row r="208" customFormat="1" x14ac:dyDescent="0.35"/>
    <row r="209" customFormat="1" x14ac:dyDescent="0.35"/>
    <row r="210" customFormat="1" x14ac:dyDescent="0.35"/>
    <row r="211" customFormat="1" x14ac:dyDescent="0.35"/>
    <row r="212" customFormat="1" x14ac:dyDescent="0.35"/>
    <row r="213" customFormat="1" x14ac:dyDescent="0.35"/>
    <row r="214" customFormat="1" x14ac:dyDescent="0.35"/>
    <row r="215" customFormat="1" x14ac:dyDescent="0.35"/>
    <row r="216" customFormat="1" x14ac:dyDescent="0.35"/>
    <row r="217" customFormat="1" x14ac:dyDescent="0.35"/>
    <row r="218" customFormat="1" x14ac:dyDescent="0.35"/>
    <row r="219" customFormat="1" x14ac:dyDescent="0.35"/>
    <row r="220" customFormat="1" x14ac:dyDescent="0.35"/>
    <row r="221" customFormat="1" x14ac:dyDescent="0.35"/>
    <row r="222" customFormat="1" x14ac:dyDescent="0.35"/>
    <row r="223" customFormat="1" x14ac:dyDescent="0.35"/>
    <row r="224" customFormat="1" x14ac:dyDescent="0.35"/>
    <row r="225" customFormat="1" x14ac:dyDescent="0.35"/>
    <row r="226" customFormat="1" x14ac:dyDescent="0.35"/>
    <row r="227" customFormat="1" x14ac:dyDescent="0.35"/>
    <row r="228" customFormat="1" x14ac:dyDescent="0.35"/>
    <row r="229" customFormat="1" x14ac:dyDescent="0.35"/>
    <row r="230" customFormat="1" x14ac:dyDescent="0.35"/>
    <row r="231" customFormat="1" x14ac:dyDescent="0.35"/>
    <row r="232" customFormat="1" x14ac:dyDescent="0.35"/>
    <row r="233" customFormat="1" x14ac:dyDescent="0.35"/>
    <row r="234" customFormat="1" x14ac:dyDescent="0.35"/>
    <row r="235" customFormat="1" x14ac:dyDescent="0.35"/>
    <row r="236" customFormat="1" x14ac:dyDescent="0.35"/>
    <row r="237" customFormat="1" x14ac:dyDescent="0.35"/>
    <row r="238" customFormat="1" x14ac:dyDescent="0.35"/>
    <row r="239" customFormat="1" x14ac:dyDescent="0.35"/>
    <row r="240" customFormat="1" x14ac:dyDescent="0.35"/>
    <row r="241" customFormat="1" x14ac:dyDescent="0.35"/>
    <row r="242" customFormat="1" x14ac:dyDescent="0.35"/>
    <row r="243" customFormat="1" x14ac:dyDescent="0.35"/>
    <row r="244" customFormat="1" x14ac:dyDescent="0.35"/>
    <row r="245" customFormat="1" x14ac:dyDescent="0.35"/>
    <row r="246" customFormat="1" x14ac:dyDescent="0.35"/>
    <row r="247" customFormat="1" x14ac:dyDescent="0.35"/>
    <row r="248" customFormat="1" x14ac:dyDescent="0.35"/>
    <row r="249" customFormat="1" x14ac:dyDescent="0.35"/>
    <row r="250" customFormat="1" x14ac:dyDescent="0.35"/>
    <row r="251" customFormat="1" x14ac:dyDescent="0.35"/>
    <row r="252" customFormat="1" x14ac:dyDescent="0.35"/>
    <row r="253" customFormat="1" x14ac:dyDescent="0.35"/>
    <row r="254" customFormat="1" x14ac:dyDescent="0.35"/>
    <row r="255" customFormat="1" x14ac:dyDescent="0.35"/>
    <row r="256" customFormat="1" x14ac:dyDescent="0.35"/>
    <row r="257" customFormat="1" x14ac:dyDescent="0.35"/>
    <row r="258" customFormat="1" x14ac:dyDescent="0.35"/>
    <row r="259" customFormat="1" x14ac:dyDescent="0.35"/>
    <row r="260" customFormat="1" x14ac:dyDescent="0.35"/>
    <row r="261" customFormat="1" x14ac:dyDescent="0.35"/>
    <row r="262" customFormat="1" x14ac:dyDescent="0.35"/>
    <row r="263" customFormat="1" x14ac:dyDescent="0.35"/>
    <row r="264" customFormat="1" x14ac:dyDescent="0.35"/>
    <row r="265" customFormat="1" x14ac:dyDescent="0.35"/>
    <row r="266" customFormat="1" x14ac:dyDescent="0.35"/>
    <row r="267" customFormat="1" x14ac:dyDescent="0.35"/>
    <row r="268" customFormat="1" x14ac:dyDescent="0.35"/>
    <row r="269" customFormat="1" x14ac:dyDescent="0.35"/>
    <row r="270" customFormat="1" x14ac:dyDescent="0.35"/>
    <row r="271" customFormat="1" x14ac:dyDescent="0.35"/>
    <row r="272" customFormat="1" x14ac:dyDescent="0.35"/>
    <row r="273" customFormat="1" x14ac:dyDescent="0.35"/>
    <row r="274" customFormat="1" x14ac:dyDescent="0.35"/>
    <row r="275" customFormat="1" x14ac:dyDescent="0.35"/>
    <row r="276" customFormat="1" x14ac:dyDescent="0.35"/>
    <row r="277" customFormat="1" x14ac:dyDescent="0.35"/>
    <row r="278" customFormat="1" x14ac:dyDescent="0.35"/>
    <row r="279" customFormat="1" x14ac:dyDescent="0.35"/>
    <row r="280" customFormat="1" x14ac:dyDescent="0.35"/>
    <row r="281" customFormat="1" x14ac:dyDescent="0.35"/>
    <row r="282" customFormat="1" x14ac:dyDescent="0.35"/>
    <row r="283" customFormat="1" x14ac:dyDescent="0.35"/>
    <row r="284" customFormat="1" x14ac:dyDescent="0.35"/>
    <row r="285" customFormat="1" x14ac:dyDescent="0.35"/>
    <row r="286" customFormat="1" x14ac:dyDescent="0.35"/>
    <row r="287" customFormat="1" x14ac:dyDescent="0.35"/>
    <row r="288" customFormat="1" x14ac:dyDescent="0.35"/>
    <row r="289" customFormat="1" x14ac:dyDescent="0.35"/>
    <row r="290" customFormat="1" x14ac:dyDescent="0.35"/>
    <row r="291" customFormat="1" x14ac:dyDescent="0.35"/>
    <row r="292" customFormat="1" x14ac:dyDescent="0.35"/>
    <row r="293" customFormat="1" x14ac:dyDescent="0.35"/>
    <row r="294" customFormat="1" x14ac:dyDescent="0.35"/>
    <row r="295" customFormat="1" x14ac:dyDescent="0.35"/>
    <row r="296" customFormat="1" x14ac:dyDescent="0.35"/>
    <row r="297" customFormat="1" x14ac:dyDescent="0.35"/>
    <row r="298" customFormat="1" x14ac:dyDescent="0.35"/>
    <row r="299" customFormat="1" x14ac:dyDescent="0.35"/>
    <row r="300" customFormat="1" x14ac:dyDescent="0.35"/>
    <row r="301" customFormat="1" x14ac:dyDescent="0.35"/>
    <row r="302" customFormat="1" x14ac:dyDescent="0.35"/>
    <row r="303" customFormat="1" x14ac:dyDescent="0.35"/>
    <row r="304" customFormat="1" x14ac:dyDescent="0.35"/>
    <row r="305" customFormat="1" x14ac:dyDescent="0.35"/>
    <row r="306" customFormat="1" x14ac:dyDescent="0.35"/>
    <row r="307" customFormat="1" x14ac:dyDescent="0.35"/>
    <row r="308" customFormat="1" x14ac:dyDescent="0.35"/>
    <row r="309" customFormat="1" x14ac:dyDescent="0.35"/>
    <row r="310" customFormat="1" x14ac:dyDescent="0.35"/>
    <row r="311" customFormat="1" x14ac:dyDescent="0.35"/>
    <row r="312" customFormat="1" x14ac:dyDescent="0.35"/>
    <row r="313" customFormat="1" x14ac:dyDescent="0.35"/>
    <row r="314" customFormat="1" x14ac:dyDescent="0.35"/>
    <row r="315" customFormat="1" x14ac:dyDescent="0.35"/>
    <row r="316" customFormat="1" x14ac:dyDescent="0.35"/>
    <row r="317" customFormat="1" x14ac:dyDescent="0.35"/>
    <row r="318" customFormat="1" x14ac:dyDescent="0.35"/>
    <row r="319" customFormat="1" x14ac:dyDescent="0.35"/>
    <row r="320" customFormat="1" x14ac:dyDescent="0.35"/>
    <row r="321" customFormat="1" x14ac:dyDescent="0.35"/>
    <row r="322" customFormat="1" x14ac:dyDescent="0.35"/>
    <row r="323" customFormat="1" x14ac:dyDescent="0.35"/>
    <row r="324" customFormat="1" x14ac:dyDescent="0.35"/>
    <row r="325" customFormat="1" x14ac:dyDescent="0.35"/>
    <row r="326" customFormat="1" x14ac:dyDescent="0.35"/>
    <row r="327" customFormat="1" x14ac:dyDescent="0.35"/>
    <row r="328" customFormat="1" x14ac:dyDescent="0.35"/>
    <row r="329" customFormat="1" x14ac:dyDescent="0.35"/>
    <row r="330" customFormat="1" x14ac:dyDescent="0.35"/>
    <row r="331" customFormat="1" x14ac:dyDescent="0.35"/>
    <row r="332" customFormat="1" x14ac:dyDescent="0.35"/>
    <row r="333" customFormat="1" x14ac:dyDescent="0.35"/>
    <row r="334" customFormat="1" x14ac:dyDescent="0.35"/>
    <row r="335" customFormat="1" x14ac:dyDescent="0.35"/>
    <row r="336" customFormat="1" x14ac:dyDescent="0.35"/>
    <row r="337" customFormat="1" x14ac:dyDescent="0.35"/>
    <row r="338" customFormat="1" x14ac:dyDescent="0.35"/>
    <row r="339" customFormat="1" x14ac:dyDescent="0.35"/>
    <row r="340" customFormat="1" x14ac:dyDescent="0.35"/>
    <row r="341" customFormat="1" x14ac:dyDescent="0.35"/>
    <row r="342" customFormat="1" x14ac:dyDescent="0.35"/>
    <row r="343" customFormat="1" x14ac:dyDescent="0.35"/>
    <row r="344" customFormat="1" x14ac:dyDescent="0.35"/>
    <row r="345" customFormat="1" x14ac:dyDescent="0.35"/>
    <row r="346" customFormat="1" x14ac:dyDescent="0.35"/>
    <row r="347" customFormat="1" x14ac:dyDescent="0.35"/>
    <row r="348" customFormat="1" x14ac:dyDescent="0.35"/>
    <row r="349" customFormat="1" x14ac:dyDescent="0.35"/>
    <row r="350" customFormat="1" x14ac:dyDescent="0.35"/>
    <row r="351" customFormat="1" x14ac:dyDescent="0.35"/>
    <row r="352" customFormat="1" x14ac:dyDescent="0.35"/>
    <row r="353" customFormat="1" x14ac:dyDescent="0.35"/>
    <row r="354" customFormat="1" x14ac:dyDescent="0.35"/>
    <row r="355" customFormat="1" x14ac:dyDescent="0.35"/>
    <row r="356" customFormat="1" x14ac:dyDescent="0.35"/>
    <row r="357" customFormat="1" x14ac:dyDescent="0.35"/>
    <row r="358" customFormat="1" x14ac:dyDescent="0.35"/>
    <row r="359" customFormat="1" x14ac:dyDescent="0.35"/>
    <row r="360" customFormat="1" x14ac:dyDescent="0.35"/>
    <row r="361" customFormat="1" x14ac:dyDescent="0.35"/>
    <row r="362" customFormat="1" x14ac:dyDescent="0.35"/>
    <row r="363" customFormat="1" x14ac:dyDescent="0.35"/>
    <row r="364" customFormat="1" x14ac:dyDescent="0.35"/>
    <row r="365" customFormat="1" x14ac:dyDescent="0.35"/>
    <row r="366" customFormat="1" x14ac:dyDescent="0.35"/>
    <row r="367" customFormat="1" x14ac:dyDescent="0.35"/>
    <row r="368" customFormat="1" x14ac:dyDescent="0.35"/>
    <row r="369" customFormat="1" x14ac:dyDescent="0.35"/>
    <row r="370" customFormat="1" x14ac:dyDescent="0.35"/>
    <row r="371" customFormat="1" x14ac:dyDescent="0.35"/>
    <row r="372" customFormat="1" x14ac:dyDescent="0.35"/>
    <row r="373" customFormat="1" x14ac:dyDescent="0.35"/>
    <row r="374" customFormat="1" x14ac:dyDescent="0.35"/>
    <row r="375" customFormat="1" x14ac:dyDescent="0.35"/>
    <row r="376" customFormat="1" x14ac:dyDescent="0.35"/>
    <row r="377" customFormat="1" x14ac:dyDescent="0.35"/>
    <row r="378" customFormat="1" x14ac:dyDescent="0.35"/>
    <row r="379" customFormat="1" x14ac:dyDescent="0.35"/>
    <row r="380" customFormat="1" x14ac:dyDescent="0.35"/>
    <row r="381" customFormat="1" x14ac:dyDescent="0.35"/>
    <row r="382" customFormat="1" x14ac:dyDescent="0.35"/>
    <row r="383" customFormat="1" x14ac:dyDescent="0.35"/>
    <row r="384" customFormat="1" x14ac:dyDescent="0.35"/>
    <row r="385" customFormat="1" x14ac:dyDescent="0.35"/>
    <row r="386" customFormat="1" x14ac:dyDescent="0.35"/>
    <row r="387" customFormat="1" x14ac:dyDescent="0.35"/>
    <row r="388" customFormat="1" x14ac:dyDescent="0.35"/>
    <row r="389" customFormat="1" x14ac:dyDescent="0.35"/>
    <row r="390" customFormat="1" x14ac:dyDescent="0.35"/>
    <row r="391" customFormat="1" x14ac:dyDescent="0.35"/>
    <row r="392" customFormat="1" x14ac:dyDescent="0.35"/>
    <row r="393" customFormat="1" x14ac:dyDescent="0.35"/>
    <row r="394" customFormat="1" x14ac:dyDescent="0.35"/>
    <row r="395" customFormat="1" x14ac:dyDescent="0.35"/>
    <row r="396" customFormat="1" x14ac:dyDescent="0.35"/>
    <row r="397" customFormat="1" x14ac:dyDescent="0.35"/>
    <row r="398" customFormat="1" x14ac:dyDescent="0.35"/>
    <row r="399" customFormat="1" x14ac:dyDescent="0.35"/>
    <row r="400" customFormat="1" x14ac:dyDescent="0.35"/>
    <row r="401" customFormat="1" x14ac:dyDescent="0.35"/>
    <row r="402" customFormat="1" x14ac:dyDescent="0.35"/>
    <row r="403" customFormat="1" x14ac:dyDescent="0.35"/>
    <row r="404" customFormat="1" x14ac:dyDescent="0.35"/>
    <row r="405" customFormat="1" x14ac:dyDescent="0.35"/>
    <row r="406" customFormat="1" x14ac:dyDescent="0.35"/>
    <row r="407" customFormat="1" x14ac:dyDescent="0.35"/>
    <row r="408" customFormat="1" x14ac:dyDescent="0.35"/>
    <row r="409" customFormat="1" x14ac:dyDescent="0.35"/>
    <row r="410" customFormat="1" x14ac:dyDescent="0.35"/>
    <row r="411" customFormat="1" x14ac:dyDescent="0.35"/>
    <row r="412" customFormat="1" x14ac:dyDescent="0.35"/>
    <row r="413" customFormat="1" x14ac:dyDescent="0.35"/>
    <row r="414" customFormat="1" x14ac:dyDescent="0.35"/>
    <row r="415" customFormat="1" x14ac:dyDescent="0.35"/>
    <row r="416" customFormat="1" x14ac:dyDescent="0.35"/>
    <row r="417" customFormat="1" x14ac:dyDescent="0.35"/>
    <row r="418" customFormat="1" x14ac:dyDescent="0.35"/>
    <row r="419" customFormat="1" x14ac:dyDescent="0.35"/>
    <row r="420" customFormat="1" x14ac:dyDescent="0.35"/>
    <row r="421" customFormat="1" x14ac:dyDescent="0.35"/>
    <row r="422" customFormat="1" x14ac:dyDescent="0.35"/>
    <row r="423" customFormat="1" x14ac:dyDescent="0.35"/>
    <row r="424" customFormat="1" x14ac:dyDescent="0.35"/>
    <row r="425" customFormat="1" x14ac:dyDescent="0.35"/>
    <row r="426" customFormat="1" x14ac:dyDescent="0.35"/>
    <row r="427" customFormat="1" x14ac:dyDescent="0.35"/>
    <row r="428" customFormat="1" x14ac:dyDescent="0.35"/>
    <row r="429" customFormat="1" x14ac:dyDescent="0.35"/>
    <row r="430" customFormat="1" x14ac:dyDescent="0.35"/>
    <row r="431" customFormat="1" x14ac:dyDescent="0.35"/>
    <row r="432" customFormat="1" x14ac:dyDescent="0.35"/>
    <row r="433" customFormat="1" x14ac:dyDescent="0.35"/>
    <row r="434" customFormat="1" x14ac:dyDescent="0.35"/>
    <row r="435" customFormat="1" x14ac:dyDescent="0.35"/>
    <row r="436" customFormat="1" x14ac:dyDescent="0.35"/>
    <row r="437" customFormat="1" x14ac:dyDescent="0.35"/>
    <row r="438" customFormat="1" x14ac:dyDescent="0.35"/>
    <row r="439" customFormat="1" x14ac:dyDescent="0.35"/>
    <row r="440" customFormat="1" x14ac:dyDescent="0.35"/>
    <row r="441" customFormat="1" x14ac:dyDescent="0.35"/>
    <row r="442" customFormat="1" x14ac:dyDescent="0.35"/>
    <row r="443" customFormat="1" x14ac:dyDescent="0.35"/>
    <row r="444" customFormat="1" x14ac:dyDescent="0.35"/>
    <row r="445" customFormat="1" x14ac:dyDescent="0.35"/>
    <row r="446" customFormat="1" x14ac:dyDescent="0.35"/>
    <row r="447" customFormat="1" x14ac:dyDescent="0.35"/>
    <row r="448" customFormat="1" x14ac:dyDescent="0.35"/>
    <row r="449" customFormat="1" x14ac:dyDescent="0.35"/>
    <row r="450" customFormat="1" x14ac:dyDescent="0.35"/>
    <row r="451" customFormat="1" x14ac:dyDescent="0.35"/>
    <row r="452" customFormat="1" x14ac:dyDescent="0.35"/>
    <row r="453" customFormat="1" x14ac:dyDescent="0.35"/>
    <row r="454" customFormat="1" x14ac:dyDescent="0.35"/>
    <row r="455" customFormat="1" x14ac:dyDescent="0.35"/>
    <row r="456" customFormat="1" x14ac:dyDescent="0.35"/>
    <row r="457" customFormat="1" x14ac:dyDescent="0.35"/>
    <row r="458" customFormat="1" x14ac:dyDescent="0.35"/>
    <row r="459" customFormat="1" x14ac:dyDescent="0.35"/>
    <row r="460" customFormat="1" x14ac:dyDescent="0.35"/>
    <row r="461" customFormat="1" x14ac:dyDescent="0.35"/>
    <row r="462" customFormat="1" x14ac:dyDescent="0.35"/>
    <row r="463" customFormat="1" x14ac:dyDescent="0.35"/>
    <row r="464" customFormat="1" x14ac:dyDescent="0.35"/>
    <row r="465" customFormat="1" x14ac:dyDescent="0.35"/>
    <row r="466" customFormat="1" x14ac:dyDescent="0.35"/>
    <row r="467" customFormat="1" x14ac:dyDescent="0.35"/>
    <row r="468" customFormat="1" x14ac:dyDescent="0.35"/>
    <row r="469" customFormat="1" x14ac:dyDescent="0.35"/>
    <row r="470" customFormat="1" x14ac:dyDescent="0.35"/>
    <row r="471" customFormat="1" x14ac:dyDescent="0.35"/>
    <row r="472" customFormat="1" x14ac:dyDescent="0.35"/>
    <row r="473" customFormat="1" x14ac:dyDescent="0.35"/>
    <row r="474" customFormat="1" x14ac:dyDescent="0.35"/>
    <row r="475" customFormat="1" x14ac:dyDescent="0.35"/>
    <row r="476" customFormat="1" x14ac:dyDescent="0.35"/>
    <row r="477" customFormat="1" x14ac:dyDescent="0.35"/>
    <row r="478" customFormat="1" x14ac:dyDescent="0.35"/>
    <row r="479" customFormat="1" x14ac:dyDescent="0.35"/>
    <row r="480" customFormat="1" x14ac:dyDescent="0.35"/>
    <row r="481" customFormat="1" x14ac:dyDescent="0.35"/>
    <row r="482" customFormat="1" x14ac:dyDescent="0.35"/>
    <row r="483" customFormat="1" x14ac:dyDescent="0.35"/>
    <row r="484" customFormat="1" x14ac:dyDescent="0.35"/>
    <row r="485" customFormat="1" x14ac:dyDescent="0.35"/>
    <row r="486" customFormat="1" x14ac:dyDescent="0.35"/>
    <row r="487" customFormat="1" x14ac:dyDescent="0.35"/>
    <row r="488" customFormat="1" x14ac:dyDescent="0.35"/>
    <row r="489" customFormat="1" x14ac:dyDescent="0.35"/>
    <row r="490" customFormat="1" x14ac:dyDescent="0.35"/>
    <row r="491" customFormat="1" x14ac:dyDescent="0.35"/>
    <row r="492" customFormat="1" x14ac:dyDescent="0.35"/>
    <row r="493" customFormat="1" x14ac:dyDescent="0.35"/>
    <row r="494" customFormat="1" x14ac:dyDescent="0.35"/>
    <row r="495" customFormat="1" x14ac:dyDescent="0.35"/>
    <row r="496" customFormat="1" x14ac:dyDescent="0.35"/>
    <row r="497" customFormat="1" x14ac:dyDescent="0.35"/>
    <row r="498" customFormat="1" x14ac:dyDescent="0.35"/>
    <row r="499" customFormat="1" x14ac:dyDescent="0.35"/>
    <row r="500" customFormat="1" x14ac:dyDescent="0.35"/>
    <row r="501" customFormat="1" x14ac:dyDescent="0.35"/>
    <row r="502" customFormat="1" x14ac:dyDescent="0.35"/>
    <row r="503" customFormat="1" x14ac:dyDescent="0.35"/>
    <row r="504" customFormat="1" x14ac:dyDescent="0.35"/>
    <row r="505" customFormat="1" x14ac:dyDescent="0.35"/>
    <row r="506" customFormat="1" x14ac:dyDescent="0.35"/>
    <row r="507" customFormat="1" x14ac:dyDescent="0.35"/>
    <row r="508" customFormat="1" x14ac:dyDescent="0.35"/>
    <row r="509" customFormat="1" x14ac:dyDescent="0.35"/>
    <row r="510" customFormat="1" x14ac:dyDescent="0.35"/>
    <row r="511" customFormat="1" x14ac:dyDescent="0.35"/>
    <row r="512" customFormat="1" x14ac:dyDescent="0.35"/>
    <row r="513" customFormat="1" x14ac:dyDescent="0.35"/>
    <row r="514" customFormat="1" x14ac:dyDescent="0.35"/>
    <row r="515" customFormat="1" x14ac:dyDescent="0.35"/>
    <row r="516" customFormat="1" x14ac:dyDescent="0.35"/>
    <row r="517" customFormat="1" x14ac:dyDescent="0.35"/>
    <row r="518" customFormat="1" x14ac:dyDescent="0.35"/>
    <row r="519" customFormat="1" x14ac:dyDescent="0.35"/>
    <row r="520" customFormat="1" x14ac:dyDescent="0.35"/>
    <row r="521" customFormat="1" x14ac:dyDescent="0.35"/>
    <row r="522" customFormat="1" x14ac:dyDescent="0.35"/>
    <row r="523" customFormat="1" x14ac:dyDescent="0.35"/>
    <row r="524" customFormat="1" x14ac:dyDescent="0.35"/>
    <row r="525" customFormat="1" x14ac:dyDescent="0.35"/>
    <row r="526" customFormat="1" x14ac:dyDescent="0.35"/>
    <row r="527" customFormat="1" x14ac:dyDescent="0.35"/>
    <row r="528" customFormat="1" x14ac:dyDescent="0.35"/>
    <row r="529" customFormat="1" x14ac:dyDescent="0.35"/>
    <row r="530" customFormat="1" x14ac:dyDescent="0.35"/>
    <row r="531" customFormat="1" x14ac:dyDescent="0.35"/>
    <row r="532" customFormat="1" x14ac:dyDescent="0.35"/>
    <row r="533" customFormat="1" x14ac:dyDescent="0.35"/>
    <row r="534" customFormat="1" x14ac:dyDescent="0.35"/>
    <row r="535" customFormat="1" x14ac:dyDescent="0.35"/>
    <row r="536" customFormat="1" x14ac:dyDescent="0.35"/>
    <row r="537" customFormat="1" x14ac:dyDescent="0.35"/>
    <row r="538" customFormat="1" x14ac:dyDescent="0.35"/>
    <row r="539" customFormat="1" x14ac:dyDescent="0.35"/>
    <row r="540" customFormat="1" x14ac:dyDescent="0.35"/>
    <row r="541" customFormat="1" x14ac:dyDescent="0.35"/>
    <row r="542" customFormat="1" x14ac:dyDescent="0.35"/>
    <row r="543" customFormat="1" x14ac:dyDescent="0.35"/>
    <row r="544" customFormat="1" x14ac:dyDescent="0.35"/>
    <row r="545" customFormat="1" x14ac:dyDescent="0.35"/>
    <row r="546" customFormat="1" x14ac:dyDescent="0.35"/>
    <row r="547" customFormat="1" x14ac:dyDescent="0.35"/>
    <row r="548" customFormat="1" x14ac:dyDescent="0.35"/>
    <row r="549" customFormat="1" x14ac:dyDescent="0.35"/>
    <row r="550" customFormat="1" x14ac:dyDescent="0.35"/>
    <row r="551" customFormat="1" x14ac:dyDescent="0.35"/>
    <row r="552" customFormat="1" x14ac:dyDescent="0.35"/>
    <row r="553" customFormat="1" x14ac:dyDescent="0.35"/>
    <row r="554" customFormat="1" x14ac:dyDescent="0.35"/>
    <row r="555" customFormat="1" x14ac:dyDescent="0.35"/>
    <row r="556" customFormat="1" x14ac:dyDescent="0.35"/>
    <row r="557" customFormat="1" x14ac:dyDescent="0.35"/>
    <row r="558" customFormat="1" x14ac:dyDescent="0.35"/>
    <row r="559" customFormat="1" x14ac:dyDescent="0.35"/>
    <row r="560" customFormat="1" x14ac:dyDescent="0.35"/>
    <row r="561" customFormat="1" x14ac:dyDescent="0.35"/>
    <row r="562" customFormat="1" x14ac:dyDescent="0.35"/>
    <row r="563" customFormat="1" x14ac:dyDescent="0.35"/>
    <row r="564" customFormat="1" x14ac:dyDescent="0.35"/>
    <row r="565" customFormat="1" x14ac:dyDescent="0.35"/>
    <row r="566" customFormat="1" x14ac:dyDescent="0.35"/>
    <row r="567" customFormat="1" x14ac:dyDescent="0.35"/>
    <row r="568" customFormat="1" x14ac:dyDescent="0.35"/>
    <row r="569" customFormat="1" x14ac:dyDescent="0.35"/>
    <row r="570" customFormat="1" x14ac:dyDescent="0.35"/>
    <row r="571" customFormat="1" x14ac:dyDescent="0.35"/>
    <row r="572" customFormat="1" x14ac:dyDescent="0.35"/>
    <row r="573" customFormat="1" x14ac:dyDescent="0.35"/>
    <row r="574" customFormat="1" x14ac:dyDescent="0.35"/>
    <row r="575" customFormat="1" x14ac:dyDescent="0.35"/>
    <row r="576" customFormat="1" x14ac:dyDescent="0.35"/>
    <row r="577" customFormat="1" x14ac:dyDescent="0.35"/>
    <row r="578" customFormat="1" x14ac:dyDescent="0.35"/>
    <row r="579" customFormat="1" x14ac:dyDescent="0.35"/>
    <row r="580" customFormat="1" x14ac:dyDescent="0.35"/>
    <row r="581" customFormat="1" x14ac:dyDescent="0.35"/>
    <row r="582" customFormat="1" x14ac:dyDescent="0.35"/>
    <row r="583" customFormat="1" x14ac:dyDescent="0.35"/>
    <row r="584" customFormat="1" x14ac:dyDescent="0.35"/>
    <row r="585" customFormat="1" x14ac:dyDescent="0.35"/>
    <row r="586" customFormat="1" x14ac:dyDescent="0.35"/>
    <row r="587" customFormat="1" x14ac:dyDescent="0.35"/>
    <row r="588" customFormat="1" x14ac:dyDescent="0.35"/>
    <row r="589" customFormat="1" x14ac:dyDescent="0.35"/>
    <row r="590" customFormat="1" x14ac:dyDescent="0.35"/>
    <row r="591" customFormat="1" x14ac:dyDescent="0.35"/>
    <row r="592" customFormat="1" x14ac:dyDescent="0.35"/>
    <row r="593" customFormat="1" x14ac:dyDescent="0.35"/>
    <row r="594" customFormat="1" x14ac:dyDescent="0.35"/>
    <row r="595" customFormat="1" x14ac:dyDescent="0.35"/>
    <row r="596" customFormat="1" x14ac:dyDescent="0.35"/>
    <row r="597" customFormat="1" x14ac:dyDescent="0.35"/>
    <row r="598" customFormat="1" x14ac:dyDescent="0.35"/>
    <row r="599" customFormat="1" x14ac:dyDescent="0.35"/>
    <row r="600" customFormat="1" x14ac:dyDescent="0.35"/>
    <row r="601" customFormat="1" x14ac:dyDescent="0.35"/>
    <row r="602" customFormat="1" x14ac:dyDescent="0.35"/>
    <row r="603" customFormat="1" x14ac:dyDescent="0.35"/>
    <row r="604" customFormat="1" x14ac:dyDescent="0.35"/>
    <row r="605" customFormat="1" x14ac:dyDescent="0.35"/>
    <row r="606" customFormat="1" x14ac:dyDescent="0.35"/>
    <row r="607" customFormat="1" x14ac:dyDescent="0.35"/>
    <row r="608" customFormat="1" x14ac:dyDescent="0.35"/>
    <row r="609" customFormat="1" x14ac:dyDescent="0.35"/>
    <row r="610" customFormat="1" x14ac:dyDescent="0.35"/>
    <row r="611" customFormat="1" x14ac:dyDescent="0.35"/>
    <row r="612" customFormat="1" x14ac:dyDescent="0.35"/>
    <row r="613" customFormat="1" x14ac:dyDescent="0.35"/>
    <row r="614" customFormat="1" x14ac:dyDescent="0.35"/>
    <row r="615" customFormat="1" x14ac:dyDescent="0.35"/>
    <row r="616" customFormat="1" x14ac:dyDescent="0.35"/>
    <row r="617" customFormat="1" x14ac:dyDescent="0.35"/>
    <row r="618" customFormat="1" x14ac:dyDescent="0.35"/>
    <row r="619" customFormat="1" x14ac:dyDescent="0.35"/>
    <row r="620" customFormat="1" x14ac:dyDescent="0.35"/>
    <row r="621" customFormat="1" x14ac:dyDescent="0.35"/>
    <row r="622" customFormat="1" x14ac:dyDescent="0.35"/>
    <row r="623" customFormat="1" x14ac:dyDescent="0.35"/>
    <row r="624" customFormat="1" x14ac:dyDescent="0.35"/>
    <row r="625" customFormat="1" x14ac:dyDescent="0.35"/>
    <row r="626" customFormat="1" x14ac:dyDescent="0.35"/>
    <row r="627" customFormat="1" x14ac:dyDescent="0.35"/>
    <row r="628" customFormat="1" x14ac:dyDescent="0.35"/>
  </sheetData>
  <pageMargins left="0.70866141732283472" right="0.70866141732283472" top="0.74803149606299213" bottom="0.74803149606299213" header="0.31496062992125984" footer="0.31496062992125984"/>
  <pageSetup paperSize="9" scale="42" fitToHeight="4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D602"/>
  <sheetViews>
    <sheetView workbookViewId="0">
      <selection activeCell="A4" sqref="A4:C13"/>
    </sheetView>
  </sheetViews>
  <sheetFormatPr defaultRowHeight="14.5" x14ac:dyDescent="0.35"/>
  <cols>
    <col min="1" max="1" width="44.36328125" customWidth="1"/>
    <col min="2" max="2" width="11.26953125" style="126" customWidth="1"/>
    <col min="3" max="3" width="16.26953125" style="179" customWidth="1"/>
  </cols>
  <sheetData>
    <row r="1" spans="1:4" x14ac:dyDescent="0.35">
      <c r="A1" s="178" t="s">
        <v>56</v>
      </c>
      <c r="B1"/>
    </row>
    <row r="2" spans="1:4" x14ac:dyDescent="0.35">
      <c r="A2" s="178" t="s">
        <v>225</v>
      </c>
      <c r="B2"/>
    </row>
    <row r="3" spans="1:4" x14ac:dyDescent="0.35">
      <c r="A3" s="178" t="s">
        <v>57</v>
      </c>
      <c r="B3" s="178" t="s">
        <v>58</v>
      </c>
      <c r="C3" s="180" t="s">
        <v>59</v>
      </c>
      <c r="D3" s="178" t="s">
        <v>57</v>
      </c>
    </row>
    <row r="4" spans="1:4" x14ac:dyDescent="0.35">
      <c r="A4" s="178" t="s">
        <v>2916</v>
      </c>
      <c r="B4">
        <v>1873.16</v>
      </c>
      <c r="C4" s="179">
        <v>468704.8</v>
      </c>
    </row>
    <row r="5" spans="1:4" x14ac:dyDescent="0.35">
      <c r="A5" s="178" t="s">
        <v>2863</v>
      </c>
      <c r="B5">
        <v>1296.1300000000001</v>
      </c>
      <c r="C5" s="179">
        <v>452599.8</v>
      </c>
    </row>
    <row r="6" spans="1:4" x14ac:dyDescent="0.35">
      <c r="A6" s="178" t="s">
        <v>2926</v>
      </c>
      <c r="B6">
        <v>1198.22</v>
      </c>
      <c r="C6" s="179">
        <v>317528.3</v>
      </c>
    </row>
    <row r="7" spans="1:4" x14ac:dyDescent="0.35">
      <c r="A7" s="178" t="s">
        <v>2851</v>
      </c>
      <c r="B7">
        <v>747.45</v>
      </c>
      <c r="C7" s="179">
        <v>313483.95</v>
      </c>
    </row>
    <row r="8" spans="1:4" x14ac:dyDescent="0.35">
      <c r="A8" s="178" t="s">
        <v>2933</v>
      </c>
      <c r="B8">
        <v>634.24</v>
      </c>
      <c r="C8" s="179">
        <v>159416.4</v>
      </c>
    </row>
    <row r="9" spans="1:4" x14ac:dyDescent="0.35">
      <c r="A9" s="178" t="s">
        <v>2853</v>
      </c>
      <c r="B9">
        <v>490.61</v>
      </c>
      <c r="C9" s="179">
        <v>142532.70000000001</v>
      </c>
    </row>
    <row r="10" spans="1:4" x14ac:dyDescent="0.35">
      <c r="A10" s="178" t="s">
        <v>2930</v>
      </c>
      <c r="B10">
        <v>477.61</v>
      </c>
      <c r="C10" s="179">
        <v>95044.39</v>
      </c>
    </row>
    <row r="11" spans="1:4" x14ac:dyDescent="0.35">
      <c r="A11" s="178" t="s">
        <v>2932</v>
      </c>
      <c r="B11">
        <v>408.13</v>
      </c>
      <c r="C11" s="179">
        <v>160883.4</v>
      </c>
    </row>
    <row r="12" spans="1:4" x14ac:dyDescent="0.35">
      <c r="A12" s="178" t="s">
        <v>3063</v>
      </c>
      <c r="B12">
        <v>398</v>
      </c>
      <c r="C12" s="179">
        <v>87816.8</v>
      </c>
    </row>
    <row r="13" spans="1:4" x14ac:dyDescent="0.35">
      <c r="A13" s="178" t="s">
        <v>2941</v>
      </c>
      <c r="B13">
        <v>359.51</v>
      </c>
      <c r="C13" s="179">
        <v>104547.7</v>
      </c>
    </row>
    <row r="14" spans="1:4" x14ac:dyDescent="0.35">
      <c r="A14" s="178" t="s">
        <v>2890</v>
      </c>
      <c r="B14">
        <v>354.98</v>
      </c>
      <c r="C14" s="179">
        <v>138893.9</v>
      </c>
    </row>
    <row r="15" spans="1:4" x14ac:dyDescent="0.35">
      <c r="A15" s="178" t="s">
        <v>2917</v>
      </c>
      <c r="B15">
        <v>340.27</v>
      </c>
      <c r="C15" s="179">
        <v>93436.6</v>
      </c>
    </row>
    <row r="16" spans="1:4" x14ac:dyDescent="0.35">
      <c r="A16" s="178" t="s">
        <v>3034</v>
      </c>
      <c r="B16">
        <v>319.51</v>
      </c>
      <c r="C16" s="179">
        <v>76331.11</v>
      </c>
    </row>
    <row r="17" spans="1:3" x14ac:dyDescent="0.35">
      <c r="A17" s="178" t="s">
        <v>3064</v>
      </c>
      <c r="B17">
        <v>319.17</v>
      </c>
      <c r="C17" s="179">
        <v>88051.95</v>
      </c>
    </row>
    <row r="18" spans="1:3" x14ac:dyDescent="0.35">
      <c r="A18" s="178" t="s">
        <v>2895</v>
      </c>
      <c r="B18">
        <v>309.25</v>
      </c>
      <c r="C18" s="179">
        <v>143841.45000000001</v>
      </c>
    </row>
    <row r="19" spans="1:3" x14ac:dyDescent="0.35">
      <c r="A19" s="178" t="s">
        <v>2976</v>
      </c>
      <c r="B19">
        <v>294.69</v>
      </c>
      <c r="C19" s="179">
        <v>114200.39</v>
      </c>
    </row>
    <row r="20" spans="1:3" x14ac:dyDescent="0.35">
      <c r="A20" s="178" t="s">
        <v>2972</v>
      </c>
      <c r="B20">
        <v>286.23</v>
      </c>
      <c r="C20" s="179">
        <v>79581.149999999994</v>
      </c>
    </row>
    <row r="21" spans="1:3" x14ac:dyDescent="0.35">
      <c r="A21" s="178" t="s">
        <v>2888</v>
      </c>
      <c r="B21">
        <v>277.25</v>
      </c>
      <c r="C21" s="179">
        <v>114054.05</v>
      </c>
    </row>
    <row r="22" spans="1:3" x14ac:dyDescent="0.35">
      <c r="A22" s="178" t="s">
        <v>2900</v>
      </c>
      <c r="B22">
        <v>263.5</v>
      </c>
      <c r="C22" s="179">
        <v>105860.7</v>
      </c>
    </row>
    <row r="23" spans="1:3" x14ac:dyDescent="0.35">
      <c r="A23" s="178" t="s">
        <v>2963</v>
      </c>
      <c r="B23">
        <v>253.99</v>
      </c>
      <c r="C23" s="179">
        <v>91339.25</v>
      </c>
    </row>
    <row r="24" spans="1:3" x14ac:dyDescent="0.35">
      <c r="A24" s="178" t="s">
        <v>3065</v>
      </c>
      <c r="B24">
        <v>244.53</v>
      </c>
      <c r="C24" s="179">
        <v>85950.45</v>
      </c>
    </row>
    <row r="25" spans="1:3" x14ac:dyDescent="0.35">
      <c r="A25" s="178" t="s">
        <v>3066</v>
      </c>
      <c r="B25">
        <v>236.09</v>
      </c>
      <c r="C25" s="179">
        <v>105606.84</v>
      </c>
    </row>
    <row r="26" spans="1:3" x14ac:dyDescent="0.35">
      <c r="A26" s="178" t="s">
        <v>2969</v>
      </c>
      <c r="B26">
        <v>227.58</v>
      </c>
      <c r="C26" s="179">
        <v>66064.899999999994</v>
      </c>
    </row>
    <row r="27" spans="1:3" x14ac:dyDescent="0.35">
      <c r="A27" s="178" t="s">
        <v>3067</v>
      </c>
      <c r="B27">
        <v>225.51</v>
      </c>
      <c r="C27" s="179">
        <v>91060.05</v>
      </c>
    </row>
    <row r="28" spans="1:3" x14ac:dyDescent="0.35">
      <c r="A28" s="178" t="s">
        <v>3068</v>
      </c>
      <c r="B28">
        <v>222.16</v>
      </c>
      <c r="C28" s="179">
        <v>75551.7</v>
      </c>
    </row>
    <row r="29" spans="1:3" x14ac:dyDescent="0.35">
      <c r="A29" s="178" t="s">
        <v>3069</v>
      </c>
      <c r="B29">
        <v>211.85</v>
      </c>
      <c r="C29" s="179">
        <v>152666.43</v>
      </c>
    </row>
    <row r="30" spans="1:3" x14ac:dyDescent="0.35">
      <c r="A30" s="178" t="s">
        <v>3070</v>
      </c>
      <c r="B30">
        <v>193.68</v>
      </c>
      <c r="C30" s="179">
        <v>84094</v>
      </c>
    </row>
    <row r="31" spans="1:3" x14ac:dyDescent="0.35">
      <c r="A31" s="178" t="s">
        <v>2935</v>
      </c>
      <c r="B31">
        <v>181.26</v>
      </c>
      <c r="C31" s="179">
        <v>52185.45</v>
      </c>
    </row>
    <row r="32" spans="1:3" x14ac:dyDescent="0.35">
      <c r="A32" s="178" t="s">
        <v>2918</v>
      </c>
      <c r="B32">
        <v>163.88</v>
      </c>
      <c r="C32" s="179">
        <v>62061.75</v>
      </c>
    </row>
    <row r="33" spans="1:3" x14ac:dyDescent="0.35">
      <c r="A33" s="178" t="s">
        <v>2981</v>
      </c>
      <c r="B33">
        <v>162.82</v>
      </c>
      <c r="C33" s="179">
        <v>63017.13</v>
      </c>
    </row>
    <row r="34" spans="1:3" x14ac:dyDescent="0.35">
      <c r="A34" s="178" t="s">
        <v>2887</v>
      </c>
      <c r="B34">
        <v>158.66</v>
      </c>
      <c r="C34" s="179">
        <v>69017.100000000006</v>
      </c>
    </row>
    <row r="35" spans="1:3" x14ac:dyDescent="0.35">
      <c r="A35" s="178" t="s">
        <v>2990</v>
      </c>
      <c r="B35">
        <v>152.88</v>
      </c>
      <c r="C35" s="179">
        <v>42582.1</v>
      </c>
    </row>
    <row r="36" spans="1:3" x14ac:dyDescent="0.35">
      <c r="A36" s="178" t="s">
        <v>3071</v>
      </c>
      <c r="B36">
        <v>150.72999999999999</v>
      </c>
      <c r="C36" s="179">
        <v>63931.1</v>
      </c>
    </row>
    <row r="37" spans="1:3" x14ac:dyDescent="0.35">
      <c r="A37" s="178" t="s">
        <v>2966</v>
      </c>
      <c r="B37">
        <v>145.29</v>
      </c>
      <c r="C37" s="179">
        <v>67786.38</v>
      </c>
    </row>
    <row r="38" spans="1:3" x14ac:dyDescent="0.35">
      <c r="A38" s="178" t="s">
        <v>3072</v>
      </c>
      <c r="B38">
        <v>145.21</v>
      </c>
      <c r="C38" s="179">
        <v>43846.400000000001</v>
      </c>
    </row>
    <row r="39" spans="1:3" x14ac:dyDescent="0.35">
      <c r="A39" s="178" t="s">
        <v>3073</v>
      </c>
      <c r="B39">
        <v>139.52000000000001</v>
      </c>
      <c r="C39" s="179">
        <v>33484.800000000003</v>
      </c>
    </row>
    <row r="40" spans="1:3" x14ac:dyDescent="0.35">
      <c r="A40" s="178" t="s">
        <v>3074</v>
      </c>
      <c r="B40">
        <v>138.47</v>
      </c>
      <c r="C40" s="179">
        <v>34320.300000000003</v>
      </c>
    </row>
    <row r="41" spans="1:3" x14ac:dyDescent="0.35">
      <c r="A41" s="178" t="s">
        <v>3026</v>
      </c>
      <c r="B41">
        <v>136.4</v>
      </c>
      <c r="C41" s="179">
        <v>51013.25</v>
      </c>
    </row>
    <row r="42" spans="1:3" x14ac:dyDescent="0.35">
      <c r="A42" s="178" t="s">
        <v>3075</v>
      </c>
      <c r="B42">
        <v>135.18</v>
      </c>
      <c r="C42" s="179">
        <v>46121.8</v>
      </c>
    </row>
    <row r="43" spans="1:3" x14ac:dyDescent="0.35">
      <c r="A43" s="178" t="s">
        <v>2876</v>
      </c>
      <c r="B43">
        <v>133.07</v>
      </c>
      <c r="C43" s="179">
        <v>49403.05</v>
      </c>
    </row>
    <row r="44" spans="1:3" x14ac:dyDescent="0.35">
      <c r="A44" s="178" t="s">
        <v>2995</v>
      </c>
      <c r="B44">
        <v>132.59</v>
      </c>
      <c r="C44" s="179">
        <v>50890.75</v>
      </c>
    </row>
    <row r="45" spans="1:3" x14ac:dyDescent="0.35">
      <c r="A45" s="178" t="s">
        <v>2870</v>
      </c>
      <c r="B45">
        <v>131.66999999999999</v>
      </c>
      <c r="C45" s="179">
        <v>55464.6</v>
      </c>
    </row>
    <row r="46" spans="1:3" x14ac:dyDescent="0.35">
      <c r="A46" s="178" t="s">
        <v>3076</v>
      </c>
      <c r="B46">
        <v>129.26</v>
      </c>
      <c r="C46" s="179">
        <v>34253.9</v>
      </c>
    </row>
    <row r="47" spans="1:3" x14ac:dyDescent="0.35">
      <c r="A47" s="178" t="s">
        <v>2907</v>
      </c>
      <c r="B47">
        <v>128.19999999999999</v>
      </c>
      <c r="C47" s="179">
        <v>47155</v>
      </c>
    </row>
    <row r="48" spans="1:3" x14ac:dyDescent="0.35">
      <c r="A48" s="178" t="s">
        <v>2927</v>
      </c>
      <c r="B48">
        <v>125.56</v>
      </c>
      <c r="C48" s="179">
        <v>35752.400000000001</v>
      </c>
    </row>
    <row r="49" spans="1:3" x14ac:dyDescent="0.35">
      <c r="A49" s="178" t="s">
        <v>3077</v>
      </c>
      <c r="B49">
        <v>122.29</v>
      </c>
      <c r="C49" s="179">
        <v>32043.5</v>
      </c>
    </row>
    <row r="50" spans="1:3" x14ac:dyDescent="0.35">
      <c r="A50" s="178" t="s">
        <v>3000</v>
      </c>
      <c r="B50">
        <v>121.26</v>
      </c>
      <c r="C50" s="179">
        <v>34559.1</v>
      </c>
    </row>
    <row r="51" spans="1:3" x14ac:dyDescent="0.35">
      <c r="A51" s="178" t="s">
        <v>3078</v>
      </c>
      <c r="B51">
        <v>119.35</v>
      </c>
      <c r="C51" s="179">
        <v>41097.949999999997</v>
      </c>
    </row>
    <row r="52" spans="1:3" x14ac:dyDescent="0.35">
      <c r="A52" s="178" t="s">
        <v>2901</v>
      </c>
      <c r="B52">
        <v>110.93</v>
      </c>
      <c r="C52" s="179">
        <v>39485.550000000003</v>
      </c>
    </row>
    <row r="53" spans="1:3" x14ac:dyDescent="0.35">
      <c r="A53" s="178" t="s">
        <v>2988</v>
      </c>
      <c r="B53">
        <v>101.26</v>
      </c>
      <c r="C53" s="179">
        <v>39112.35</v>
      </c>
    </row>
    <row r="54" spans="1:3" x14ac:dyDescent="0.35">
      <c r="A54" s="178" t="s">
        <v>2920</v>
      </c>
      <c r="B54">
        <v>101.02</v>
      </c>
      <c r="C54" s="179">
        <v>23416.799999999999</v>
      </c>
    </row>
    <row r="55" spans="1:3" x14ac:dyDescent="0.35">
      <c r="A55" s="178" t="s">
        <v>2910</v>
      </c>
      <c r="B55">
        <v>100.34</v>
      </c>
      <c r="C55" s="179">
        <v>43273.1</v>
      </c>
    </row>
    <row r="56" spans="1:3" x14ac:dyDescent="0.35">
      <c r="A56" s="178" t="s">
        <v>2943</v>
      </c>
      <c r="B56">
        <v>99.9</v>
      </c>
      <c r="C56" s="179">
        <v>37238.75</v>
      </c>
    </row>
    <row r="57" spans="1:3" x14ac:dyDescent="0.35">
      <c r="A57" s="178" t="s">
        <v>2934</v>
      </c>
      <c r="B57">
        <v>94.05</v>
      </c>
      <c r="C57" s="179">
        <v>38779.85</v>
      </c>
    </row>
    <row r="58" spans="1:3" x14ac:dyDescent="0.35">
      <c r="A58" s="178" t="s">
        <v>2898</v>
      </c>
      <c r="B58">
        <v>92.71</v>
      </c>
      <c r="C58" s="179">
        <v>37536.65</v>
      </c>
    </row>
    <row r="59" spans="1:3" x14ac:dyDescent="0.35">
      <c r="A59" s="178" t="s">
        <v>3018</v>
      </c>
      <c r="B59">
        <v>91.84</v>
      </c>
      <c r="C59" s="179">
        <v>24460.16</v>
      </c>
    </row>
    <row r="60" spans="1:3" x14ac:dyDescent="0.35">
      <c r="A60" s="178" t="s">
        <v>3079</v>
      </c>
      <c r="B60">
        <v>91.82</v>
      </c>
      <c r="C60" s="179">
        <v>22955</v>
      </c>
    </row>
    <row r="61" spans="1:3" x14ac:dyDescent="0.35">
      <c r="A61" s="178" t="s">
        <v>2991</v>
      </c>
      <c r="B61">
        <v>89.87</v>
      </c>
      <c r="C61" s="179">
        <v>29381.05</v>
      </c>
    </row>
    <row r="62" spans="1:3" x14ac:dyDescent="0.35">
      <c r="A62" s="178" t="s">
        <v>2865</v>
      </c>
      <c r="B62">
        <v>89.84</v>
      </c>
      <c r="C62" s="179">
        <v>24346.92</v>
      </c>
    </row>
    <row r="63" spans="1:3" x14ac:dyDescent="0.35">
      <c r="A63" s="178" t="s">
        <v>3080</v>
      </c>
      <c r="B63">
        <v>89.44</v>
      </c>
      <c r="C63" s="179">
        <v>24828.2</v>
      </c>
    </row>
    <row r="64" spans="1:3" x14ac:dyDescent="0.35">
      <c r="A64" s="178" t="s">
        <v>3035</v>
      </c>
      <c r="B64">
        <v>88.74</v>
      </c>
      <c r="C64" s="179">
        <v>33418.5</v>
      </c>
    </row>
    <row r="65" spans="1:3" x14ac:dyDescent="0.35">
      <c r="A65" s="178" t="s">
        <v>3081</v>
      </c>
      <c r="B65">
        <v>87.84</v>
      </c>
      <c r="C65" s="179">
        <v>34567.599999999999</v>
      </c>
    </row>
    <row r="66" spans="1:3" x14ac:dyDescent="0.35">
      <c r="A66" s="178" t="s">
        <v>2860</v>
      </c>
      <c r="B66">
        <v>85.45</v>
      </c>
      <c r="C66" s="179">
        <v>30272.7</v>
      </c>
    </row>
    <row r="67" spans="1:3" x14ac:dyDescent="0.35">
      <c r="A67" s="178" t="s">
        <v>3082</v>
      </c>
      <c r="B67">
        <v>85.02</v>
      </c>
      <c r="C67" s="179">
        <v>32732.7</v>
      </c>
    </row>
    <row r="68" spans="1:3" x14ac:dyDescent="0.35">
      <c r="A68" s="178" t="s">
        <v>3017</v>
      </c>
      <c r="B68">
        <v>83.29</v>
      </c>
      <c r="C68" s="179">
        <v>29681.4</v>
      </c>
    </row>
    <row r="69" spans="1:3" x14ac:dyDescent="0.35">
      <c r="A69" s="178" t="s">
        <v>3083</v>
      </c>
      <c r="B69">
        <v>79.39</v>
      </c>
      <c r="C69" s="179">
        <v>22963.15</v>
      </c>
    </row>
    <row r="70" spans="1:3" x14ac:dyDescent="0.35">
      <c r="A70" s="178" t="s">
        <v>3027</v>
      </c>
      <c r="B70">
        <v>78.540000000000006</v>
      </c>
      <c r="C70" s="179">
        <v>32980.400000000001</v>
      </c>
    </row>
    <row r="71" spans="1:3" x14ac:dyDescent="0.35">
      <c r="A71" s="178" t="s">
        <v>3084</v>
      </c>
      <c r="B71">
        <v>77.45</v>
      </c>
      <c r="C71" s="179">
        <v>32916.25</v>
      </c>
    </row>
    <row r="72" spans="1:3" x14ac:dyDescent="0.35">
      <c r="A72" s="178" t="s">
        <v>3003</v>
      </c>
      <c r="B72">
        <v>76.91</v>
      </c>
      <c r="C72" s="179">
        <v>28359.9</v>
      </c>
    </row>
    <row r="73" spans="1:3" x14ac:dyDescent="0.35">
      <c r="A73" s="178" t="s">
        <v>3085</v>
      </c>
      <c r="B73">
        <v>76.510000000000005</v>
      </c>
      <c r="C73" s="179">
        <v>19700.8</v>
      </c>
    </row>
    <row r="74" spans="1:3" x14ac:dyDescent="0.35">
      <c r="A74" s="178" t="s">
        <v>2908</v>
      </c>
      <c r="B74">
        <v>73.930000000000007</v>
      </c>
      <c r="C74" s="179">
        <v>16264.6</v>
      </c>
    </row>
    <row r="75" spans="1:3" x14ac:dyDescent="0.35">
      <c r="A75" s="178" t="s">
        <v>3086</v>
      </c>
      <c r="B75">
        <v>72.42</v>
      </c>
      <c r="C75" s="179">
        <v>28605.9</v>
      </c>
    </row>
    <row r="76" spans="1:3" x14ac:dyDescent="0.35">
      <c r="A76" s="178" t="s">
        <v>2867</v>
      </c>
      <c r="B76">
        <v>72.09</v>
      </c>
      <c r="C76" s="179">
        <v>37185.25</v>
      </c>
    </row>
    <row r="77" spans="1:3" x14ac:dyDescent="0.35">
      <c r="A77" s="178" t="s">
        <v>2992</v>
      </c>
      <c r="B77">
        <v>71.86</v>
      </c>
      <c r="C77" s="179">
        <v>27061.97</v>
      </c>
    </row>
    <row r="78" spans="1:3" x14ac:dyDescent="0.35">
      <c r="A78" s="178" t="s">
        <v>2875</v>
      </c>
      <c r="B78">
        <v>71.209999999999994</v>
      </c>
      <c r="C78" s="179">
        <v>24958.7</v>
      </c>
    </row>
    <row r="79" spans="1:3" x14ac:dyDescent="0.35">
      <c r="A79" s="178" t="s">
        <v>2852</v>
      </c>
      <c r="B79">
        <v>70.25</v>
      </c>
      <c r="C79" s="179">
        <v>24603.75</v>
      </c>
    </row>
    <row r="80" spans="1:3" x14ac:dyDescent="0.35">
      <c r="A80" s="178" t="s">
        <v>2924</v>
      </c>
      <c r="B80">
        <v>65.91</v>
      </c>
      <c r="C80" s="179">
        <v>20055.3</v>
      </c>
    </row>
    <row r="81" spans="1:3" x14ac:dyDescent="0.35">
      <c r="A81" s="178" t="s">
        <v>3087</v>
      </c>
      <c r="B81">
        <v>65.55</v>
      </c>
      <c r="C81" s="179">
        <v>15763.65</v>
      </c>
    </row>
    <row r="82" spans="1:3" x14ac:dyDescent="0.35">
      <c r="A82" s="178" t="s">
        <v>2951</v>
      </c>
      <c r="B82">
        <v>64.959999999999994</v>
      </c>
      <c r="C82" s="179">
        <v>27297.8</v>
      </c>
    </row>
    <row r="83" spans="1:3" x14ac:dyDescent="0.35">
      <c r="A83" s="178" t="s">
        <v>2864</v>
      </c>
      <c r="B83">
        <v>64.77</v>
      </c>
      <c r="C83" s="179">
        <v>23080.400000000001</v>
      </c>
    </row>
    <row r="84" spans="1:3" x14ac:dyDescent="0.35">
      <c r="A84" s="178" t="s">
        <v>3088</v>
      </c>
      <c r="B84">
        <v>64.47</v>
      </c>
      <c r="C84" s="179">
        <v>27753.75</v>
      </c>
    </row>
    <row r="85" spans="1:3" x14ac:dyDescent="0.35">
      <c r="A85" s="178" t="s">
        <v>2958</v>
      </c>
      <c r="B85">
        <v>64.45</v>
      </c>
      <c r="C85" s="179">
        <v>25002</v>
      </c>
    </row>
    <row r="86" spans="1:3" x14ac:dyDescent="0.35">
      <c r="A86" s="178" t="s">
        <v>2872</v>
      </c>
      <c r="B86">
        <v>63.8</v>
      </c>
      <c r="C86" s="179">
        <v>27343.85</v>
      </c>
    </row>
    <row r="87" spans="1:3" x14ac:dyDescent="0.35">
      <c r="A87" s="178" t="s">
        <v>2973</v>
      </c>
      <c r="B87">
        <v>63.49</v>
      </c>
      <c r="C87" s="179">
        <v>23629.7</v>
      </c>
    </row>
    <row r="88" spans="1:3" x14ac:dyDescent="0.35">
      <c r="A88" s="178" t="s">
        <v>2954</v>
      </c>
      <c r="B88">
        <v>63.07</v>
      </c>
      <c r="C88" s="179">
        <v>23639.599999999999</v>
      </c>
    </row>
    <row r="89" spans="1:3" x14ac:dyDescent="0.35">
      <c r="A89" s="178" t="s">
        <v>3089</v>
      </c>
      <c r="B89">
        <v>62.77</v>
      </c>
      <c r="C89" s="179">
        <v>29213.5</v>
      </c>
    </row>
    <row r="90" spans="1:3" x14ac:dyDescent="0.35">
      <c r="A90" s="178" t="s">
        <v>2862</v>
      </c>
      <c r="B90">
        <v>62.75</v>
      </c>
      <c r="C90" s="179">
        <v>25832.5</v>
      </c>
    </row>
    <row r="91" spans="1:3" x14ac:dyDescent="0.35">
      <c r="A91" s="178" t="s">
        <v>3090</v>
      </c>
      <c r="B91">
        <v>60.8</v>
      </c>
      <c r="C91" s="179">
        <v>16828.400000000001</v>
      </c>
    </row>
    <row r="92" spans="1:3" x14ac:dyDescent="0.35">
      <c r="A92" s="178" t="s">
        <v>3091</v>
      </c>
      <c r="B92">
        <v>60.62</v>
      </c>
      <c r="C92" s="179">
        <v>22507.5</v>
      </c>
    </row>
    <row r="93" spans="1:3" x14ac:dyDescent="0.35">
      <c r="A93" s="178" t="s">
        <v>2946</v>
      </c>
      <c r="B93">
        <v>59.58</v>
      </c>
      <c r="C93" s="179">
        <v>19065.599999999999</v>
      </c>
    </row>
    <row r="94" spans="1:3" x14ac:dyDescent="0.35">
      <c r="A94" s="178" t="s">
        <v>3092</v>
      </c>
      <c r="B94">
        <v>59.36</v>
      </c>
      <c r="C94" s="179">
        <v>21881.4</v>
      </c>
    </row>
    <row r="95" spans="1:3" x14ac:dyDescent="0.35">
      <c r="A95" s="178" t="s">
        <v>3093</v>
      </c>
      <c r="B95">
        <v>58.61</v>
      </c>
      <c r="C95" s="179">
        <v>18084.05</v>
      </c>
    </row>
    <row r="96" spans="1:3" x14ac:dyDescent="0.35">
      <c r="A96" s="178" t="s">
        <v>3094</v>
      </c>
      <c r="B96">
        <v>57.37</v>
      </c>
      <c r="C96" s="179">
        <v>21226.9</v>
      </c>
    </row>
    <row r="97" spans="1:3" x14ac:dyDescent="0.35">
      <c r="A97" s="178" t="s">
        <v>2960</v>
      </c>
      <c r="B97">
        <v>55.9</v>
      </c>
      <c r="C97" s="179">
        <v>17933.2</v>
      </c>
    </row>
    <row r="98" spans="1:3" x14ac:dyDescent="0.35">
      <c r="A98" s="178" t="s">
        <v>3095</v>
      </c>
      <c r="B98">
        <v>55.57</v>
      </c>
      <c r="C98" s="179">
        <v>21132.1</v>
      </c>
    </row>
    <row r="99" spans="1:3" x14ac:dyDescent="0.35">
      <c r="A99" s="178" t="s">
        <v>2997</v>
      </c>
      <c r="B99">
        <v>55.45</v>
      </c>
      <c r="C99" s="179">
        <v>13411.15</v>
      </c>
    </row>
    <row r="100" spans="1:3" x14ac:dyDescent="0.35">
      <c r="A100" s="178" t="s">
        <v>2855</v>
      </c>
      <c r="B100">
        <v>55.06</v>
      </c>
      <c r="C100" s="179">
        <v>26514.55</v>
      </c>
    </row>
    <row r="101" spans="1:3" x14ac:dyDescent="0.35">
      <c r="A101" s="178" t="s">
        <v>2967</v>
      </c>
      <c r="B101">
        <v>54.01</v>
      </c>
      <c r="C101" s="179">
        <v>22160.45</v>
      </c>
    </row>
    <row r="102" spans="1:3" x14ac:dyDescent="0.35">
      <c r="A102" s="178" t="s">
        <v>3096</v>
      </c>
      <c r="B102">
        <v>53.59</v>
      </c>
      <c r="C102" s="179">
        <v>18552.12</v>
      </c>
    </row>
    <row r="103" spans="1:3" x14ac:dyDescent="0.35">
      <c r="A103" s="178" t="s">
        <v>2873</v>
      </c>
      <c r="B103">
        <v>53.56</v>
      </c>
      <c r="C103" s="179">
        <v>18203.75</v>
      </c>
    </row>
    <row r="104" spans="1:3" x14ac:dyDescent="0.35">
      <c r="A104" s="178" t="s">
        <v>2938</v>
      </c>
      <c r="B104">
        <v>53.33</v>
      </c>
      <c r="C104" s="179">
        <v>18870.349999999999</v>
      </c>
    </row>
    <row r="105" spans="1:3" x14ac:dyDescent="0.35">
      <c r="A105" s="178" t="s">
        <v>2996</v>
      </c>
      <c r="B105">
        <v>52.83</v>
      </c>
      <c r="C105" s="179">
        <v>21132</v>
      </c>
    </row>
    <row r="106" spans="1:3" x14ac:dyDescent="0.35">
      <c r="A106" s="178" t="s">
        <v>3097</v>
      </c>
      <c r="B106">
        <v>52.14</v>
      </c>
      <c r="C106" s="179">
        <v>14077.8</v>
      </c>
    </row>
    <row r="107" spans="1:3" x14ac:dyDescent="0.35">
      <c r="A107" s="178" t="s">
        <v>3024</v>
      </c>
      <c r="B107">
        <v>52.08</v>
      </c>
      <c r="C107" s="179">
        <v>13427.45</v>
      </c>
    </row>
    <row r="108" spans="1:3" x14ac:dyDescent="0.35">
      <c r="A108" s="178" t="s">
        <v>3098</v>
      </c>
      <c r="B108">
        <v>51.37</v>
      </c>
      <c r="C108" s="179">
        <v>13928.1</v>
      </c>
    </row>
    <row r="109" spans="1:3" x14ac:dyDescent="0.35">
      <c r="A109" s="178" t="s">
        <v>3010</v>
      </c>
      <c r="B109">
        <v>51.33</v>
      </c>
      <c r="C109" s="179">
        <v>14070.75</v>
      </c>
    </row>
    <row r="110" spans="1:3" x14ac:dyDescent="0.35">
      <c r="A110" s="178" t="s">
        <v>3099</v>
      </c>
      <c r="B110">
        <v>50</v>
      </c>
      <c r="C110" s="179">
        <v>18000</v>
      </c>
    </row>
    <row r="111" spans="1:3" x14ac:dyDescent="0.35">
      <c r="A111" s="178" t="s">
        <v>3100</v>
      </c>
      <c r="B111">
        <v>49.47</v>
      </c>
      <c r="C111" s="179">
        <v>15830.4</v>
      </c>
    </row>
    <row r="112" spans="1:3" x14ac:dyDescent="0.35">
      <c r="A112" s="178" t="s">
        <v>3007</v>
      </c>
      <c r="B112">
        <v>49.12</v>
      </c>
      <c r="C112" s="179">
        <v>16640.900000000001</v>
      </c>
    </row>
    <row r="113" spans="1:3" x14ac:dyDescent="0.35">
      <c r="A113" s="178" t="s">
        <v>3101</v>
      </c>
      <c r="B113">
        <v>48.86</v>
      </c>
      <c r="C113" s="179">
        <v>20336.2</v>
      </c>
    </row>
    <row r="114" spans="1:3" x14ac:dyDescent="0.35">
      <c r="A114" s="178" t="s">
        <v>3102</v>
      </c>
      <c r="B114">
        <v>48.42</v>
      </c>
      <c r="C114" s="179">
        <v>14384.2</v>
      </c>
    </row>
    <row r="115" spans="1:3" x14ac:dyDescent="0.35">
      <c r="A115" s="178" t="s">
        <v>3103</v>
      </c>
      <c r="B115">
        <v>47.96</v>
      </c>
      <c r="C115" s="179">
        <v>12831.47</v>
      </c>
    </row>
    <row r="116" spans="1:3" x14ac:dyDescent="0.35">
      <c r="A116" s="178" t="s">
        <v>2856</v>
      </c>
      <c r="B116">
        <v>47.85</v>
      </c>
      <c r="C116" s="179">
        <v>16960.849999999999</v>
      </c>
    </row>
    <row r="117" spans="1:3" x14ac:dyDescent="0.35">
      <c r="A117" s="178" t="s">
        <v>3104</v>
      </c>
      <c r="B117">
        <v>45.99</v>
      </c>
      <c r="C117" s="179">
        <v>16378.4</v>
      </c>
    </row>
    <row r="118" spans="1:3" x14ac:dyDescent="0.35">
      <c r="A118" s="178" t="s">
        <v>3011</v>
      </c>
      <c r="B118">
        <v>45.06</v>
      </c>
      <c r="C118" s="179">
        <v>30472.5</v>
      </c>
    </row>
    <row r="119" spans="1:3" x14ac:dyDescent="0.35">
      <c r="A119" s="178" t="s">
        <v>2989</v>
      </c>
      <c r="B119">
        <v>45.01</v>
      </c>
      <c r="C119" s="179">
        <v>18308.75</v>
      </c>
    </row>
    <row r="120" spans="1:3" x14ac:dyDescent="0.35">
      <c r="A120" s="178" t="s">
        <v>3105</v>
      </c>
      <c r="B120">
        <v>44.31</v>
      </c>
      <c r="C120" s="179">
        <v>13578.6</v>
      </c>
    </row>
    <row r="121" spans="1:3" x14ac:dyDescent="0.35">
      <c r="A121" s="178" t="s">
        <v>2922</v>
      </c>
      <c r="B121">
        <v>43.76</v>
      </c>
      <c r="C121" s="179">
        <v>15388.2</v>
      </c>
    </row>
    <row r="122" spans="1:3" x14ac:dyDescent="0.35">
      <c r="A122" s="178" t="s">
        <v>2879</v>
      </c>
      <c r="B122">
        <v>43.5</v>
      </c>
      <c r="C122" s="179">
        <v>12731.8</v>
      </c>
    </row>
    <row r="123" spans="1:3" x14ac:dyDescent="0.35">
      <c r="A123" s="178" t="s">
        <v>3106</v>
      </c>
      <c r="B123">
        <v>43.05</v>
      </c>
      <c r="C123" s="179">
        <v>15790.45</v>
      </c>
    </row>
    <row r="124" spans="1:3" x14ac:dyDescent="0.35">
      <c r="A124" s="178" t="s">
        <v>2858</v>
      </c>
      <c r="B124">
        <v>42.83</v>
      </c>
      <c r="C124" s="179">
        <v>15980.05</v>
      </c>
    </row>
    <row r="125" spans="1:3" x14ac:dyDescent="0.35">
      <c r="A125" s="178" t="s">
        <v>2957</v>
      </c>
      <c r="B125">
        <v>42.39</v>
      </c>
      <c r="C125" s="179">
        <v>16468.5</v>
      </c>
    </row>
    <row r="126" spans="1:3" x14ac:dyDescent="0.35">
      <c r="A126" s="178" t="s">
        <v>3107</v>
      </c>
      <c r="B126">
        <v>42.22</v>
      </c>
      <c r="C126" s="179">
        <v>11399.4</v>
      </c>
    </row>
    <row r="127" spans="1:3" x14ac:dyDescent="0.35">
      <c r="A127" s="178" t="s">
        <v>3108</v>
      </c>
      <c r="B127">
        <v>42.21</v>
      </c>
      <c r="C127" s="179">
        <v>15150.45</v>
      </c>
    </row>
    <row r="128" spans="1:3" x14ac:dyDescent="0.35">
      <c r="A128" s="178" t="s">
        <v>2978</v>
      </c>
      <c r="B128">
        <v>42.15</v>
      </c>
      <c r="C128" s="179">
        <v>15336.6</v>
      </c>
    </row>
    <row r="129" spans="1:3" x14ac:dyDescent="0.35">
      <c r="A129" s="178" t="s">
        <v>2925</v>
      </c>
      <c r="B129">
        <v>41.69</v>
      </c>
      <c r="C129" s="179">
        <v>11047.85</v>
      </c>
    </row>
    <row r="130" spans="1:3" x14ac:dyDescent="0.35">
      <c r="A130" s="178" t="s">
        <v>2892</v>
      </c>
      <c r="B130">
        <v>41.44</v>
      </c>
      <c r="C130" s="179">
        <v>11396</v>
      </c>
    </row>
    <row r="131" spans="1:3" x14ac:dyDescent="0.35">
      <c r="A131" s="178" t="s">
        <v>3109</v>
      </c>
      <c r="B131">
        <v>40.82</v>
      </c>
      <c r="C131" s="179">
        <v>15307.5</v>
      </c>
    </row>
    <row r="132" spans="1:3" x14ac:dyDescent="0.35">
      <c r="A132" s="178" t="s">
        <v>3110</v>
      </c>
      <c r="B132">
        <v>40.520000000000003</v>
      </c>
      <c r="C132" s="179">
        <v>11345.6</v>
      </c>
    </row>
    <row r="133" spans="1:3" x14ac:dyDescent="0.35">
      <c r="A133" s="178" t="s">
        <v>3111</v>
      </c>
      <c r="B133">
        <v>40.32</v>
      </c>
      <c r="C133" s="179">
        <v>11894.4</v>
      </c>
    </row>
    <row r="134" spans="1:3" x14ac:dyDescent="0.35">
      <c r="A134" s="178" t="s">
        <v>3112</v>
      </c>
      <c r="B134">
        <v>39.770000000000003</v>
      </c>
      <c r="C134" s="179">
        <v>13361.45</v>
      </c>
    </row>
    <row r="135" spans="1:3" x14ac:dyDescent="0.35">
      <c r="A135" s="178" t="s">
        <v>2923</v>
      </c>
      <c r="B135">
        <v>39.590000000000003</v>
      </c>
      <c r="C135" s="179">
        <v>15638.05</v>
      </c>
    </row>
    <row r="136" spans="1:3" x14ac:dyDescent="0.35">
      <c r="A136" s="178" t="s">
        <v>2877</v>
      </c>
      <c r="B136">
        <v>39.18</v>
      </c>
      <c r="C136" s="179">
        <v>14635.65</v>
      </c>
    </row>
    <row r="137" spans="1:3" x14ac:dyDescent="0.35">
      <c r="A137" s="178" t="s">
        <v>2883</v>
      </c>
      <c r="B137">
        <v>38.99</v>
      </c>
      <c r="C137" s="179">
        <v>15790.95</v>
      </c>
    </row>
    <row r="138" spans="1:3" x14ac:dyDescent="0.35">
      <c r="A138" s="178" t="s">
        <v>3016</v>
      </c>
      <c r="B138">
        <v>38.94</v>
      </c>
      <c r="C138" s="179">
        <v>16549.5</v>
      </c>
    </row>
    <row r="139" spans="1:3" x14ac:dyDescent="0.35">
      <c r="A139" s="178" t="s">
        <v>3113</v>
      </c>
      <c r="B139">
        <v>38.9</v>
      </c>
      <c r="C139" s="179">
        <v>10114</v>
      </c>
    </row>
    <row r="140" spans="1:3" x14ac:dyDescent="0.35">
      <c r="A140" s="178" t="s">
        <v>3114</v>
      </c>
      <c r="B140">
        <v>38.9</v>
      </c>
      <c r="C140" s="179">
        <v>10940</v>
      </c>
    </row>
    <row r="141" spans="1:3" x14ac:dyDescent="0.35">
      <c r="A141" s="178" t="s">
        <v>2893</v>
      </c>
      <c r="B141">
        <v>38.82</v>
      </c>
      <c r="C141" s="179">
        <v>13466.55</v>
      </c>
    </row>
    <row r="142" spans="1:3" x14ac:dyDescent="0.35">
      <c r="A142" s="178" t="s">
        <v>3115</v>
      </c>
      <c r="B142">
        <v>38.33</v>
      </c>
      <c r="C142" s="179">
        <v>14160.3</v>
      </c>
    </row>
    <row r="143" spans="1:3" x14ac:dyDescent="0.35">
      <c r="A143" s="178" t="s">
        <v>3116</v>
      </c>
      <c r="B143">
        <v>37.5</v>
      </c>
      <c r="C143" s="179">
        <v>12870.9</v>
      </c>
    </row>
    <row r="144" spans="1:3" x14ac:dyDescent="0.35">
      <c r="A144" s="178" t="s">
        <v>2936</v>
      </c>
      <c r="B144">
        <v>37.44</v>
      </c>
      <c r="C144" s="179">
        <v>10937.1</v>
      </c>
    </row>
    <row r="145" spans="1:3" x14ac:dyDescent="0.35">
      <c r="A145" s="178" t="s">
        <v>3117</v>
      </c>
      <c r="B145">
        <v>37.1</v>
      </c>
      <c r="C145" s="179">
        <v>9275</v>
      </c>
    </row>
    <row r="146" spans="1:3" x14ac:dyDescent="0.35">
      <c r="A146" s="178" t="s">
        <v>2999</v>
      </c>
      <c r="B146">
        <v>37.06</v>
      </c>
      <c r="C146" s="179">
        <v>12376.5</v>
      </c>
    </row>
    <row r="147" spans="1:3" x14ac:dyDescent="0.35">
      <c r="A147" s="178" t="s">
        <v>2902</v>
      </c>
      <c r="B147">
        <v>36.96</v>
      </c>
      <c r="C147" s="179">
        <v>9979.2000000000007</v>
      </c>
    </row>
    <row r="148" spans="1:3" x14ac:dyDescent="0.35">
      <c r="A148" s="178" t="s">
        <v>3118</v>
      </c>
      <c r="B148">
        <v>35.799999999999997</v>
      </c>
      <c r="C148" s="179">
        <v>13258.1</v>
      </c>
    </row>
    <row r="149" spans="1:3" x14ac:dyDescent="0.35">
      <c r="A149" s="178" t="s">
        <v>2974</v>
      </c>
      <c r="B149">
        <v>35.01</v>
      </c>
      <c r="C149" s="179">
        <v>14043.28</v>
      </c>
    </row>
    <row r="150" spans="1:3" x14ac:dyDescent="0.35">
      <c r="A150" s="178" t="s">
        <v>3119</v>
      </c>
      <c r="B150">
        <v>34.92</v>
      </c>
      <c r="C150" s="179">
        <v>14834.25</v>
      </c>
    </row>
    <row r="151" spans="1:3" x14ac:dyDescent="0.35">
      <c r="A151" s="178" t="s">
        <v>3120</v>
      </c>
      <c r="B151">
        <v>34.9</v>
      </c>
      <c r="C151" s="179">
        <v>14258.64</v>
      </c>
    </row>
    <row r="152" spans="1:3" x14ac:dyDescent="0.35">
      <c r="A152" s="178" t="s">
        <v>3121</v>
      </c>
      <c r="B152">
        <v>34.659999999999997</v>
      </c>
      <c r="C152" s="179">
        <v>13344.1</v>
      </c>
    </row>
    <row r="153" spans="1:3" x14ac:dyDescent="0.35">
      <c r="A153" s="178" t="s">
        <v>2998</v>
      </c>
      <c r="B153">
        <v>34.200000000000003</v>
      </c>
      <c r="C153" s="179">
        <v>8550</v>
      </c>
    </row>
    <row r="154" spans="1:3" x14ac:dyDescent="0.35">
      <c r="A154" s="178" t="s">
        <v>3122</v>
      </c>
      <c r="B154">
        <v>33.950000000000003</v>
      </c>
      <c r="C154" s="179">
        <v>10015.25</v>
      </c>
    </row>
    <row r="155" spans="1:3" x14ac:dyDescent="0.35">
      <c r="A155" s="178" t="s">
        <v>3123</v>
      </c>
      <c r="B155">
        <v>33.729999999999997</v>
      </c>
      <c r="C155" s="179">
        <v>10149.799999999999</v>
      </c>
    </row>
    <row r="156" spans="1:3" x14ac:dyDescent="0.35">
      <c r="A156" s="178" t="s">
        <v>3124</v>
      </c>
      <c r="B156">
        <v>33.619999999999997</v>
      </c>
      <c r="C156" s="179">
        <v>9576.5499999999993</v>
      </c>
    </row>
    <row r="157" spans="1:3" x14ac:dyDescent="0.35">
      <c r="A157" s="178" t="s">
        <v>3125</v>
      </c>
      <c r="B157">
        <v>33.42</v>
      </c>
      <c r="C157" s="179">
        <v>11948.05</v>
      </c>
    </row>
    <row r="158" spans="1:3" x14ac:dyDescent="0.35">
      <c r="A158" s="178" t="s">
        <v>3126</v>
      </c>
      <c r="B158">
        <v>33.15</v>
      </c>
      <c r="C158" s="179">
        <v>9763.7999999999993</v>
      </c>
    </row>
    <row r="159" spans="1:3" x14ac:dyDescent="0.35">
      <c r="A159" s="178" t="s">
        <v>3127</v>
      </c>
      <c r="B159">
        <v>33.04</v>
      </c>
      <c r="C159" s="179">
        <v>14993.4</v>
      </c>
    </row>
    <row r="160" spans="1:3" x14ac:dyDescent="0.35">
      <c r="A160" s="178" t="s">
        <v>3128</v>
      </c>
      <c r="B160">
        <v>32.83</v>
      </c>
      <c r="C160" s="179">
        <v>11288.65</v>
      </c>
    </row>
    <row r="161" spans="1:3" x14ac:dyDescent="0.35">
      <c r="A161" s="178" t="s">
        <v>3129</v>
      </c>
      <c r="B161">
        <v>32.57</v>
      </c>
      <c r="C161" s="179">
        <v>8468.2000000000007</v>
      </c>
    </row>
    <row r="162" spans="1:3" x14ac:dyDescent="0.35">
      <c r="A162" s="178" t="s">
        <v>3130</v>
      </c>
      <c r="B162">
        <v>32.29</v>
      </c>
      <c r="C162" s="179">
        <v>11624.4</v>
      </c>
    </row>
    <row r="163" spans="1:3" x14ac:dyDescent="0.35">
      <c r="A163" s="178" t="s">
        <v>2850</v>
      </c>
      <c r="B163">
        <v>32.200000000000003</v>
      </c>
      <c r="C163" s="179">
        <v>12976</v>
      </c>
    </row>
    <row r="164" spans="1:3" x14ac:dyDescent="0.35">
      <c r="A164" s="178" t="s">
        <v>3131</v>
      </c>
      <c r="B164">
        <v>31.69</v>
      </c>
      <c r="C164" s="179">
        <v>8397.85</v>
      </c>
    </row>
    <row r="165" spans="1:3" x14ac:dyDescent="0.35">
      <c r="A165" s="178" t="s">
        <v>3132</v>
      </c>
      <c r="B165">
        <v>31.36</v>
      </c>
      <c r="C165" s="179">
        <v>9598.7000000000007</v>
      </c>
    </row>
    <row r="166" spans="1:3" x14ac:dyDescent="0.35">
      <c r="A166" s="178" t="s">
        <v>3133</v>
      </c>
      <c r="B166">
        <v>31.18</v>
      </c>
      <c r="C166" s="179">
        <v>10757.1</v>
      </c>
    </row>
    <row r="167" spans="1:3" x14ac:dyDescent="0.35">
      <c r="A167" s="178" t="s">
        <v>3134</v>
      </c>
      <c r="B167">
        <v>30.82</v>
      </c>
      <c r="C167" s="179">
        <v>12408.8</v>
      </c>
    </row>
    <row r="168" spans="1:3" x14ac:dyDescent="0.35">
      <c r="A168" s="178" t="s">
        <v>2921</v>
      </c>
      <c r="B168">
        <v>30.69</v>
      </c>
      <c r="C168" s="179">
        <v>11477.8</v>
      </c>
    </row>
    <row r="169" spans="1:3" x14ac:dyDescent="0.35">
      <c r="A169" s="178" t="s">
        <v>3029</v>
      </c>
      <c r="B169">
        <v>30.51</v>
      </c>
      <c r="C169" s="179">
        <v>10373.4</v>
      </c>
    </row>
    <row r="170" spans="1:3" x14ac:dyDescent="0.35">
      <c r="A170" s="178" t="s">
        <v>3135</v>
      </c>
      <c r="B170">
        <v>30.19</v>
      </c>
      <c r="C170" s="179">
        <v>10415.549999999999</v>
      </c>
    </row>
    <row r="171" spans="1:3" x14ac:dyDescent="0.35">
      <c r="A171" s="178" t="s">
        <v>3136</v>
      </c>
      <c r="B171">
        <v>30.17</v>
      </c>
      <c r="C171" s="179">
        <v>11683.1</v>
      </c>
    </row>
    <row r="172" spans="1:3" x14ac:dyDescent="0.35">
      <c r="A172" s="178" t="s">
        <v>3137</v>
      </c>
      <c r="B172">
        <v>29.5</v>
      </c>
      <c r="C172" s="179">
        <v>6642.4</v>
      </c>
    </row>
    <row r="173" spans="1:3" x14ac:dyDescent="0.35">
      <c r="A173" s="178" t="s">
        <v>3138</v>
      </c>
      <c r="B173">
        <v>29.32</v>
      </c>
      <c r="C173" s="179">
        <v>7599.2</v>
      </c>
    </row>
    <row r="174" spans="1:3" x14ac:dyDescent="0.35">
      <c r="A174" s="178" t="s">
        <v>3139</v>
      </c>
      <c r="B174">
        <v>29.14</v>
      </c>
      <c r="C174" s="179">
        <v>8965.0499999999993</v>
      </c>
    </row>
    <row r="175" spans="1:3" x14ac:dyDescent="0.35">
      <c r="A175" s="178" t="s">
        <v>3140</v>
      </c>
      <c r="B175">
        <v>28.71</v>
      </c>
      <c r="C175" s="179">
        <v>10479.15</v>
      </c>
    </row>
    <row r="176" spans="1:3" x14ac:dyDescent="0.35">
      <c r="A176" s="178" t="s">
        <v>3141</v>
      </c>
      <c r="B176">
        <v>28.64</v>
      </c>
      <c r="C176" s="179">
        <v>8648.7999999999993</v>
      </c>
    </row>
    <row r="177" spans="1:3" x14ac:dyDescent="0.35">
      <c r="A177" s="178" t="s">
        <v>2977</v>
      </c>
      <c r="B177">
        <v>28.51</v>
      </c>
      <c r="C177" s="179">
        <v>10835.15</v>
      </c>
    </row>
    <row r="178" spans="1:3" x14ac:dyDescent="0.35">
      <c r="A178" s="178" t="s">
        <v>3142</v>
      </c>
      <c r="B178">
        <v>28.37</v>
      </c>
      <c r="C178" s="179">
        <v>8997.65</v>
      </c>
    </row>
    <row r="179" spans="1:3" x14ac:dyDescent="0.35">
      <c r="A179" s="178" t="s">
        <v>3143</v>
      </c>
      <c r="B179">
        <v>26.57</v>
      </c>
      <c r="C179" s="179">
        <v>10415.6</v>
      </c>
    </row>
    <row r="180" spans="1:3" x14ac:dyDescent="0.35">
      <c r="A180" s="178" t="s">
        <v>3144</v>
      </c>
      <c r="B180">
        <v>26.35</v>
      </c>
      <c r="C180" s="179">
        <v>10472.1</v>
      </c>
    </row>
    <row r="181" spans="1:3" x14ac:dyDescent="0.35">
      <c r="A181" s="178" t="s">
        <v>2985</v>
      </c>
      <c r="B181">
        <v>26.25</v>
      </c>
      <c r="C181" s="179">
        <v>11067.45</v>
      </c>
    </row>
    <row r="182" spans="1:3" x14ac:dyDescent="0.35">
      <c r="A182" s="178" t="s">
        <v>3145</v>
      </c>
      <c r="B182">
        <v>26.15</v>
      </c>
      <c r="C182" s="179">
        <v>8805.2000000000007</v>
      </c>
    </row>
    <row r="183" spans="1:3" x14ac:dyDescent="0.35">
      <c r="A183" s="178" t="s">
        <v>3146</v>
      </c>
      <c r="B183">
        <v>25.76</v>
      </c>
      <c r="C183" s="179">
        <v>7661.3</v>
      </c>
    </row>
    <row r="184" spans="1:3" x14ac:dyDescent="0.35">
      <c r="A184" s="178" t="s">
        <v>3147</v>
      </c>
      <c r="B184">
        <v>25.69</v>
      </c>
      <c r="C184" s="179">
        <v>9633.75</v>
      </c>
    </row>
    <row r="185" spans="1:3" x14ac:dyDescent="0.35">
      <c r="A185" s="178" t="s">
        <v>3148</v>
      </c>
      <c r="B185">
        <v>25.54</v>
      </c>
      <c r="C185" s="179">
        <v>10704.5</v>
      </c>
    </row>
    <row r="186" spans="1:3" x14ac:dyDescent="0.35">
      <c r="A186" s="178" t="s">
        <v>3149</v>
      </c>
      <c r="B186">
        <v>24.8</v>
      </c>
      <c r="C186" s="179">
        <v>8928</v>
      </c>
    </row>
    <row r="187" spans="1:3" x14ac:dyDescent="0.35">
      <c r="A187" s="178" t="s">
        <v>3150</v>
      </c>
      <c r="B187">
        <v>24.78</v>
      </c>
      <c r="C187" s="179">
        <v>9168.6</v>
      </c>
    </row>
    <row r="188" spans="1:3" x14ac:dyDescent="0.35">
      <c r="A188" s="178" t="s">
        <v>2859</v>
      </c>
      <c r="B188">
        <v>24.75</v>
      </c>
      <c r="C188" s="179">
        <v>10036.35</v>
      </c>
    </row>
    <row r="189" spans="1:3" x14ac:dyDescent="0.35">
      <c r="A189" s="178" t="s">
        <v>3151</v>
      </c>
      <c r="B189">
        <v>24.58</v>
      </c>
      <c r="C189" s="179">
        <v>6975.4</v>
      </c>
    </row>
    <row r="190" spans="1:3" x14ac:dyDescent="0.35">
      <c r="A190" s="178" t="s">
        <v>3152</v>
      </c>
      <c r="B190">
        <v>24.19</v>
      </c>
      <c r="C190" s="179">
        <v>8272.7000000000007</v>
      </c>
    </row>
    <row r="191" spans="1:3" x14ac:dyDescent="0.35">
      <c r="A191" s="178" t="s">
        <v>3153</v>
      </c>
      <c r="B191">
        <v>24.19</v>
      </c>
      <c r="C191" s="179">
        <v>5596.85</v>
      </c>
    </row>
    <row r="192" spans="1:3" x14ac:dyDescent="0.35">
      <c r="A192" s="178" t="s">
        <v>3154</v>
      </c>
      <c r="B192">
        <v>24.11</v>
      </c>
      <c r="C192" s="179">
        <v>8301.0499999999993</v>
      </c>
    </row>
    <row r="193" spans="1:3" x14ac:dyDescent="0.35">
      <c r="A193" s="178" t="s">
        <v>3155</v>
      </c>
      <c r="B193">
        <v>23.87</v>
      </c>
      <c r="C193" s="179">
        <v>7768</v>
      </c>
    </row>
    <row r="194" spans="1:3" x14ac:dyDescent="0.35">
      <c r="A194" s="178" t="s">
        <v>3156</v>
      </c>
      <c r="B194">
        <v>23.35</v>
      </c>
      <c r="C194" s="179">
        <v>8989.75</v>
      </c>
    </row>
    <row r="195" spans="1:3" x14ac:dyDescent="0.35">
      <c r="A195" s="178" t="s">
        <v>2993</v>
      </c>
      <c r="B195">
        <v>22.73</v>
      </c>
      <c r="C195" s="179">
        <v>6364.4</v>
      </c>
    </row>
    <row r="196" spans="1:3" x14ac:dyDescent="0.35">
      <c r="A196" s="178" t="s">
        <v>2942</v>
      </c>
      <c r="B196">
        <v>22.72</v>
      </c>
      <c r="C196" s="179">
        <v>8593.2900000000009</v>
      </c>
    </row>
    <row r="197" spans="1:3" x14ac:dyDescent="0.35">
      <c r="A197" s="178" t="s">
        <v>2931</v>
      </c>
      <c r="B197">
        <v>22.55</v>
      </c>
      <c r="C197" s="179">
        <v>9360.7999999999993</v>
      </c>
    </row>
    <row r="198" spans="1:3" x14ac:dyDescent="0.35">
      <c r="A198" s="178" t="s">
        <v>3157</v>
      </c>
      <c r="B198">
        <v>22.17</v>
      </c>
      <c r="C198" s="179">
        <v>8503.35</v>
      </c>
    </row>
    <row r="199" spans="1:3" x14ac:dyDescent="0.35">
      <c r="A199" s="178" t="s">
        <v>3158</v>
      </c>
      <c r="B199">
        <v>22.16</v>
      </c>
      <c r="C199" s="179">
        <v>7252.5</v>
      </c>
    </row>
    <row r="200" spans="1:3" x14ac:dyDescent="0.35">
      <c r="A200" s="178" t="s">
        <v>3159</v>
      </c>
      <c r="B200">
        <v>21.92</v>
      </c>
      <c r="C200" s="179">
        <v>8285.7999999999993</v>
      </c>
    </row>
    <row r="201" spans="1:3" x14ac:dyDescent="0.35">
      <c r="A201" s="178" t="s">
        <v>3160</v>
      </c>
      <c r="B201">
        <v>21.86</v>
      </c>
      <c r="C201" s="179">
        <v>8282.7000000000007</v>
      </c>
    </row>
    <row r="202" spans="1:3" x14ac:dyDescent="0.35">
      <c r="A202" s="178" t="s">
        <v>3161</v>
      </c>
      <c r="B202">
        <v>21.69</v>
      </c>
      <c r="C202" s="179">
        <v>7374.6</v>
      </c>
    </row>
    <row r="203" spans="1:3" x14ac:dyDescent="0.35">
      <c r="A203" s="178" t="s">
        <v>3162</v>
      </c>
      <c r="B203">
        <v>21</v>
      </c>
      <c r="C203" s="179">
        <v>7000</v>
      </c>
    </row>
    <row r="204" spans="1:3" x14ac:dyDescent="0.35">
      <c r="A204" s="178" t="s">
        <v>3163</v>
      </c>
      <c r="B204">
        <v>20.81</v>
      </c>
      <c r="C204" s="179">
        <v>8740.2000000000007</v>
      </c>
    </row>
    <row r="205" spans="1:3" x14ac:dyDescent="0.35">
      <c r="A205" s="178" t="s">
        <v>3009</v>
      </c>
      <c r="B205">
        <v>20.53</v>
      </c>
      <c r="C205" s="179">
        <v>7600.6</v>
      </c>
    </row>
    <row r="206" spans="1:3" x14ac:dyDescent="0.35">
      <c r="A206" s="178" t="s">
        <v>3164</v>
      </c>
      <c r="B206">
        <v>20.28</v>
      </c>
      <c r="C206" s="179">
        <v>7968.3</v>
      </c>
    </row>
    <row r="207" spans="1:3" x14ac:dyDescent="0.35">
      <c r="A207" s="178" t="s">
        <v>3165</v>
      </c>
      <c r="B207">
        <v>20.25</v>
      </c>
      <c r="C207" s="179">
        <v>4657.5</v>
      </c>
    </row>
    <row r="208" spans="1:3" x14ac:dyDescent="0.35">
      <c r="A208" s="178" t="s">
        <v>2866</v>
      </c>
      <c r="B208">
        <v>20.079999999999998</v>
      </c>
      <c r="C208" s="179">
        <v>7120.1</v>
      </c>
    </row>
    <row r="209" spans="1:3" x14ac:dyDescent="0.35">
      <c r="A209" s="178" t="s">
        <v>3025</v>
      </c>
      <c r="B209">
        <v>19.93</v>
      </c>
      <c r="C209" s="179">
        <v>5638.05</v>
      </c>
    </row>
    <row r="210" spans="1:3" x14ac:dyDescent="0.35">
      <c r="A210" s="178" t="s">
        <v>3166</v>
      </c>
      <c r="B210">
        <v>19.52</v>
      </c>
      <c r="C210" s="179">
        <v>7141.8</v>
      </c>
    </row>
    <row r="211" spans="1:3" x14ac:dyDescent="0.35">
      <c r="A211" s="178" t="s">
        <v>3167</v>
      </c>
      <c r="B211">
        <v>19.489999999999998</v>
      </c>
      <c r="C211" s="179">
        <v>7142.95</v>
      </c>
    </row>
    <row r="212" spans="1:3" x14ac:dyDescent="0.35">
      <c r="A212" s="178" t="s">
        <v>3168</v>
      </c>
      <c r="B212">
        <v>19.3</v>
      </c>
      <c r="C212" s="179">
        <v>5581.5</v>
      </c>
    </row>
    <row r="213" spans="1:3" x14ac:dyDescent="0.35">
      <c r="A213" s="178" t="s">
        <v>3169</v>
      </c>
      <c r="B213">
        <v>19.23</v>
      </c>
      <c r="C213" s="179">
        <v>8076.6</v>
      </c>
    </row>
    <row r="214" spans="1:3" x14ac:dyDescent="0.35">
      <c r="A214" s="178" t="s">
        <v>2906</v>
      </c>
      <c r="B214">
        <v>19.05</v>
      </c>
      <c r="C214" s="179">
        <v>5143.5</v>
      </c>
    </row>
    <row r="215" spans="1:3" x14ac:dyDescent="0.35">
      <c r="A215" s="178" t="s">
        <v>3170</v>
      </c>
      <c r="B215">
        <v>18.989999999999998</v>
      </c>
      <c r="C215" s="179">
        <v>6994.25</v>
      </c>
    </row>
    <row r="216" spans="1:3" x14ac:dyDescent="0.35">
      <c r="A216" s="178" t="s">
        <v>2937</v>
      </c>
      <c r="B216">
        <v>18.87</v>
      </c>
      <c r="C216" s="179">
        <v>7264.95</v>
      </c>
    </row>
    <row r="217" spans="1:3" x14ac:dyDescent="0.35">
      <c r="A217" s="178" t="s">
        <v>3171</v>
      </c>
      <c r="B217">
        <v>18.84</v>
      </c>
      <c r="C217" s="179">
        <v>7199.05</v>
      </c>
    </row>
    <row r="218" spans="1:3" x14ac:dyDescent="0.35">
      <c r="A218" s="178" t="s">
        <v>2979</v>
      </c>
      <c r="B218">
        <v>18.84</v>
      </c>
      <c r="C218" s="179">
        <v>7630.2</v>
      </c>
    </row>
    <row r="219" spans="1:3" x14ac:dyDescent="0.35">
      <c r="A219" s="178" t="s">
        <v>3172</v>
      </c>
      <c r="B219">
        <v>18.82</v>
      </c>
      <c r="C219" s="179">
        <v>7040.55</v>
      </c>
    </row>
    <row r="220" spans="1:3" x14ac:dyDescent="0.35">
      <c r="A220" s="178" t="s">
        <v>3030</v>
      </c>
      <c r="B220">
        <v>18.809999999999999</v>
      </c>
      <c r="C220" s="179">
        <v>5797.5</v>
      </c>
    </row>
    <row r="221" spans="1:3" x14ac:dyDescent="0.35">
      <c r="A221" s="178" t="s">
        <v>3173</v>
      </c>
      <c r="B221">
        <v>18.75</v>
      </c>
      <c r="C221" s="179">
        <v>6750</v>
      </c>
    </row>
    <row r="222" spans="1:3" x14ac:dyDescent="0.35">
      <c r="A222" s="178" t="s">
        <v>3174</v>
      </c>
      <c r="B222">
        <v>18.690000000000001</v>
      </c>
      <c r="C222" s="179">
        <v>7008.75</v>
      </c>
    </row>
    <row r="223" spans="1:3" x14ac:dyDescent="0.35">
      <c r="A223" s="178" t="s">
        <v>3175</v>
      </c>
      <c r="B223">
        <v>18.260000000000002</v>
      </c>
      <c r="C223" s="179">
        <v>7577.9</v>
      </c>
    </row>
    <row r="224" spans="1:3" x14ac:dyDescent="0.35">
      <c r="A224" s="178" t="s">
        <v>3176</v>
      </c>
      <c r="B224">
        <v>18.100000000000001</v>
      </c>
      <c r="C224" s="179">
        <v>4142.8999999999996</v>
      </c>
    </row>
    <row r="225" spans="1:3" x14ac:dyDescent="0.35">
      <c r="A225" s="178" t="s">
        <v>3177</v>
      </c>
      <c r="B225">
        <v>17.850000000000001</v>
      </c>
      <c r="C225" s="179">
        <v>7438.05</v>
      </c>
    </row>
    <row r="226" spans="1:3" x14ac:dyDescent="0.35">
      <c r="A226" s="178" t="s">
        <v>2899</v>
      </c>
      <c r="B226">
        <v>17.77</v>
      </c>
      <c r="C226" s="179">
        <v>7552</v>
      </c>
    </row>
    <row r="227" spans="1:3" x14ac:dyDescent="0.35">
      <c r="A227" s="178" t="s">
        <v>3178</v>
      </c>
      <c r="B227">
        <v>17.61</v>
      </c>
      <c r="C227" s="179">
        <v>6656.8</v>
      </c>
    </row>
    <row r="228" spans="1:3" x14ac:dyDescent="0.35">
      <c r="A228" s="178" t="s">
        <v>3179</v>
      </c>
      <c r="B228">
        <v>17.579999999999998</v>
      </c>
      <c r="C228" s="179">
        <v>6768.3</v>
      </c>
    </row>
    <row r="229" spans="1:3" x14ac:dyDescent="0.35">
      <c r="A229" s="178" t="s">
        <v>3180</v>
      </c>
      <c r="B229">
        <v>17.43</v>
      </c>
      <c r="C229" s="179">
        <v>6392.45</v>
      </c>
    </row>
    <row r="230" spans="1:3" x14ac:dyDescent="0.35">
      <c r="A230" s="178" t="s">
        <v>3181</v>
      </c>
      <c r="B230">
        <v>17.350000000000001</v>
      </c>
      <c r="C230" s="179">
        <v>5118.25</v>
      </c>
    </row>
    <row r="231" spans="1:3" x14ac:dyDescent="0.35">
      <c r="A231" s="178" t="s">
        <v>3182</v>
      </c>
      <c r="B231">
        <v>17.27</v>
      </c>
      <c r="C231" s="179">
        <v>6217.2</v>
      </c>
    </row>
    <row r="232" spans="1:3" x14ac:dyDescent="0.35">
      <c r="A232" s="178" t="s">
        <v>3183</v>
      </c>
      <c r="B232">
        <v>17.02</v>
      </c>
      <c r="C232" s="179">
        <v>4200.8500000000004</v>
      </c>
    </row>
    <row r="233" spans="1:3" x14ac:dyDescent="0.35">
      <c r="A233" s="178" t="s">
        <v>3184</v>
      </c>
      <c r="B233">
        <v>16.68</v>
      </c>
      <c r="C233" s="179">
        <v>6601.6</v>
      </c>
    </row>
    <row r="234" spans="1:3" x14ac:dyDescent="0.35">
      <c r="A234" s="178" t="s">
        <v>3185</v>
      </c>
      <c r="B234">
        <v>16.579999999999998</v>
      </c>
      <c r="C234" s="179">
        <v>5686.7</v>
      </c>
    </row>
    <row r="235" spans="1:3" x14ac:dyDescent="0.35">
      <c r="A235" s="178" t="s">
        <v>3186</v>
      </c>
      <c r="B235">
        <v>16.57</v>
      </c>
      <c r="C235" s="179">
        <v>6514.95</v>
      </c>
    </row>
    <row r="236" spans="1:3" x14ac:dyDescent="0.35">
      <c r="A236" s="178" t="s">
        <v>3013</v>
      </c>
      <c r="B236">
        <v>16.41</v>
      </c>
      <c r="C236" s="179">
        <v>5912.65</v>
      </c>
    </row>
    <row r="237" spans="1:3" x14ac:dyDescent="0.35">
      <c r="A237" s="178" t="s">
        <v>3187</v>
      </c>
      <c r="B237">
        <v>16.38</v>
      </c>
      <c r="C237" s="179">
        <v>3603.6</v>
      </c>
    </row>
    <row r="238" spans="1:3" x14ac:dyDescent="0.35">
      <c r="A238" s="178" t="s">
        <v>3188</v>
      </c>
      <c r="B238">
        <v>16.32</v>
      </c>
      <c r="C238" s="179">
        <v>4814.3999999999996</v>
      </c>
    </row>
    <row r="239" spans="1:3" x14ac:dyDescent="0.35">
      <c r="A239" s="178" t="s">
        <v>3189</v>
      </c>
      <c r="B239">
        <v>16.22</v>
      </c>
      <c r="C239" s="179">
        <v>5839.2</v>
      </c>
    </row>
    <row r="240" spans="1:3" x14ac:dyDescent="0.35">
      <c r="A240" s="178" t="s">
        <v>3190</v>
      </c>
      <c r="B240">
        <v>16.149999999999999</v>
      </c>
      <c r="C240" s="179">
        <v>6088.9</v>
      </c>
    </row>
    <row r="241" spans="1:3" x14ac:dyDescent="0.35">
      <c r="A241" s="178" t="s">
        <v>3191</v>
      </c>
      <c r="B241">
        <v>16.13</v>
      </c>
      <c r="C241" s="179">
        <v>5787.15</v>
      </c>
    </row>
    <row r="242" spans="1:3" x14ac:dyDescent="0.35">
      <c r="A242" s="178" t="s">
        <v>2905</v>
      </c>
      <c r="B242">
        <v>16.03</v>
      </c>
      <c r="C242" s="179">
        <v>6504.15</v>
      </c>
    </row>
    <row r="243" spans="1:3" x14ac:dyDescent="0.35">
      <c r="A243" s="178" t="s">
        <v>3192</v>
      </c>
      <c r="B243">
        <v>16</v>
      </c>
      <c r="C243" s="179">
        <v>5840</v>
      </c>
    </row>
    <row r="244" spans="1:3" x14ac:dyDescent="0.35">
      <c r="A244" s="178" t="s">
        <v>3193</v>
      </c>
      <c r="B244">
        <v>16</v>
      </c>
      <c r="C244" s="179">
        <v>11653.31</v>
      </c>
    </row>
    <row r="245" spans="1:3" x14ac:dyDescent="0.35">
      <c r="A245" s="178" t="s">
        <v>2878</v>
      </c>
      <c r="B245">
        <v>15.9</v>
      </c>
      <c r="C245" s="179">
        <v>6463.6</v>
      </c>
    </row>
    <row r="246" spans="1:3" x14ac:dyDescent="0.35">
      <c r="A246" s="178" t="s">
        <v>3194</v>
      </c>
      <c r="B246">
        <v>15.84</v>
      </c>
      <c r="C246" s="179">
        <v>5384.2</v>
      </c>
    </row>
    <row r="247" spans="1:3" x14ac:dyDescent="0.35">
      <c r="A247" s="178" t="s">
        <v>3195</v>
      </c>
      <c r="B247">
        <v>15.79</v>
      </c>
      <c r="C247" s="179">
        <v>4421.2</v>
      </c>
    </row>
    <row r="248" spans="1:3" x14ac:dyDescent="0.35">
      <c r="A248" s="178" t="s">
        <v>3196</v>
      </c>
      <c r="B248">
        <v>15.76</v>
      </c>
      <c r="C248" s="179">
        <v>5910</v>
      </c>
    </row>
    <row r="249" spans="1:3" x14ac:dyDescent="0.35">
      <c r="A249" s="178" t="s">
        <v>3197</v>
      </c>
      <c r="B249">
        <v>15.6</v>
      </c>
      <c r="C249" s="179">
        <v>4703.7</v>
      </c>
    </row>
    <row r="250" spans="1:3" x14ac:dyDescent="0.35">
      <c r="A250" s="178" t="s">
        <v>3198</v>
      </c>
      <c r="B250">
        <v>15.49</v>
      </c>
      <c r="C250" s="179">
        <v>5520.97</v>
      </c>
    </row>
    <row r="251" spans="1:3" x14ac:dyDescent="0.35">
      <c r="A251" s="178" t="s">
        <v>3199</v>
      </c>
      <c r="B251">
        <v>15.48</v>
      </c>
      <c r="C251" s="179">
        <v>4566.6000000000004</v>
      </c>
    </row>
    <row r="252" spans="1:3" x14ac:dyDescent="0.35">
      <c r="A252" s="178" t="s">
        <v>3200</v>
      </c>
      <c r="B252">
        <v>15.44</v>
      </c>
      <c r="C252" s="179">
        <v>4246</v>
      </c>
    </row>
    <row r="253" spans="1:3" x14ac:dyDescent="0.35">
      <c r="A253" s="178" t="s">
        <v>3201</v>
      </c>
      <c r="B253">
        <v>15.39</v>
      </c>
      <c r="C253" s="179">
        <v>5631.25</v>
      </c>
    </row>
    <row r="254" spans="1:3" x14ac:dyDescent="0.35">
      <c r="A254" s="178" t="s">
        <v>3202</v>
      </c>
      <c r="B254">
        <v>15.37</v>
      </c>
      <c r="C254" s="179">
        <v>4378.8</v>
      </c>
    </row>
    <row r="255" spans="1:3" x14ac:dyDescent="0.35">
      <c r="A255" s="178" t="s">
        <v>3203</v>
      </c>
      <c r="B255">
        <v>15.26</v>
      </c>
      <c r="C255" s="179">
        <v>5722.5</v>
      </c>
    </row>
    <row r="256" spans="1:3" x14ac:dyDescent="0.35">
      <c r="A256" s="178" t="s">
        <v>3204</v>
      </c>
      <c r="B256">
        <v>15.04</v>
      </c>
      <c r="C256" s="179">
        <v>6402.05</v>
      </c>
    </row>
    <row r="257" spans="1:3" x14ac:dyDescent="0.35">
      <c r="A257" s="178" t="s">
        <v>3205</v>
      </c>
      <c r="B257">
        <v>14.93</v>
      </c>
      <c r="C257" s="179">
        <v>5061.8999999999996</v>
      </c>
    </row>
    <row r="258" spans="1:3" x14ac:dyDescent="0.35">
      <c r="A258" s="178" t="s">
        <v>3206</v>
      </c>
      <c r="B258">
        <v>14.78</v>
      </c>
      <c r="C258" s="179">
        <v>5993.15</v>
      </c>
    </row>
    <row r="259" spans="1:3" x14ac:dyDescent="0.35">
      <c r="A259" s="178" t="s">
        <v>3207</v>
      </c>
      <c r="B259">
        <v>14.75</v>
      </c>
      <c r="C259" s="179">
        <v>5664.55</v>
      </c>
    </row>
    <row r="260" spans="1:3" x14ac:dyDescent="0.35">
      <c r="A260" s="178" t="s">
        <v>3208</v>
      </c>
      <c r="B260">
        <v>14.71</v>
      </c>
      <c r="C260" s="179">
        <v>4192.3500000000004</v>
      </c>
    </row>
    <row r="261" spans="1:3" x14ac:dyDescent="0.35">
      <c r="A261" s="178" t="s">
        <v>3209</v>
      </c>
      <c r="B261">
        <v>14.7</v>
      </c>
      <c r="C261" s="179">
        <v>6724.02</v>
      </c>
    </row>
    <row r="262" spans="1:3" x14ac:dyDescent="0.35">
      <c r="A262" s="178" t="s">
        <v>3210</v>
      </c>
      <c r="B262">
        <v>14.65</v>
      </c>
      <c r="C262" s="179">
        <v>4102</v>
      </c>
    </row>
    <row r="263" spans="1:3" x14ac:dyDescent="0.35">
      <c r="A263" s="178" t="s">
        <v>3211</v>
      </c>
      <c r="B263">
        <v>14.57</v>
      </c>
      <c r="C263" s="179">
        <v>5825.25</v>
      </c>
    </row>
    <row r="264" spans="1:3" x14ac:dyDescent="0.35">
      <c r="A264" s="178" t="s">
        <v>3212</v>
      </c>
      <c r="B264">
        <v>14.51</v>
      </c>
      <c r="C264" s="179">
        <v>5895.4</v>
      </c>
    </row>
    <row r="265" spans="1:3" x14ac:dyDescent="0.35">
      <c r="A265" s="178" t="s">
        <v>3213</v>
      </c>
      <c r="B265">
        <v>14.26</v>
      </c>
      <c r="C265" s="179">
        <v>5193.6000000000004</v>
      </c>
    </row>
    <row r="266" spans="1:3" x14ac:dyDescent="0.35">
      <c r="A266" s="178" t="s">
        <v>3022</v>
      </c>
      <c r="B266">
        <v>14.23</v>
      </c>
      <c r="C266" s="179">
        <v>3415.2</v>
      </c>
    </row>
    <row r="267" spans="1:3" x14ac:dyDescent="0.35">
      <c r="A267" s="178" t="s">
        <v>3214</v>
      </c>
      <c r="B267">
        <v>14.08</v>
      </c>
      <c r="C267" s="179">
        <v>3520</v>
      </c>
    </row>
    <row r="268" spans="1:3" x14ac:dyDescent="0.35">
      <c r="A268" s="178" t="s">
        <v>3215</v>
      </c>
      <c r="B268">
        <v>13.66</v>
      </c>
      <c r="C268" s="179">
        <v>4234.6000000000004</v>
      </c>
    </row>
    <row r="269" spans="1:3" x14ac:dyDescent="0.35">
      <c r="A269" s="178" t="s">
        <v>3216</v>
      </c>
      <c r="B269">
        <v>13.66</v>
      </c>
      <c r="C269" s="179">
        <v>3824.8</v>
      </c>
    </row>
    <row r="270" spans="1:3" x14ac:dyDescent="0.35">
      <c r="A270" s="178" t="s">
        <v>3217</v>
      </c>
      <c r="B270">
        <v>13.47</v>
      </c>
      <c r="C270" s="179">
        <v>5264.3</v>
      </c>
    </row>
    <row r="271" spans="1:3" x14ac:dyDescent="0.35">
      <c r="A271" s="178" t="s">
        <v>3218</v>
      </c>
      <c r="B271">
        <v>13.45</v>
      </c>
      <c r="C271" s="179">
        <v>4869.75</v>
      </c>
    </row>
    <row r="272" spans="1:3" x14ac:dyDescent="0.35">
      <c r="A272" s="178" t="s">
        <v>3219</v>
      </c>
      <c r="B272">
        <v>13.44</v>
      </c>
      <c r="C272" s="179">
        <v>4602.8</v>
      </c>
    </row>
    <row r="273" spans="1:3" x14ac:dyDescent="0.35">
      <c r="A273" s="178" t="s">
        <v>3220</v>
      </c>
      <c r="B273">
        <v>13.39</v>
      </c>
      <c r="C273" s="179">
        <v>4826.05</v>
      </c>
    </row>
    <row r="274" spans="1:3" x14ac:dyDescent="0.35">
      <c r="A274" s="178" t="s">
        <v>3221</v>
      </c>
      <c r="B274">
        <v>13.38</v>
      </c>
      <c r="C274" s="179">
        <v>5149.5</v>
      </c>
    </row>
    <row r="275" spans="1:3" x14ac:dyDescent="0.35">
      <c r="A275" s="178" t="s">
        <v>3222</v>
      </c>
      <c r="B275">
        <v>13.16</v>
      </c>
      <c r="C275" s="179">
        <v>4921.95</v>
      </c>
    </row>
    <row r="276" spans="1:3" x14ac:dyDescent="0.35">
      <c r="A276" s="178" t="s">
        <v>2913</v>
      </c>
      <c r="B276">
        <v>13.1</v>
      </c>
      <c r="C276" s="179">
        <v>22950.5</v>
      </c>
    </row>
    <row r="277" spans="1:3" x14ac:dyDescent="0.35">
      <c r="A277" s="178" t="s">
        <v>3223</v>
      </c>
      <c r="B277">
        <v>12.98</v>
      </c>
      <c r="C277" s="179">
        <v>4823.6000000000004</v>
      </c>
    </row>
    <row r="278" spans="1:3" x14ac:dyDescent="0.35">
      <c r="A278" s="178" t="s">
        <v>2889</v>
      </c>
      <c r="B278">
        <v>12.91</v>
      </c>
      <c r="C278" s="179">
        <v>5279.65</v>
      </c>
    </row>
    <row r="279" spans="1:3" x14ac:dyDescent="0.35">
      <c r="A279" s="178" t="s">
        <v>3224</v>
      </c>
      <c r="B279">
        <v>12.9</v>
      </c>
      <c r="C279" s="179">
        <v>3909.78</v>
      </c>
    </row>
    <row r="280" spans="1:3" x14ac:dyDescent="0.35">
      <c r="A280" s="178" t="s">
        <v>3225</v>
      </c>
      <c r="B280">
        <v>12.74</v>
      </c>
      <c r="C280" s="179">
        <v>3694.6</v>
      </c>
    </row>
    <row r="281" spans="1:3" x14ac:dyDescent="0.35">
      <c r="A281" s="178" t="s">
        <v>3226</v>
      </c>
      <c r="B281">
        <v>12.73</v>
      </c>
      <c r="C281" s="179">
        <v>4582.8</v>
      </c>
    </row>
    <row r="282" spans="1:3" x14ac:dyDescent="0.35">
      <c r="A282" s="178" t="s">
        <v>3227</v>
      </c>
      <c r="B282">
        <v>12.67</v>
      </c>
      <c r="C282" s="179">
        <v>2822.17</v>
      </c>
    </row>
    <row r="283" spans="1:3" x14ac:dyDescent="0.35">
      <c r="A283" s="178" t="s">
        <v>3228</v>
      </c>
      <c r="B283">
        <v>12.62</v>
      </c>
      <c r="C283" s="179">
        <v>4984.8999999999996</v>
      </c>
    </row>
    <row r="284" spans="1:3" x14ac:dyDescent="0.35">
      <c r="A284" s="178" t="s">
        <v>3229</v>
      </c>
      <c r="B284">
        <v>12.53</v>
      </c>
      <c r="C284" s="179">
        <v>3132.5</v>
      </c>
    </row>
    <row r="285" spans="1:3" x14ac:dyDescent="0.35">
      <c r="A285" s="178" t="s">
        <v>3230</v>
      </c>
      <c r="B285">
        <v>12.46</v>
      </c>
      <c r="C285" s="179">
        <v>4797.1000000000004</v>
      </c>
    </row>
    <row r="286" spans="1:3" x14ac:dyDescent="0.35">
      <c r="A286" s="178" t="s">
        <v>3231</v>
      </c>
      <c r="B286">
        <v>12.21</v>
      </c>
      <c r="C286" s="179">
        <v>4456.6499999999996</v>
      </c>
    </row>
    <row r="287" spans="1:3" x14ac:dyDescent="0.35">
      <c r="A287" s="178" t="s">
        <v>3232</v>
      </c>
      <c r="B287">
        <v>12.19</v>
      </c>
      <c r="C287" s="179">
        <v>3047.5</v>
      </c>
    </row>
    <row r="288" spans="1:3" x14ac:dyDescent="0.35">
      <c r="A288" s="178" t="s">
        <v>2956</v>
      </c>
      <c r="B288">
        <v>12.03</v>
      </c>
      <c r="C288" s="179">
        <v>4815</v>
      </c>
    </row>
    <row r="289" spans="1:3" x14ac:dyDescent="0.35">
      <c r="A289" s="178" t="s">
        <v>2986</v>
      </c>
      <c r="B289">
        <v>12.01</v>
      </c>
      <c r="C289" s="179">
        <v>4803.8999999999996</v>
      </c>
    </row>
    <row r="290" spans="1:3" x14ac:dyDescent="0.35">
      <c r="A290" s="178" t="s">
        <v>3233</v>
      </c>
      <c r="B290">
        <v>11.94</v>
      </c>
      <c r="C290" s="179">
        <v>4642.0200000000004</v>
      </c>
    </row>
    <row r="291" spans="1:3" x14ac:dyDescent="0.35">
      <c r="A291" s="178" t="s">
        <v>3234</v>
      </c>
      <c r="B291">
        <v>11.91</v>
      </c>
      <c r="C291" s="179">
        <v>4569.1000000000004</v>
      </c>
    </row>
    <row r="292" spans="1:3" x14ac:dyDescent="0.35">
      <c r="A292" s="178" t="s">
        <v>3235</v>
      </c>
      <c r="B292">
        <v>11.89</v>
      </c>
      <c r="C292" s="179">
        <v>4931.3500000000004</v>
      </c>
    </row>
    <row r="293" spans="1:3" x14ac:dyDescent="0.35">
      <c r="A293" s="178" t="s">
        <v>3236</v>
      </c>
      <c r="B293">
        <v>11.73</v>
      </c>
      <c r="C293" s="179">
        <v>3521.5</v>
      </c>
    </row>
    <row r="294" spans="1:3" x14ac:dyDescent="0.35">
      <c r="A294" s="178" t="s">
        <v>3237</v>
      </c>
      <c r="B294">
        <v>11.66</v>
      </c>
      <c r="C294" s="179">
        <v>3323.1</v>
      </c>
    </row>
    <row r="295" spans="1:3" x14ac:dyDescent="0.35">
      <c r="A295" s="178" t="s">
        <v>3002</v>
      </c>
      <c r="B295">
        <v>11.63</v>
      </c>
      <c r="C295" s="179">
        <v>4128.6499999999996</v>
      </c>
    </row>
    <row r="296" spans="1:3" x14ac:dyDescent="0.35">
      <c r="A296" s="178" t="s">
        <v>3238</v>
      </c>
      <c r="B296">
        <v>11.61</v>
      </c>
      <c r="C296" s="179">
        <v>4469.8500000000004</v>
      </c>
    </row>
    <row r="297" spans="1:3" x14ac:dyDescent="0.35">
      <c r="A297" s="178" t="s">
        <v>3239</v>
      </c>
      <c r="B297">
        <v>11.61</v>
      </c>
      <c r="C297" s="179">
        <v>2786.4</v>
      </c>
    </row>
    <row r="298" spans="1:3" x14ac:dyDescent="0.35">
      <c r="A298" s="178" t="s">
        <v>3240</v>
      </c>
      <c r="B298">
        <v>11.45</v>
      </c>
      <c r="C298" s="179">
        <v>4522.75</v>
      </c>
    </row>
    <row r="299" spans="1:3" x14ac:dyDescent="0.35">
      <c r="A299" s="178" t="s">
        <v>3241</v>
      </c>
      <c r="B299">
        <v>11.45</v>
      </c>
      <c r="C299" s="179">
        <v>3549.5</v>
      </c>
    </row>
    <row r="300" spans="1:3" x14ac:dyDescent="0.35">
      <c r="A300" s="178" t="s">
        <v>3242</v>
      </c>
      <c r="B300">
        <v>11.45</v>
      </c>
      <c r="C300" s="179">
        <v>4236.5</v>
      </c>
    </row>
    <row r="301" spans="1:3" x14ac:dyDescent="0.35">
      <c r="A301" s="178" t="s">
        <v>3243</v>
      </c>
      <c r="B301">
        <v>11.43</v>
      </c>
      <c r="C301" s="179">
        <v>4408.8999999999996</v>
      </c>
    </row>
    <row r="302" spans="1:3" x14ac:dyDescent="0.35">
      <c r="A302" s="178" t="s">
        <v>3006</v>
      </c>
      <c r="B302">
        <v>11.42</v>
      </c>
      <c r="C302" s="179">
        <v>4279.45</v>
      </c>
    </row>
    <row r="303" spans="1:3" x14ac:dyDescent="0.35">
      <c r="A303" s="178" t="s">
        <v>3244</v>
      </c>
      <c r="B303">
        <v>11.38</v>
      </c>
      <c r="C303" s="179">
        <v>3015.7</v>
      </c>
    </row>
    <row r="304" spans="1:3" x14ac:dyDescent="0.35">
      <c r="A304" s="178" t="s">
        <v>2919</v>
      </c>
      <c r="B304">
        <v>11.34</v>
      </c>
      <c r="C304" s="179">
        <v>4082.4</v>
      </c>
    </row>
    <row r="305" spans="1:3" x14ac:dyDescent="0.35">
      <c r="A305" s="178" t="s">
        <v>3245</v>
      </c>
      <c r="B305">
        <v>11.26</v>
      </c>
      <c r="C305" s="179">
        <v>3981.8</v>
      </c>
    </row>
    <row r="306" spans="1:3" x14ac:dyDescent="0.35">
      <c r="A306" s="178" t="s">
        <v>3246</v>
      </c>
      <c r="B306">
        <v>11.17</v>
      </c>
      <c r="C306" s="179">
        <v>3127.6</v>
      </c>
    </row>
    <row r="307" spans="1:3" x14ac:dyDescent="0.35">
      <c r="A307" s="178" t="s">
        <v>3247</v>
      </c>
      <c r="B307">
        <v>11.12</v>
      </c>
      <c r="C307" s="179">
        <v>2972.2</v>
      </c>
    </row>
    <row r="308" spans="1:3" x14ac:dyDescent="0.35">
      <c r="A308" s="178" t="s">
        <v>3248</v>
      </c>
      <c r="B308">
        <v>11.06</v>
      </c>
      <c r="C308" s="179">
        <v>3926.3</v>
      </c>
    </row>
    <row r="309" spans="1:3" x14ac:dyDescent="0.35">
      <c r="A309" s="178" t="s">
        <v>3249</v>
      </c>
      <c r="B309">
        <v>11.02</v>
      </c>
      <c r="C309" s="179">
        <v>4132.5</v>
      </c>
    </row>
    <row r="310" spans="1:3" x14ac:dyDescent="0.35">
      <c r="A310" s="178" t="s">
        <v>3012</v>
      </c>
      <c r="B310">
        <v>10.89</v>
      </c>
      <c r="C310" s="179">
        <v>4347.8500000000004</v>
      </c>
    </row>
    <row r="311" spans="1:3" x14ac:dyDescent="0.35">
      <c r="A311" s="178" t="s">
        <v>3250</v>
      </c>
      <c r="B311">
        <v>10.83</v>
      </c>
      <c r="C311" s="179">
        <v>4798.5</v>
      </c>
    </row>
    <row r="312" spans="1:3" x14ac:dyDescent="0.35">
      <c r="A312" s="178" t="s">
        <v>2874</v>
      </c>
      <c r="B312">
        <v>10.78</v>
      </c>
      <c r="C312" s="179">
        <v>3484.8</v>
      </c>
    </row>
    <row r="313" spans="1:3" x14ac:dyDescent="0.35">
      <c r="A313" s="178" t="s">
        <v>3251</v>
      </c>
      <c r="B313">
        <v>10.61</v>
      </c>
      <c r="C313" s="179">
        <v>3877.65</v>
      </c>
    </row>
    <row r="314" spans="1:3" x14ac:dyDescent="0.35">
      <c r="A314" s="178" t="s">
        <v>3004</v>
      </c>
      <c r="B314">
        <v>10.54</v>
      </c>
      <c r="C314" s="179">
        <v>2194.1999999999998</v>
      </c>
    </row>
    <row r="315" spans="1:3" x14ac:dyDescent="0.35">
      <c r="A315" s="178" t="s">
        <v>2868</v>
      </c>
      <c r="B315">
        <v>10.45</v>
      </c>
      <c r="C315" s="179">
        <v>3524.8</v>
      </c>
    </row>
    <row r="316" spans="1:3" x14ac:dyDescent="0.35">
      <c r="A316" s="178" t="s">
        <v>3252</v>
      </c>
      <c r="B316">
        <v>10.4</v>
      </c>
      <c r="C316" s="179">
        <v>4149.95</v>
      </c>
    </row>
    <row r="317" spans="1:3" x14ac:dyDescent="0.35">
      <c r="A317" s="178" t="s">
        <v>3253</v>
      </c>
      <c r="B317">
        <v>10.4</v>
      </c>
      <c r="C317" s="179">
        <v>4075.2</v>
      </c>
    </row>
    <row r="318" spans="1:3" x14ac:dyDescent="0.35">
      <c r="A318" s="178" t="s">
        <v>3254</v>
      </c>
      <c r="B318">
        <v>10.28</v>
      </c>
      <c r="C318" s="179">
        <v>3270.6</v>
      </c>
    </row>
    <row r="319" spans="1:3" x14ac:dyDescent="0.35">
      <c r="A319" s="178" t="s">
        <v>3255</v>
      </c>
      <c r="B319">
        <v>10.24</v>
      </c>
      <c r="C319" s="179">
        <v>4271.25</v>
      </c>
    </row>
    <row r="320" spans="1:3" x14ac:dyDescent="0.35">
      <c r="A320" s="178" t="s">
        <v>3256</v>
      </c>
      <c r="B320">
        <v>10.050000000000001</v>
      </c>
      <c r="C320" s="179">
        <v>3961.5</v>
      </c>
    </row>
    <row r="321" spans="1:3" x14ac:dyDescent="0.35">
      <c r="A321" s="178" t="s">
        <v>3257</v>
      </c>
      <c r="B321">
        <v>10</v>
      </c>
      <c r="C321" s="179">
        <v>1200</v>
      </c>
    </row>
    <row r="322" spans="1:3" x14ac:dyDescent="0.35">
      <c r="A322" s="178" t="s">
        <v>3258</v>
      </c>
      <c r="B322">
        <v>10</v>
      </c>
      <c r="C322" s="179">
        <v>3320</v>
      </c>
    </row>
    <row r="323" spans="1:3" x14ac:dyDescent="0.35">
      <c r="A323" s="178" t="s">
        <v>3259</v>
      </c>
      <c r="B323">
        <v>10</v>
      </c>
      <c r="C323" s="179">
        <v>1000</v>
      </c>
    </row>
    <row r="324" spans="1:3" x14ac:dyDescent="0.35">
      <c r="A324" s="178" t="s">
        <v>3260</v>
      </c>
      <c r="B324">
        <v>9.85</v>
      </c>
      <c r="C324" s="179">
        <v>3822</v>
      </c>
    </row>
    <row r="325" spans="1:3" x14ac:dyDescent="0.35">
      <c r="A325" s="178" t="s">
        <v>3261</v>
      </c>
      <c r="B325">
        <v>9.7899999999999991</v>
      </c>
      <c r="C325" s="179">
        <v>3032.15</v>
      </c>
    </row>
    <row r="326" spans="1:3" x14ac:dyDescent="0.35">
      <c r="A326" s="178" t="s">
        <v>3262</v>
      </c>
      <c r="B326">
        <v>9.73</v>
      </c>
      <c r="C326" s="179">
        <v>4079.3</v>
      </c>
    </row>
    <row r="327" spans="1:3" x14ac:dyDescent="0.35">
      <c r="A327" s="178" t="s">
        <v>3008</v>
      </c>
      <c r="B327">
        <v>9.6999999999999993</v>
      </c>
      <c r="C327" s="179">
        <v>4074</v>
      </c>
    </row>
    <row r="328" spans="1:3" x14ac:dyDescent="0.35">
      <c r="A328" s="178" t="s">
        <v>3263</v>
      </c>
      <c r="B328">
        <v>9.5299999999999994</v>
      </c>
      <c r="C328" s="179">
        <v>3779.15</v>
      </c>
    </row>
    <row r="329" spans="1:3" x14ac:dyDescent="0.35">
      <c r="A329" s="178" t="s">
        <v>2955</v>
      </c>
      <c r="B329">
        <v>9.49</v>
      </c>
      <c r="C329" s="179">
        <v>4223.05</v>
      </c>
    </row>
    <row r="330" spans="1:3" x14ac:dyDescent="0.35">
      <c r="A330" s="178" t="s">
        <v>2854</v>
      </c>
      <c r="B330">
        <v>9.4700000000000006</v>
      </c>
      <c r="C330" s="179">
        <v>2828.84</v>
      </c>
    </row>
    <row r="331" spans="1:3" x14ac:dyDescent="0.35">
      <c r="A331" s="178" t="s">
        <v>3264</v>
      </c>
      <c r="B331">
        <v>9.41</v>
      </c>
      <c r="C331" s="179">
        <v>2820.85</v>
      </c>
    </row>
    <row r="332" spans="1:3" x14ac:dyDescent="0.35">
      <c r="A332" s="178" t="s">
        <v>2968</v>
      </c>
      <c r="B332">
        <v>9.36</v>
      </c>
      <c r="C332" s="179">
        <v>3730.8</v>
      </c>
    </row>
    <row r="333" spans="1:3" x14ac:dyDescent="0.35">
      <c r="A333" s="178" t="s">
        <v>3265</v>
      </c>
      <c r="B333">
        <v>9.34</v>
      </c>
      <c r="C333" s="179">
        <v>2982.4</v>
      </c>
    </row>
    <row r="334" spans="1:3" x14ac:dyDescent="0.35">
      <c r="A334" s="178" t="s">
        <v>3266</v>
      </c>
      <c r="B334">
        <v>9.25</v>
      </c>
      <c r="C334" s="179">
        <v>2648.75</v>
      </c>
    </row>
    <row r="335" spans="1:3" x14ac:dyDescent="0.35">
      <c r="A335" s="178" t="s">
        <v>3267</v>
      </c>
      <c r="B335">
        <v>9.24</v>
      </c>
      <c r="C335" s="179">
        <v>3009.6</v>
      </c>
    </row>
    <row r="336" spans="1:3" x14ac:dyDescent="0.35">
      <c r="A336" s="178" t="s">
        <v>3268</v>
      </c>
      <c r="B336">
        <v>9.1999999999999993</v>
      </c>
      <c r="C336" s="179">
        <v>1886</v>
      </c>
    </row>
    <row r="337" spans="1:3" x14ac:dyDescent="0.35">
      <c r="A337" s="178" t="s">
        <v>3269</v>
      </c>
      <c r="B337">
        <v>9.17</v>
      </c>
      <c r="C337" s="179">
        <v>3465.1</v>
      </c>
    </row>
    <row r="338" spans="1:3" x14ac:dyDescent="0.35">
      <c r="A338" s="178" t="s">
        <v>3270</v>
      </c>
      <c r="B338">
        <v>9.1300000000000008</v>
      </c>
      <c r="C338" s="179">
        <v>6217.45</v>
      </c>
    </row>
    <row r="339" spans="1:3" x14ac:dyDescent="0.35">
      <c r="A339" s="178" t="s">
        <v>3271</v>
      </c>
      <c r="B339">
        <v>9.1199999999999992</v>
      </c>
      <c r="C339" s="179">
        <v>2842</v>
      </c>
    </row>
    <row r="340" spans="1:3" x14ac:dyDescent="0.35">
      <c r="A340" s="178" t="s">
        <v>3272</v>
      </c>
      <c r="B340">
        <v>9.11</v>
      </c>
      <c r="C340" s="179">
        <v>3674.79</v>
      </c>
    </row>
    <row r="341" spans="1:3" x14ac:dyDescent="0.35">
      <c r="A341" s="178" t="s">
        <v>3273</v>
      </c>
      <c r="B341">
        <v>9.09</v>
      </c>
      <c r="C341" s="179">
        <v>2615.1999999999998</v>
      </c>
    </row>
    <row r="342" spans="1:3" x14ac:dyDescent="0.35">
      <c r="A342" s="178" t="s">
        <v>3274</v>
      </c>
      <c r="B342">
        <v>9.07</v>
      </c>
      <c r="C342" s="179">
        <v>3179.15</v>
      </c>
    </row>
    <row r="343" spans="1:3" x14ac:dyDescent="0.35">
      <c r="A343" s="178" t="s">
        <v>3275</v>
      </c>
      <c r="B343">
        <v>8.9600000000000009</v>
      </c>
      <c r="C343" s="179">
        <v>3091.2</v>
      </c>
    </row>
    <row r="344" spans="1:3" x14ac:dyDescent="0.35">
      <c r="A344" s="178" t="s">
        <v>3276</v>
      </c>
      <c r="B344">
        <v>8.91</v>
      </c>
      <c r="C344" s="179">
        <v>2227.5</v>
      </c>
    </row>
    <row r="345" spans="1:3" x14ac:dyDescent="0.35">
      <c r="A345" s="178" t="s">
        <v>3277</v>
      </c>
      <c r="B345">
        <v>8.91</v>
      </c>
      <c r="C345" s="179">
        <v>3131.97</v>
      </c>
    </row>
    <row r="346" spans="1:3" x14ac:dyDescent="0.35">
      <c r="A346" s="178" t="s">
        <v>3278</v>
      </c>
      <c r="B346">
        <v>8.89</v>
      </c>
      <c r="C346" s="179">
        <v>2077.9499999999998</v>
      </c>
    </row>
    <row r="347" spans="1:3" x14ac:dyDescent="0.35">
      <c r="A347" s="178" t="s">
        <v>3279</v>
      </c>
      <c r="B347">
        <v>8.69</v>
      </c>
      <c r="C347" s="179">
        <v>2788.5</v>
      </c>
    </row>
    <row r="348" spans="1:3" x14ac:dyDescent="0.35">
      <c r="A348" s="178" t="s">
        <v>3280</v>
      </c>
      <c r="B348">
        <v>8.6199999999999992</v>
      </c>
      <c r="C348" s="179">
        <v>3010.65</v>
      </c>
    </row>
    <row r="349" spans="1:3" x14ac:dyDescent="0.35">
      <c r="A349" s="178" t="s">
        <v>2970</v>
      </c>
      <c r="B349">
        <v>8.6</v>
      </c>
      <c r="C349" s="179">
        <v>2754.92</v>
      </c>
    </row>
    <row r="350" spans="1:3" x14ac:dyDescent="0.35">
      <c r="A350" s="178" t="s">
        <v>3281</v>
      </c>
      <c r="B350">
        <v>8.6</v>
      </c>
      <c r="C350" s="179">
        <v>3591.75</v>
      </c>
    </row>
    <row r="351" spans="1:3" x14ac:dyDescent="0.35">
      <c r="A351" s="178" t="s">
        <v>3282</v>
      </c>
      <c r="B351">
        <v>8.56</v>
      </c>
      <c r="C351" s="179">
        <v>6349.6</v>
      </c>
    </row>
    <row r="352" spans="1:3" x14ac:dyDescent="0.35">
      <c r="A352" s="178" t="s">
        <v>3005</v>
      </c>
      <c r="B352">
        <v>8.5399999999999991</v>
      </c>
      <c r="C352" s="179">
        <v>3159.8</v>
      </c>
    </row>
    <row r="353" spans="1:3" x14ac:dyDescent="0.35">
      <c r="A353" s="178" t="s">
        <v>2915</v>
      </c>
      <c r="B353">
        <v>8.5</v>
      </c>
      <c r="C353" s="179">
        <v>3017.5</v>
      </c>
    </row>
    <row r="354" spans="1:3" x14ac:dyDescent="0.35">
      <c r="A354" s="178" t="s">
        <v>2949</v>
      </c>
      <c r="B354">
        <v>8.4499999999999993</v>
      </c>
      <c r="C354" s="179">
        <v>2028</v>
      </c>
    </row>
    <row r="355" spans="1:3" x14ac:dyDescent="0.35">
      <c r="A355" s="178" t="s">
        <v>2886</v>
      </c>
      <c r="B355">
        <v>8.39</v>
      </c>
      <c r="C355" s="179">
        <v>3037.6</v>
      </c>
    </row>
    <row r="356" spans="1:3" x14ac:dyDescent="0.35">
      <c r="A356" s="178" t="s">
        <v>3283</v>
      </c>
      <c r="B356">
        <v>8.39</v>
      </c>
      <c r="C356" s="179">
        <v>2475.0500000000002</v>
      </c>
    </row>
    <row r="357" spans="1:3" x14ac:dyDescent="0.35">
      <c r="A357" s="178" t="s">
        <v>3019</v>
      </c>
      <c r="B357">
        <v>8.39</v>
      </c>
      <c r="C357" s="179">
        <v>3775.5</v>
      </c>
    </row>
    <row r="358" spans="1:3" x14ac:dyDescent="0.35">
      <c r="A358" s="178" t="s">
        <v>3284</v>
      </c>
      <c r="B358">
        <v>8.35</v>
      </c>
      <c r="C358" s="179">
        <v>2859.44</v>
      </c>
    </row>
    <row r="359" spans="1:3" x14ac:dyDescent="0.35">
      <c r="A359" s="178" t="s">
        <v>2953</v>
      </c>
      <c r="B359">
        <v>8.34</v>
      </c>
      <c r="C359" s="179">
        <v>1943.55</v>
      </c>
    </row>
    <row r="360" spans="1:3" x14ac:dyDescent="0.35">
      <c r="A360" s="178" t="s">
        <v>3285</v>
      </c>
      <c r="B360">
        <v>8.2799999999999994</v>
      </c>
      <c r="C360" s="179">
        <v>2401.1999999999998</v>
      </c>
    </row>
    <row r="361" spans="1:3" x14ac:dyDescent="0.35">
      <c r="A361" s="178" t="s">
        <v>3286</v>
      </c>
      <c r="B361">
        <v>8.27</v>
      </c>
      <c r="C361" s="179">
        <v>2481</v>
      </c>
    </row>
    <row r="362" spans="1:3" x14ac:dyDescent="0.35">
      <c r="A362" s="178" t="s">
        <v>3287</v>
      </c>
      <c r="B362">
        <v>8.27</v>
      </c>
      <c r="C362" s="179">
        <v>2617.1</v>
      </c>
    </row>
    <row r="363" spans="1:3" x14ac:dyDescent="0.35">
      <c r="A363" s="178" t="s">
        <v>3288</v>
      </c>
      <c r="B363">
        <v>8.2100000000000009</v>
      </c>
      <c r="C363" s="179">
        <v>2134.6</v>
      </c>
    </row>
    <row r="364" spans="1:3" x14ac:dyDescent="0.35">
      <c r="A364" s="178" t="s">
        <v>3289</v>
      </c>
      <c r="B364">
        <v>8.1999999999999993</v>
      </c>
      <c r="C364" s="179">
        <v>2952</v>
      </c>
    </row>
    <row r="365" spans="1:3" x14ac:dyDescent="0.35">
      <c r="A365" s="178" t="s">
        <v>2897</v>
      </c>
      <c r="B365">
        <v>8.19</v>
      </c>
      <c r="C365" s="179">
        <v>2803.65</v>
      </c>
    </row>
    <row r="366" spans="1:3" x14ac:dyDescent="0.35">
      <c r="A366" s="178" t="s">
        <v>3290</v>
      </c>
      <c r="B366">
        <v>8.19</v>
      </c>
      <c r="C366" s="179">
        <v>2394.9499999999998</v>
      </c>
    </row>
    <row r="367" spans="1:3" x14ac:dyDescent="0.35">
      <c r="A367" s="178" t="s">
        <v>3291</v>
      </c>
      <c r="B367">
        <v>8.17</v>
      </c>
      <c r="C367" s="179">
        <v>3268.95</v>
      </c>
    </row>
    <row r="368" spans="1:3" x14ac:dyDescent="0.35">
      <c r="A368" s="178" t="s">
        <v>2896</v>
      </c>
      <c r="B368">
        <v>8.1199999999999992</v>
      </c>
      <c r="C368" s="179">
        <v>2517.1999999999998</v>
      </c>
    </row>
    <row r="369" spans="1:3" x14ac:dyDescent="0.35">
      <c r="A369" s="178" t="s">
        <v>2947</v>
      </c>
      <c r="B369">
        <v>7.97</v>
      </c>
      <c r="C369" s="179">
        <v>3206.95</v>
      </c>
    </row>
    <row r="370" spans="1:3" x14ac:dyDescent="0.35">
      <c r="A370" s="178" t="s">
        <v>3292</v>
      </c>
      <c r="B370">
        <v>7.94</v>
      </c>
      <c r="C370" s="179">
        <v>1943.2</v>
      </c>
    </row>
    <row r="371" spans="1:3" x14ac:dyDescent="0.35">
      <c r="A371" s="178" t="s">
        <v>3293</v>
      </c>
      <c r="B371">
        <v>7.94</v>
      </c>
      <c r="C371" s="179">
        <v>2593.8000000000002</v>
      </c>
    </row>
    <row r="372" spans="1:3" x14ac:dyDescent="0.35">
      <c r="A372" s="178" t="s">
        <v>3294</v>
      </c>
      <c r="B372">
        <v>7.84</v>
      </c>
      <c r="C372" s="179">
        <v>3371.2</v>
      </c>
    </row>
    <row r="373" spans="1:3" x14ac:dyDescent="0.35">
      <c r="A373" s="178" t="s">
        <v>3295</v>
      </c>
      <c r="B373">
        <v>7.84</v>
      </c>
      <c r="C373" s="179">
        <v>2940</v>
      </c>
    </row>
    <row r="374" spans="1:3" x14ac:dyDescent="0.35">
      <c r="A374" s="178" t="s">
        <v>3296</v>
      </c>
      <c r="B374">
        <v>7.84</v>
      </c>
      <c r="C374" s="179">
        <v>2333.3000000000002</v>
      </c>
    </row>
    <row r="375" spans="1:3" x14ac:dyDescent="0.35">
      <c r="A375" s="178" t="s">
        <v>2964</v>
      </c>
      <c r="B375">
        <v>7.79</v>
      </c>
      <c r="C375" s="179">
        <v>2358.9499999999998</v>
      </c>
    </row>
    <row r="376" spans="1:3" x14ac:dyDescent="0.35">
      <c r="A376" s="178" t="s">
        <v>3297</v>
      </c>
      <c r="B376">
        <v>7.75</v>
      </c>
      <c r="C376" s="179">
        <v>2092.5</v>
      </c>
    </row>
    <row r="377" spans="1:3" x14ac:dyDescent="0.35">
      <c r="A377" s="178" t="s">
        <v>3298</v>
      </c>
      <c r="B377">
        <v>7.74</v>
      </c>
      <c r="C377" s="179">
        <v>3250.8</v>
      </c>
    </row>
    <row r="378" spans="1:3" x14ac:dyDescent="0.35">
      <c r="A378" s="178" t="s">
        <v>2894</v>
      </c>
      <c r="B378">
        <v>7.72</v>
      </c>
      <c r="C378" s="179">
        <v>2914.45</v>
      </c>
    </row>
    <row r="379" spans="1:3" x14ac:dyDescent="0.35">
      <c r="A379" s="178" t="s">
        <v>2912</v>
      </c>
      <c r="B379">
        <v>7.66</v>
      </c>
      <c r="C379" s="179">
        <v>2667.9</v>
      </c>
    </row>
    <row r="380" spans="1:3" x14ac:dyDescent="0.35">
      <c r="A380" s="178" t="s">
        <v>3299</v>
      </c>
      <c r="B380">
        <v>7.64</v>
      </c>
      <c r="C380" s="179">
        <v>2788.6</v>
      </c>
    </row>
    <row r="381" spans="1:3" x14ac:dyDescent="0.35">
      <c r="A381" s="178" t="s">
        <v>3300</v>
      </c>
      <c r="B381">
        <v>7.6</v>
      </c>
      <c r="C381" s="179">
        <v>2541</v>
      </c>
    </row>
    <row r="382" spans="1:3" x14ac:dyDescent="0.35">
      <c r="A382" s="178" t="s">
        <v>3301</v>
      </c>
      <c r="B382">
        <v>7.6</v>
      </c>
      <c r="C382" s="179">
        <v>2052</v>
      </c>
    </row>
    <row r="383" spans="1:3" x14ac:dyDescent="0.35">
      <c r="A383" s="178" t="s">
        <v>3302</v>
      </c>
      <c r="B383">
        <v>7.5</v>
      </c>
      <c r="C383" s="179">
        <v>2967.5</v>
      </c>
    </row>
    <row r="384" spans="1:3" x14ac:dyDescent="0.35">
      <c r="A384" s="178" t="s">
        <v>3303</v>
      </c>
      <c r="B384">
        <v>7.46</v>
      </c>
      <c r="C384" s="179">
        <v>3207.8</v>
      </c>
    </row>
    <row r="385" spans="1:3" x14ac:dyDescent="0.35">
      <c r="A385" s="178" t="s">
        <v>3304</v>
      </c>
      <c r="B385">
        <v>7.3</v>
      </c>
      <c r="C385" s="179">
        <v>3054.65</v>
      </c>
    </row>
    <row r="386" spans="1:3" x14ac:dyDescent="0.35">
      <c r="A386" s="178" t="s">
        <v>3305</v>
      </c>
      <c r="B386">
        <v>7.27</v>
      </c>
      <c r="C386" s="179">
        <v>2617.1999999999998</v>
      </c>
    </row>
    <row r="387" spans="1:3" x14ac:dyDescent="0.35">
      <c r="A387" s="178" t="s">
        <v>3306</v>
      </c>
      <c r="B387">
        <v>7.16</v>
      </c>
      <c r="C387" s="179">
        <v>3177.15</v>
      </c>
    </row>
    <row r="388" spans="1:3" x14ac:dyDescent="0.35">
      <c r="A388" s="178" t="s">
        <v>3307</v>
      </c>
      <c r="B388">
        <v>7.11</v>
      </c>
      <c r="C388" s="179">
        <v>2977.3</v>
      </c>
    </row>
    <row r="389" spans="1:3" x14ac:dyDescent="0.35">
      <c r="A389" s="178" t="s">
        <v>3308</v>
      </c>
      <c r="B389">
        <v>7.1</v>
      </c>
      <c r="C389" s="179">
        <v>2378.5</v>
      </c>
    </row>
    <row r="390" spans="1:3" x14ac:dyDescent="0.35">
      <c r="A390" s="178" t="s">
        <v>3309</v>
      </c>
      <c r="B390">
        <v>7.03</v>
      </c>
      <c r="C390" s="179">
        <v>2907.75</v>
      </c>
    </row>
    <row r="391" spans="1:3" x14ac:dyDescent="0.35">
      <c r="A391" s="178" t="s">
        <v>3310</v>
      </c>
      <c r="B391">
        <v>7</v>
      </c>
      <c r="C391" s="179">
        <v>2555</v>
      </c>
    </row>
    <row r="392" spans="1:3" x14ac:dyDescent="0.35">
      <c r="A392" s="178" t="s">
        <v>3311</v>
      </c>
      <c r="B392">
        <v>6.98</v>
      </c>
      <c r="C392" s="179">
        <v>2757.1</v>
      </c>
    </row>
    <row r="393" spans="1:3" x14ac:dyDescent="0.35">
      <c r="A393" s="178" t="s">
        <v>3312</v>
      </c>
      <c r="B393">
        <v>6.97</v>
      </c>
      <c r="C393" s="179">
        <v>2244.85</v>
      </c>
    </row>
    <row r="394" spans="1:3" x14ac:dyDescent="0.35">
      <c r="A394" s="178" t="s">
        <v>3313</v>
      </c>
      <c r="B394">
        <v>6.94</v>
      </c>
      <c r="C394" s="179">
        <v>2864.3</v>
      </c>
    </row>
    <row r="395" spans="1:3" x14ac:dyDescent="0.35">
      <c r="A395" s="178" t="s">
        <v>3314</v>
      </c>
      <c r="B395">
        <v>6.84</v>
      </c>
      <c r="C395" s="179">
        <v>2907</v>
      </c>
    </row>
    <row r="396" spans="1:3" x14ac:dyDescent="0.35">
      <c r="A396" s="178" t="s">
        <v>3315</v>
      </c>
      <c r="B396">
        <v>6.78</v>
      </c>
      <c r="C396" s="179">
        <v>2447.1</v>
      </c>
    </row>
    <row r="397" spans="1:3" x14ac:dyDescent="0.35">
      <c r="A397" s="178" t="s">
        <v>3316</v>
      </c>
      <c r="B397">
        <v>6.66</v>
      </c>
      <c r="C397" s="179">
        <v>2458.67</v>
      </c>
    </row>
    <row r="398" spans="1:3" x14ac:dyDescent="0.35">
      <c r="A398" s="178" t="s">
        <v>3317</v>
      </c>
      <c r="B398">
        <v>6.39</v>
      </c>
      <c r="C398" s="179">
        <v>1714.65</v>
      </c>
    </row>
    <row r="399" spans="1:3" x14ac:dyDescent="0.35">
      <c r="A399" s="178" t="s">
        <v>3318</v>
      </c>
      <c r="B399">
        <v>6.23</v>
      </c>
      <c r="C399" s="179">
        <v>2585.4499999999998</v>
      </c>
    </row>
    <row r="400" spans="1:3" x14ac:dyDescent="0.35">
      <c r="A400" s="178" t="s">
        <v>2928</v>
      </c>
      <c r="B400">
        <v>6.23</v>
      </c>
      <c r="C400" s="179">
        <v>2647.75</v>
      </c>
    </row>
    <row r="401" spans="1:3" x14ac:dyDescent="0.35">
      <c r="A401" s="178" t="s">
        <v>3319</v>
      </c>
      <c r="B401">
        <v>6.17</v>
      </c>
      <c r="C401" s="179">
        <v>1896.92</v>
      </c>
    </row>
    <row r="402" spans="1:3" x14ac:dyDescent="0.35">
      <c r="A402" s="178" t="s">
        <v>2871</v>
      </c>
      <c r="B402">
        <v>6.14</v>
      </c>
      <c r="C402" s="179">
        <v>2271.8000000000002</v>
      </c>
    </row>
    <row r="403" spans="1:3" x14ac:dyDescent="0.35">
      <c r="A403" s="178" t="s">
        <v>3320</v>
      </c>
      <c r="B403">
        <v>6.12</v>
      </c>
      <c r="C403" s="179">
        <v>2539.8000000000002</v>
      </c>
    </row>
    <row r="404" spans="1:3" x14ac:dyDescent="0.35">
      <c r="A404" s="178" t="s">
        <v>3321</v>
      </c>
      <c r="B404">
        <v>6.11</v>
      </c>
      <c r="C404" s="179">
        <v>2120.65</v>
      </c>
    </row>
    <row r="405" spans="1:3" x14ac:dyDescent="0.35">
      <c r="A405" s="178" t="s">
        <v>3322</v>
      </c>
      <c r="B405">
        <v>6</v>
      </c>
      <c r="C405" s="179">
        <v>2405.8000000000002</v>
      </c>
    </row>
    <row r="406" spans="1:3" x14ac:dyDescent="0.35">
      <c r="A406" s="178" t="s">
        <v>3028</v>
      </c>
      <c r="B406">
        <v>6</v>
      </c>
      <c r="C406" s="179">
        <v>1137.54</v>
      </c>
    </row>
    <row r="407" spans="1:3" x14ac:dyDescent="0.35">
      <c r="A407" s="178" t="s">
        <v>2982</v>
      </c>
      <c r="B407">
        <v>5.96</v>
      </c>
      <c r="C407" s="179">
        <v>1609.2</v>
      </c>
    </row>
    <row r="408" spans="1:3" x14ac:dyDescent="0.35">
      <c r="A408" s="178" t="s">
        <v>3323</v>
      </c>
      <c r="B408">
        <v>5.92</v>
      </c>
      <c r="C408" s="179">
        <v>1728.34</v>
      </c>
    </row>
    <row r="409" spans="1:3" x14ac:dyDescent="0.35">
      <c r="A409" s="178" t="s">
        <v>3324</v>
      </c>
      <c r="B409">
        <v>5.91</v>
      </c>
      <c r="C409" s="179">
        <v>2452.65</v>
      </c>
    </row>
    <row r="410" spans="1:3" x14ac:dyDescent="0.35">
      <c r="A410" s="178" t="s">
        <v>3325</v>
      </c>
      <c r="B410">
        <v>5.9</v>
      </c>
      <c r="C410" s="179">
        <v>2537</v>
      </c>
    </row>
    <row r="411" spans="1:3" x14ac:dyDescent="0.35">
      <c r="A411" s="178" t="s">
        <v>3326</v>
      </c>
      <c r="B411">
        <v>5.9</v>
      </c>
      <c r="C411" s="179">
        <v>2537</v>
      </c>
    </row>
    <row r="412" spans="1:3" x14ac:dyDescent="0.35">
      <c r="A412" s="178" t="s">
        <v>3327</v>
      </c>
      <c r="B412">
        <v>5.88</v>
      </c>
      <c r="C412" s="179">
        <v>2081.7399999999998</v>
      </c>
    </row>
    <row r="413" spans="1:3" x14ac:dyDescent="0.35">
      <c r="A413" s="178" t="s">
        <v>3033</v>
      </c>
      <c r="B413">
        <v>5.85</v>
      </c>
      <c r="C413" s="179">
        <v>4430.75</v>
      </c>
    </row>
    <row r="414" spans="1:3" x14ac:dyDescent="0.35">
      <c r="A414" s="178" t="s">
        <v>2987</v>
      </c>
      <c r="B414">
        <v>5.83</v>
      </c>
      <c r="C414" s="179">
        <v>2311.4499999999998</v>
      </c>
    </row>
    <row r="415" spans="1:3" x14ac:dyDescent="0.35">
      <c r="A415" s="178" t="s">
        <v>3328</v>
      </c>
      <c r="B415">
        <v>5.79</v>
      </c>
      <c r="C415" s="179">
        <v>2292.0500000000002</v>
      </c>
    </row>
    <row r="416" spans="1:3" x14ac:dyDescent="0.35">
      <c r="A416" s="178" t="s">
        <v>3329</v>
      </c>
      <c r="B416">
        <v>5.7</v>
      </c>
      <c r="C416" s="179">
        <v>2451</v>
      </c>
    </row>
    <row r="417" spans="1:3" x14ac:dyDescent="0.35">
      <c r="A417" s="178" t="s">
        <v>3330</v>
      </c>
      <c r="B417">
        <v>5.69</v>
      </c>
      <c r="C417" s="179">
        <v>1927.7</v>
      </c>
    </row>
    <row r="418" spans="1:3" x14ac:dyDescent="0.35">
      <c r="A418" s="178" t="s">
        <v>3331</v>
      </c>
      <c r="B418">
        <v>5.58</v>
      </c>
      <c r="C418" s="179">
        <v>2259.9</v>
      </c>
    </row>
    <row r="419" spans="1:3" x14ac:dyDescent="0.35">
      <c r="A419" s="178" t="s">
        <v>3332</v>
      </c>
      <c r="B419">
        <v>5.5</v>
      </c>
      <c r="C419" s="179">
        <v>2109.5</v>
      </c>
    </row>
    <row r="420" spans="1:3" x14ac:dyDescent="0.35">
      <c r="A420" s="178" t="s">
        <v>3333</v>
      </c>
      <c r="B420">
        <v>5.36</v>
      </c>
      <c r="C420" s="179">
        <v>2168.3000000000002</v>
      </c>
    </row>
    <row r="421" spans="1:3" x14ac:dyDescent="0.35">
      <c r="A421" s="178" t="s">
        <v>3334</v>
      </c>
      <c r="B421">
        <v>5.35</v>
      </c>
      <c r="C421" s="179">
        <v>1222.75</v>
      </c>
    </row>
    <row r="422" spans="1:3" x14ac:dyDescent="0.35">
      <c r="A422" s="178" t="s">
        <v>3335</v>
      </c>
      <c r="B422">
        <v>5.33</v>
      </c>
      <c r="C422" s="179">
        <v>1995.65</v>
      </c>
    </row>
    <row r="423" spans="1:3" x14ac:dyDescent="0.35">
      <c r="A423" s="178" t="s">
        <v>3336</v>
      </c>
      <c r="B423">
        <v>5.29</v>
      </c>
      <c r="C423" s="179">
        <v>1844.7</v>
      </c>
    </row>
    <row r="424" spans="1:3" x14ac:dyDescent="0.35">
      <c r="A424" s="178" t="s">
        <v>3337</v>
      </c>
      <c r="B424">
        <v>5.23</v>
      </c>
      <c r="C424" s="179">
        <v>1586.25</v>
      </c>
    </row>
    <row r="425" spans="1:3" x14ac:dyDescent="0.35">
      <c r="A425" s="178" t="s">
        <v>2980</v>
      </c>
      <c r="B425">
        <v>5.22</v>
      </c>
      <c r="C425" s="179">
        <v>1970.25</v>
      </c>
    </row>
    <row r="426" spans="1:3" x14ac:dyDescent="0.35">
      <c r="A426" s="178" t="s">
        <v>3338</v>
      </c>
      <c r="B426">
        <v>5.14</v>
      </c>
      <c r="C426" s="179">
        <v>1990.5</v>
      </c>
    </row>
    <row r="427" spans="1:3" x14ac:dyDescent="0.35">
      <c r="A427" s="178" t="s">
        <v>3339</v>
      </c>
      <c r="B427">
        <v>5.0599999999999996</v>
      </c>
      <c r="C427" s="179">
        <v>2175.8000000000002</v>
      </c>
    </row>
    <row r="428" spans="1:3" x14ac:dyDescent="0.35">
      <c r="A428" s="178" t="s">
        <v>3340</v>
      </c>
      <c r="B428">
        <v>5.0599999999999996</v>
      </c>
      <c r="C428" s="179">
        <v>1671</v>
      </c>
    </row>
    <row r="429" spans="1:3" x14ac:dyDescent="0.35">
      <c r="A429" s="178" t="s">
        <v>3341</v>
      </c>
      <c r="B429">
        <v>5.04</v>
      </c>
      <c r="C429" s="179">
        <v>1494.9</v>
      </c>
    </row>
    <row r="430" spans="1:3" x14ac:dyDescent="0.35">
      <c r="A430" s="178" t="s">
        <v>3342</v>
      </c>
      <c r="B430">
        <v>5</v>
      </c>
      <c r="C430" s="179">
        <v>1350</v>
      </c>
    </row>
    <row r="431" spans="1:3" x14ac:dyDescent="0.35">
      <c r="A431" s="178" t="s">
        <v>3343</v>
      </c>
      <c r="B431">
        <v>4.97</v>
      </c>
      <c r="C431" s="179">
        <v>1449.05</v>
      </c>
    </row>
    <row r="432" spans="1:3" x14ac:dyDescent="0.35">
      <c r="A432" s="178" t="s">
        <v>3344</v>
      </c>
      <c r="B432">
        <v>4.95</v>
      </c>
      <c r="C432" s="179">
        <v>1678.75</v>
      </c>
    </row>
    <row r="433" spans="1:3" x14ac:dyDescent="0.35">
      <c r="A433" s="178" t="s">
        <v>3345</v>
      </c>
      <c r="B433">
        <v>4.95</v>
      </c>
      <c r="C433" s="179">
        <v>1821.5</v>
      </c>
    </row>
    <row r="434" spans="1:3" x14ac:dyDescent="0.35">
      <c r="A434" s="178" t="s">
        <v>3346</v>
      </c>
      <c r="B434">
        <v>4.8899999999999997</v>
      </c>
      <c r="C434" s="179">
        <v>2102.6999999999998</v>
      </c>
    </row>
    <row r="435" spans="1:3" x14ac:dyDescent="0.35">
      <c r="A435" s="178" t="s">
        <v>3347</v>
      </c>
      <c r="B435">
        <v>4.87</v>
      </c>
      <c r="C435" s="179">
        <v>1489.95</v>
      </c>
    </row>
    <row r="436" spans="1:3" x14ac:dyDescent="0.35">
      <c r="A436" s="178" t="s">
        <v>2869</v>
      </c>
      <c r="B436">
        <v>4.8600000000000003</v>
      </c>
      <c r="C436" s="179">
        <v>1676.7</v>
      </c>
    </row>
    <row r="437" spans="1:3" x14ac:dyDescent="0.35">
      <c r="A437" s="178" t="s">
        <v>3348</v>
      </c>
      <c r="B437">
        <v>4.8</v>
      </c>
      <c r="C437" s="179">
        <v>1755.54</v>
      </c>
    </row>
    <row r="438" spans="1:3" x14ac:dyDescent="0.35">
      <c r="A438" s="178" t="s">
        <v>3349</v>
      </c>
      <c r="B438">
        <v>4.75</v>
      </c>
      <c r="C438" s="179">
        <v>1510.04</v>
      </c>
    </row>
    <row r="439" spans="1:3" x14ac:dyDescent="0.35">
      <c r="A439" s="178" t="s">
        <v>3350</v>
      </c>
      <c r="B439">
        <v>4.75</v>
      </c>
      <c r="C439" s="179">
        <v>1697.29</v>
      </c>
    </row>
    <row r="440" spans="1:3" x14ac:dyDescent="0.35">
      <c r="A440" s="178" t="s">
        <v>3351</v>
      </c>
      <c r="B440">
        <v>4.74</v>
      </c>
      <c r="C440" s="179">
        <v>1686.44</v>
      </c>
    </row>
    <row r="441" spans="1:3" x14ac:dyDescent="0.35">
      <c r="A441" s="178" t="s">
        <v>3352</v>
      </c>
      <c r="B441">
        <v>4.72</v>
      </c>
      <c r="C441" s="179">
        <v>1254.4000000000001</v>
      </c>
    </row>
    <row r="442" spans="1:3" x14ac:dyDescent="0.35">
      <c r="A442" s="178" t="s">
        <v>2975</v>
      </c>
      <c r="B442">
        <v>4.72</v>
      </c>
      <c r="C442" s="179">
        <v>1793.6</v>
      </c>
    </row>
    <row r="443" spans="1:3" x14ac:dyDescent="0.35">
      <c r="A443" s="178" t="s">
        <v>3353</v>
      </c>
      <c r="B443">
        <v>4.71</v>
      </c>
      <c r="C443" s="179">
        <v>1766.25</v>
      </c>
    </row>
    <row r="444" spans="1:3" x14ac:dyDescent="0.35">
      <c r="A444" s="178" t="s">
        <v>3354</v>
      </c>
      <c r="B444">
        <v>4.68</v>
      </c>
      <c r="C444" s="179">
        <v>1708.2</v>
      </c>
    </row>
    <row r="445" spans="1:3" x14ac:dyDescent="0.35">
      <c r="A445" s="178" t="s">
        <v>3355</v>
      </c>
      <c r="B445">
        <v>4.6100000000000003</v>
      </c>
      <c r="C445" s="179">
        <v>1475.2</v>
      </c>
    </row>
    <row r="446" spans="1:3" x14ac:dyDescent="0.35">
      <c r="A446" s="178" t="s">
        <v>3356</v>
      </c>
      <c r="B446">
        <v>4.6100000000000003</v>
      </c>
      <c r="C446" s="179">
        <v>1751.8</v>
      </c>
    </row>
    <row r="447" spans="1:3" x14ac:dyDescent="0.35">
      <c r="A447" s="178" t="s">
        <v>3357</v>
      </c>
      <c r="B447">
        <v>4.58</v>
      </c>
      <c r="C447" s="179">
        <v>1213.7</v>
      </c>
    </row>
    <row r="448" spans="1:3" x14ac:dyDescent="0.35">
      <c r="A448" s="178" t="s">
        <v>3358</v>
      </c>
      <c r="B448">
        <v>4.5599999999999996</v>
      </c>
      <c r="C448" s="179">
        <v>1863</v>
      </c>
    </row>
    <row r="449" spans="1:3" x14ac:dyDescent="0.35">
      <c r="A449" s="178" t="s">
        <v>3359</v>
      </c>
      <c r="B449">
        <v>4.55</v>
      </c>
      <c r="C449" s="179">
        <v>1434.45</v>
      </c>
    </row>
    <row r="450" spans="1:3" x14ac:dyDescent="0.35">
      <c r="A450" s="178" t="s">
        <v>3360</v>
      </c>
      <c r="B450">
        <v>4.53</v>
      </c>
      <c r="C450" s="179">
        <v>1291.05</v>
      </c>
    </row>
    <row r="451" spans="1:3" x14ac:dyDescent="0.35">
      <c r="A451" s="178" t="s">
        <v>3361</v>
      </c>
      <c r="B451">
        <v>4.51</v>
      </c>
      <c r="C451" s="179">
        <v>1736.35</v>
      </c>
    </row>
    <row r="452" spans="1:3" x14ac:dyDescent="0.35">
      <c r="A452" s="178" t="s">
        <v>3362</v>
      </c>
      <c r="B452">
        <v>4.5</v>
      </c>
      <c r="C452" s="179">
        <v>1386.87</v>
      </c>
    </row>
    <row r="453" spans="1:3" x14ac:dyDescent="0.35">
      <c r="A453" s="178" t="s">
        <v>3363</v>
      </c>
      <c r="B453">
        <v>4.49</v>
      </c>
      <c r="C453" s="179">
        <v>1616.4</v>
      </c>
    </row>
    <row r="454" spans="1:3" x14ac:dyDescent="0.35">
      <c r="A454" s="178" t="s">
        <v>3364</v>
      </c>
      <c r="B454">
        <v>4.49</v>
      </c>
      <c r="C454" s="179">
        <v>1796</v>
      </c>
    </row>
    <row r="455" spans="1:3" x14ac:dyDescent="0.35">
      <c r="A455" s="178" t="s">
        <v>3365</v>
      </c>
      <c r="B455">
        <v>4.46</v>
      </c>
      <c r="C455" s="179">
        <v>1176.4000000000001</v>
      </c>
    </row>
    <row r="456" spans="1:3" x14ac:dyDescent="0.35">
      <c r="A456" s="178" t="s">
        <v>3366</v>
      </c>
      <c r="B456">
        <v>4.42</v>
      </c>
      <c r="C456" s="179">
        <v>1635.1</v>
      </c>
    </row>
    <row r="457" spans="1:3" x14ac:dyDescent="0.35">
      <c r="A457" s="178" t="s">
        <v>2904</v>
      </c>
      <c r="B457">
        <v>4.41</v>
      </c>
      <c r="C457" s="179">
        <v>1697.85</v>
      </c>
    </row>
    <row r="458" spans="1:3" x14ac:dyDescent="0.35">
      <c r="A458" s="178" t="s">
        <v>3367</v>
      </c>
      <c r="B458">
        <v>4.37</v>
      </c>
      <c r="C458" s="179">
        <v>1573.2</v>
      </c>
    </row>
    <row r="459" spans="1:3" x14ac:dyDescent="0.35">
      <c r="A459" s="178" t="s">
        <v>3368</v>
      </c>
      <c r="B459">
        <v>4.32</v>
      </c>
      <c r="C459" s="179">
        <v>1490.4</v>
      </c>
    </row>
    <row r="460" spans="1:3" x14ac:dyDescent="0.35">
      <c r="A460" s="178" t="s">
        <v>2909</v>
      </c>
      <c r="B460">
        <v>4.3099999999999996</v>
      </c>
      <c r="C460" s="179">
        <v>1853.3</v>
      </c>
    </row>
    <row r="461" spans="1:3" x14ac:dyDescent="0.35">
      <c r="A461" s="178" t="s">
        <v>3369</v>
      </c>
      <c r="B461">
        <v>4.26</v>
      </c>
      <c r="C461" s="179">
        <v>1512.3</v>
      </c>
    </row>
    <row r="462" spans="1:3" x14ac:dyDescent="0.35">
      <c r="A462" s="178" t="s">
        <v>3370</v>
      </c>
      <c r="B462">
        <v>4.24</v>
      </c>
      <c r="C462" s="179">
        <v>1182.5999999999999</v>
      </c>
    </row>
    <row r="463" spans="1:3" x14ac:dyDescent="0.35">
      <c r="A463" s="178" t="s">
        <v>3371</v>
      </c>
      <c r="B463">
        <v>4.21</v>
      </c>
      <c r="C463" s="179">
        <v>1620.85</v>
      </c>
    </row>
    <row r="464" spans="1:3" x14ac:dyDescent="0.35">
      <c r="A464" s="178" t="s">
        <v>3372</v>
      </c>
      <c r="B464">
        <v>4.2</v>
      </c>
      <c r="C464" s="179">
        <v>1449</v>
      </c>
    </row>
    <row r="465" spans="1:3" x14ac:dyDescent="0.35">
      <c r="A465" s="178" t="s">
        <v>3373</v>
      </c>
      <c r="B465">
        <v>4.18</v>
      </c>
      <c r="C465" s="179">
        <v>1651.1</v>
      </c>
    </row>
    <row r="466" spans="1:3" x14ac:dyDescent="0.35">
      <c r="A466" s="178" t="s">
        <v>3374</v>
      </c>
      <c r="B466">
        <v>4.16</v>
      </c>
      <c r="C466" s="179">
        <v>1040</v>
      </c>
    </row>
    <row r="467" spans="1:3" x14ac:dyDescent="0.35">
      <c r="A467" s="178" t="s">
        <v>3375</v>
      </c>
      <c r="B467">
        <v>4.13</v>
      </c>
      <c r="C467" s="179">
        <v>1528.1</v>
      </c>
    </row>
    <row r="468" spans="1:3" x14ac:dyDescent="0.35">
      <c r="A468" s="178" t="s">
        <v>3376</v>
      </c>
      <c r="B468">
        <v>4.1100000000000003</v>
      </c>
      <c r="C468" s="179">
        <v>1453.64</v>
      </c>
    </row>
    <row r="469" spans="1:3" x14ac:dyDescent="0.35">
      <c r="A469" s="178" t="s">
        <v>3031</v>
      </c>
      <c r="B469">
        <v>4.1100000000000003</v>
      </c>
      <c r="C469" s="179">
        <v>1027.5</v>
      </c>
    </row>
    <row r="470" spans="1:3" x14ac:dyDescent="0.35">
      <c r="A470" s="178" t="s">
        <v>3377</v>
      </c>
      <c r="B470">
        <v>4.0999999999999996</v>
      </c>
      <c r="C470" s="179">
        <v>1517</v>
      </c>
    </row>
    <row r="471" spans="1:3" x14ac:dyDescent="0.35">
      <c r="A471" s="178" t="s">
        <v>3378</v>
      </c>
      <c r="B471">
        <v>4.09</v>
      </c>
      <c r="C471" s="179">
        <v>1145.2</v>
      </c>
    </row>
    <row r="472" spans="1:3" x14ac:dyDescent="0.35">
      <c r="A472" s="178" t="s">
        <v>2911</v>
      </c>
      <c r="B472">
        <v>4.0599999999999996</v>
      </c>
      <c r="C472" s="179">
        <v>1461.6</v>
      </c>
    </row>
    <row r="473" spans="1:3" x14ac:dyDescent="0.35">
      <c r="A473" s="178" t="s">
        <v>3379</v>
      </c>
      <c r="B473">
        <v>4.05</v>
      </c>
      <c r="C473" s="179">
        <v>1478.25</v>
      </c>
    </row>
    <row r="474" spans="1:3" x14ac:dyDescent="0.35">
      <c r="A474" s="178" t="s">
        <v>3380</v>
      </c>
      <c r="B474">
        <v>4.04</v>
      </c>
      <c r="C474" s="179">
        <v>1040</v>
      </c>
    </row>
    <row r="475" spans="1:3" x14ac:dyDescent="0.35">
      <c r="A475" s="178" t="s">
        <v>3381</v>
      </c>
      <c r="B475">
        <v>4.03</v>
      </c>
      <c r="C475" s="179">
        <v>1067.95</v>
      </c>
    </row>
    <row r="476" spans="1:3" x14ac:dyDescent="0.35">
      <c r="A476" s="178" t="s">
        <v>3382</v>
      </c>
      <c r="B476">
        <v>4.0199999999999996</v>
      </c>
      <c r="C476" s="179">
        <v>1246.2</v>
      </c>
    </row>
    <row r="477" spans="1:3" x14ac:dyDescent="0.35">
      <c r="A477" s="178" t="s">
        <v>3383</v>
      </c>
      <c r="B477">
        <v>4.01</v>
      </c>
      <c r="C477" s="179">
        <v>1062.6500000000001</v>
      </c>
    </row>
    <row r="478" spans="1:3" x14ac:dyDescent="0.35">
      <c r="A478" s="178" t="s">
        <v>3384</v>
      </c>
      <c r="B478">
        <v>4.01</v>
      </c>
      <c r="C478" s="179">
        <v>1664.15</v>
      </c>
    </row>
    <row r="479" spans="1:3" x14ac:dyDescent="0.35">
      <c r="A479" s="178" t="s">
        <v>3385</v>
      </c>
      <c r="B479">
        <v>4</v>
      </c>
      <c r="C479" s="179">
        <v>1480</v>
      </c>
    </row>
    <row r="480" spans="1:3" x14ac:dyDescent="0.35">
      <c r="A480" s="178" t="s">
        <v>3386</v>
      </c>
      <c r="B480">
        <v>4</v>
      </c>
      <c r="C480" s="179">
        <v>1600</v>
      </c>
    </row>
    <row r="481" spans="1:3" x14ac:dyDescent="0.35">
      <c r="A481" s="178" t="s">
        <v>3387</v>
      </c>
      <c r="B481">
        <v>4</v>
      </c>
      <c r="C481" s="179">
        <v>1580</v>
      </c>
    </row>
    <row r="482" spans="1:3" x14ac:dyDescent="0.35">
      <c r="A482" s="178" t="s">
        <v>3388</v>
      </c>
      <c r="B482">
        <v>4</v>
      </c>
      <c r="C482" s="179">
        <v>2000</v>
      </c>
    </row>
    <row r="483" spans="1:3" x14ac:dyDescent="0.35">
      <c r="A483" s="178" t="s">
        <v>3389</v>
      </c>
      <c r="B483">
        <v>3.98</v>
      </c>
      <c r="C483" s="179">
        <v>1552.2</v>
      </c>
    </row>
    <row r="484" spans="1:3" x14ac:dyDescent="0.35">
      <c r="A484" s="178" t="s">
        <v>3390</v>
      </c>
      <c r="B484">
        <v>3.98</v>
      </c>
      <c r="C484" s="179">
        <v>1398.1</v>
      </c>
    </row>
    <row r="485" spans="1:3" x14ac:dyDescent="0.35">
      <c r="A485" s="178" t="s">
        <v>3391</v>
      </c>
      <c r="B485">
        <v>3.97</v>
      </c>
      <c r="C485" s="179">
        <v>1687.25</v>
      </c>
    </row>
    <row r="486" spans="1:3" x14ac:dyDescent="0.35">
      <c r="A486" s="178" t="s">
        <v>3392</v>
      </c>
      <c r="B486">
        <v>3.95</v>
      </c>
      <c r="C486" s="179">
        <v>1106</v>
      </c>
    </row>
    <row r="487" spans="1:3" x14ac:dyDescent="0.35">
      <c r="A487" s="178" t="s">
        <v>3393</v>
      </c>
      <c r="B487">
        <v>3.94</v>
      </c>
      <c r="C487" s="179">
        <v>1694.2</v>
      </c>
    </row>
    <row r="488" spans="1:3" x14ac:dyDescent="0.35">
      <c r="A488" s="178" t="s">
        <v>3394</v>
      </c>
      <c r="B488">
        <v>3.89</v>
      </c>
      <c r="C488" s="179">
        <v>1225.3499999999999</v>
      </c>
    </row>
    <row r="489" spans="1:3" x14ac:dyDescent="0.35">
      <c r="A489" s="178" t="s">
        <v>3395</v>
      </c>
      <c r="B489">
        <v>3.85</v>
      </c>
      <c r="C489" s="179">
        <v>1116.5</v>
      </c>
    </row>
    <row r="490" spans="1:3" x14ac:dyDescent="0.35">
      <c r="A490" s="178" t="s">
        <v>3396</v>
      </c>
      <c r="B490">
        <v>3.82</v>
      </c>
      <c r="C490" s="179">
        <v>878.6</v>
      </c>
    </row>
    <row r="491" spans="1:3" x14ac:dyDescent="0.35">
      <c r="A491" s="178" t="s">
        <v>3397</v>
      </c>
      <c r="B491">
        <v>3.82</v>
      </c>
      <c r="C491" s="179">
        <v>1107.8</v>
      </c>
    </row>
    <row r="492" spans="1:3" x14ac:dyDescent="0.35">
      <c r="A492" s="178" t="s">
        <v>3021</v>
      </c>
      <c r="B492">
        <v>3.81</v>
      </c>
      <c r="C492" s="179">
        <v>1295.4000000000001</v>
      </c>
    </row>
    <row r="493" spans="1:3" x14ac:dyDescent="0.35">
      <c r="A493" s="178" t="s">
        <v>3398</v>
      </c>
      <c r="B493">
        <v>3.77</v>
      </c>
      <c r="C493" s="179">
        <v>1074.45</v>
      </c>
    </row>
    <row r="494" spans="1:3" x14ac:dyDescent="0.35">
      <c r="A494" s="178" t="s">
        <v>3399</v>
      </c>
      <c r="B494">
        <v>3.76</v>
      </c>
      <c r="C494" s="179">
        <v>1334.8</v>
      </c>
    </row>
    <row r="495" spans="1:3" x14ac:dyDescent="0.35">
      <c r="A495" s="178" t="s">
        <v>2950</v>
      </c>
      <c r="B495">
        <v>3.73</v>
      </c>
      <c r="C495" s="179">
        <v>1651.8</v>
      </c>
    </row>
    <row r="496" spans="1:3" x14ac:dyDescent="0.35">
      <c r="A496" s="178" t="s">
        <v>3400</v>
      </c>
      <c r="B496">
        <v>3.68</v>
      </c>
      <c r="C496" s="179">
        <v>1269.5999999999999</v>
      </c>
    </row>
    <row r="497" spans="1:3" x14ac:dyDescent="0.35">
      <c r="A497" s="178" t="s">
        <v>3401</v>
      </c>
      <c r="B497">
        <v>3.68</v>
      </c>
      <c r="C497" s="179">
        <v>1324.8</v>
      </c>
    </row>
    <row r="498" spans="1:3" x14ac:dyDescent="0.35">
      <c r="A498" s="178" t="s">
        <v>3402</v>
      </c>
      <c r="B498">
        <v>3.64</v>
      </c>
      <c r="C498" s="179">
        <v>1309.7</v>
      </c>
    </row>
    <row r="499" spans="1:3" x14ac:dyDescent="0.35">
      <c r="A499" s="178" t="s">
        <v>3403</v>
      </c>
      <c r="B499">
        <v>3.63</v>
      </c>
      <c r="C499" s="179">
        <v>1524.6</v>
      </c>
    </row>
    <row r="500" spans="1:3" x14ac:dyDescent="0.35">
      <c r="A500" s="178" t="s">
        <v>3404</v>
      </c>
      <c r="B500">
        <v>3.61</v>
      </c>
      <c r="C500" s="179">
        <v>902.5</v>
      </c>
    </row>
    <row r="501" spans="1:3" x14ac:dyDescent="0.35">
      <c r="A501" s="178" t="s">
        <v>3405</v>
      </c>
      <c r="B501">
        <v>3.61</v>
      </c>
      <c r="C501" s="179">
        <v>1389.85</v>
      </c>
    </row>
    <row r="502" spans="1:3" x14ac:dyDescent="0.35">
      <c r="A502" s="178" t="s">
        <v>3406</v>
      </c>
      <c r="B502">
        <v>3.6</v>
      </c>
      <c r="C502" s="179">
        <v>1548</v>
      </c>
    </row>
    <row r="503" spans="1:3" x14ac:dyDescent="0.35">
      <c r="A503" s="178" t="s">
        <v>2861</v>
      </c>
      <c r="B503">
        <v>3.58</v>
      </c>
      <c r="C503" s="179">
        <v>1557.3</v>
      </c>
    </row>
    <row r="504" spans="1:3" x14ac:dyDescent="0.35">
      <c r="A504" s="178" t="s">
        <v>3407</v>
      </c>
      <c r="B504">
        <v>3.5</v>
      </c>
      <c r="C504" s="179">
        <v>1347.5</v>
      </c>
    </row>
    <row r="505" spans="1:3" x14ac:dyDescent="0.35">
      <c r="A505" s="178" t="s">
        <v>3408</v>
      </c>
      <c r="B505">
        <v>3.46</v>
      </c>
      <c r="C505" s="179">
        <v>1124.5</v>
      </c>
    </row>
    <row r="506" spans="1:3" x14ac:dyDescent="0.35">
      <c r="A506" s="178" t="s">
        <v>3409</v>
      </c>
      <c r="B506">
        <v>3.37</v>
      </c>
      <c r="C506" s="179">
        <v>1397.5</v>
      </c>
    </row>
    <row r="507" spans="1:3" x14ac:dyDescent="0.35">
      <c r="A507" s="178" t="s">
        <v>3410</v>
      </c>
      <c r="B507">
        <v>3.35</v>
      </c>
      <c r="C507" s="179">
        <v>1239.5</v>
      </c>
    </row>
    <row r="508" spans="1:3" x14ac:dyDescent="0.35">
      <c r="A508" s="178" t="s">
        <v>3411</v>
      </c>
      <c r="B508">
        <v>3.28</v>
      </c>
      <c r="C508" s="179">
        <v>1345</v>
      </c>
    </row>
    <row r="509" spans="1:3" x14ac:dyDescent="0.35">
      <c r="A509" s="178" t="s">
        <v>3412</v>
      </c>
      <c r="B509">
        <v>3.25</v>
      </c>
      <c r="C509" s="179">
        <v>1397.5</v>
      </c>
    </row>
    <row r="510" spans="1:3" x14ac:dyDescent="0.35">
      <c r="A510" s="178" t="s">
        <v>3413</v>
      </c>
      <c r="B510">
        <v>3.23</v>
      </c>
      <c r="C510" s="179">
        <v>958.9</v>
      </c>
    </row>
    <row r="511" spans="1:3" x14ac:dyDescent="0.35">
      <c r="A511" s="178" t="s">
        <v>3414</v>
      </c>
      <c r="B511">
        <v>3.18</v>
      </c>
      <c r="C511" s="179">
        <v>1224.3</v>
      </c>
    </row>
    <row r="512" spans="1:3" x14ac:dyDescent="0.35">
      <c r="A512" s="178" t="s">
        <v>3415</v>
      </c>
      <c r="B512">
        <v>3.16</v>
      </c>
      <c r="C512" s="179">
        <v>1342</v>
      </c>
    </row>
    <row r="513" spans="1:3" x14ac:dyDescent="0.35">
      <c r="A513" s="178" t="s">
        <v>2885</v>
      </c>
      <c r="B513">
        <v>3.14</v>
      </c>
      <c r="C513" s="179">
        <v>1208.9000000000001</v>
      </c>
    </row>
    <row r="514" spans="1:3" x14ac:dyDescent="0.35">
      <c r="A514" s="178" t="s">
        <v>3416</v>
      </c>
      <c r="B514">
        <v>3.11</v>
      </c>
      <c r="C514" s="179">
        <v>1146.19</v>
      </c>
    </row>
    <row r="515" spans="1:3" x14ac:dyDescent="0.35">
      <c r="A515" s="178" t="s">
        <v>3417</v>
      </c>
      <c r="B515">
        <v>3.04</v>
      </c>
      <c r="C515" s="179">
        <v>774.3</v>
      </c>
    </row>
    <row r="516" spans="1:3" x14ac:dyDescent="0.35">
      <c r="A516" s="178" t="s">
        <v>3418</v>
      </c>
      <c r="B516">
        <v>3.04</v>
      </c>
      <c r="C516" s="179">
        <v>867</v>
      </c>
    </row>
    <row r="517" spans="1:3" x14ac:dyDescent="0.35">
      <c r="A517" s="178" t="s">
        <v>2891</v>
      </c>
      <c r="B517">
        <v>3</v>
      </c>
      <c r="C517" s="179">
        <v>21580</v>
      </c>
    </row>
    <row r="518" spans="1:3" x14ac:dyDescent="0.35">
      <c r="A518" s="178" t="s">
        <v>2903</v>
      </c>
      <c r="B518">
        <v>3</v>
      </c>
      <c r="C518" s="179">
        <v>7050</v>
      </c>
    </row>
    <row r="519" spans="1:3" x14ac:dyDescent="0.35">
      <c r="A519" s="178" t="s">
        <v>3419</v>
      </c>
      <c r="B519">
        <v>2.98</v>
      </c>
      <c r="C519" s="179">
        <v>1082.3</v>
      </c>
    </row>
    <row r="520" spans="1:3" x14ac:dyDescent="0.35">
      <c r="A520" s="178" t="s">
        <v>3420</v>
      </c>
      <c r="B520">
        <v>2.92</v>
      </c>
      <c r="C520" s="179">
        <v>1076</v>
      </c>
    </row>
    <row r="521" spans="1:3" x14ac:dyDescent="0.35">
      <c r="A521" s="178" t="s">
        <v>3421</v>
      </c>
      <c r="B521">
        <v>2.78</v>
      </c>
      <c r="C521" s="179">
        <v>1215.3499999999999</v>
      </c>
    </row>
    <row r="522" spans="1:3" x14ac:dyDescent="0.35">
      <c r="A522" s="178" t="s">
        <v>3422</v>
      </c>
      <c r="B522">
        <v>2.68</v>
      </c>
      <c r="C522" s="179">
        <v>705.6</v>
      </c>
    </row>
    <row r="523" spans="1:3" x14ac:dyDescent="0.35">
      <c r="A523" s="178" t="s">
        <v>3423</v>
      </c>
      <c r="B523">
        <v>2.61</v>
      </c>
      <c r="C523" s="179">
        <v>912.31</v>
      </c>
    </row>
    <row r="524" spans="1:3" x14ac:dyDescent="0.35">
      <c r="A524" s="178" t="s">
        <v>3424</v>
      </c>
      <c r="B524">
        <v>2.61</v>
      </c>
      <c r="C524" s="179">
        <v>692.3</v>
      </c>
    </row>
    <row r="525" spans="1:3" x14ac:dyDescent="0.35">
      <c r="A525" s="178" t="s">
        <v>2929</v>
      </c>
      <c r="B525">
        <v>2.61</v>
      </c>
      <c r="C525" s="179">
        <v>-220.95</v>
      </c>
    </row>
    <row r="526" spans="1:3" x14ac:dyDescent="0.35">
      <c r="A526" s="178" t="s">
        <v>3425</v>
      </c>
      <c r="B526">
        <v>2.27</v>
      </c>
      <c r="C526" s="179">
        <v>519.83000000000004</v>
      </c>
    </row>
    <row r="527" spans="1:3" x14ac:dyDescent="0.35">
      <c r="A527" s="178" t="s">
        <v>2984</v>
      </c>
      <c r="B527">
        <v>2.2599999999999998</v>
      </c>
      <c r="C527" s="179">
        <v>971.8</v>
      </c>
    </row>
    <row r="528" spans="1:3" x14ac:dyDescent="0.35">
      <c r="A528" s="178" t="s">
        <v>3426</v>
      </c>
      <c r="B528">
        <v>2.16</v>
      </c>
      <c r="C528" s="179">
        <v>896.4</v>
      </c>
    </row>
    <row r="529" spans="1:3" x14ac:dyDescent="0.35">
      <c r="A529" s="178" t="s">
        <v>3427</v>
      </c>
      <c r="B529">
        <v>2.13</v>
      </c>
      <c r="C529" s="179">
        <v>777.45</v>
      </c>
    </row>
    <row r="530" spans="1:3" x14ac:dyDescent="0.35">
      <c r="A530" s="178" t="s">
        <v>3428</v>
      </c>
      <c r="B530">
        <v>2.11</v>
      </c>
      <c r="C530" s="179">
        <v>622.45000000000005</v>
      </c>
    </row>
    <row r="531" spans="1:3" x14ac:dyDescent="0.35">
      <c r="A531" s="178" t="s">
        <v>3429</v>
      </c>
      <c r="B531">
        <v>2.06</v>
      </c>
      <c r="C531" s="179">
        <v>875.5</v>
      </c>
    </row>
    <row r="532" spans="1:3" x14ac:dyDescent="0.35">
      <c r="A532" s="178" t="s">
        <v>3430</v>
      </c>
      <c r="B532">
        <v>2.0499999999999998</v>
      </c>
      <c r="C532" s="179">
        <v>809.75</v>
      </c>
    </row>
    <row r="533" spans="1:3" x14ac:dyDescent="0.35">
      <c r="A533" s="178" t="s">
        <v>3431</v>
      </c>
      <c r="B533">
        <v>2</v>
      </c>
      <c r="C533" s="179">
        <v>2300</v>
      </c>
    </row>
    <row r="534" spans="1:3" x14ac:dyDescent="0.35">
      <c r="A534" s="178" t="s">
        <v>3432</v>
      </c>
      <c r="B534">
        <v>2</v>
      </c>
      <c r="C534" s="179">
        <v>4350</v>
      </c>
    </row>
    <row r="535" spans="1:3" x14ac:dyDescent="0.35">
      <c r="A535" s="178" t="s">
        <v>3433</v>
      </c>
      <c r="B535">
        <v>2</v>
      </c>
      <c r="C535" s="179">
        <v>690</v>
      </c>
    </row>
    <row r="536" spans="1:3" x14ac:dyDescent="0.35">
      <c r="A536" s="178" t="s">
        <v>3434</v>
      </c>
      <c r="B536">
        <v>1.96</v>
      </c>
      <c r="C536" s="179">
        <v>842.8</v>
      </c>
    </row>
    <row r="537" spans="1:3" x14ac:dyDescent="0.35">
      <c r="A537" s="178" t="s">
        <v>3435</v>
      </c>
      <c r="B537">
        <v>1.92</v>
      </c>
      <c r="C537" s="179">
        <v>825.6</v>
      </c>
    </row>
    <row r="538" spans="1:3" x14ac:dyDescent="0.35">
      <c r="A538" s="178" t="s">
        <v>3436</v>
      </c>
      <c r="B538">
        <v>1.91</v>
      </c>
      <c r="C538" s="179">
        <v>821.3</v>
      </c>
    </row>
    <row r="539" spans="1:3" x14ac:dyDescent="0.35">
      <c r="A539" s="178" t="s">
        <v>2857</v>
      </c>
      <c r="B539">
        <v>1.9</v>
      </c>
      <c r="C539" s="179">
        <v>750.5</v>
      </c>
    </row>
    <row r="540" spans="1:3" x14ac:dyDescent="0.35">
      <c r="A540" s="178" t="s">
        <v>3437</v>
      </c>
      <c r="B540">
        <v>1.89</v>
      </c>
      <c r="C540" s="179">
        <v>850.5</v>
      </c>
    </row>
    <row r="541" spans="1:3" x14ac:dyDescent="0.35">
      <c r="A541" s="178" t="s">
        <v>3015</v>
      </c>
      <c r="B541">
        <v>1.86</v>
      </c>
      <c r="C541" s="179">
        <v>585.9</v>
      </c>
    </row>
    <row r="542" spans="1:3" x14ac:dyDescent="0.35">
      <c r="A542" s="178" t="s">
        <v>3438</v>
      </c>
      <c r="B542">
        <v>1.84</v>
      </c>
      <c r="C542" s="179">
        <v>542.79999999999995</v>
      </c>
    </row>
    <row r="543" spans="1:3" x14ac:dyDescent="0.35">
      <c r="A543" s="178" t="s">
        <v>3439</v>
      </c>
      <c r="B543">
        <v>1.79</v>
      </c>
      <c r="C543" s="179">
        <v>769.7</v>
      </c>
    </row>
    <row r="544" spans="1:3" x14ac:dyDescent="0.35">
      <c r="A544" s="178" t="s">
        <v>2940</v>
      </c>
      <c r="B544">
        <v>1.76</v>
      </c>
      <c r="C544" s="179">
        <v>783.2</v>
      </c>
    </row>
    <row r="545" spans="1:3" x14ac:dyDescent="0.35">
      <c r="A545" s="178" t="s">
        <v>3440</v>
      </c>
      <c r="B545">
        <v>1.7</v>
      </c>
      <c r="C545" s="179">
        <v>731</v>
      </c>
    </row>
    <row r="546" spans="1:3" x14ac:dyDescent="0.35">
      <c r="A546" s="178" t="s">
        <v>3441</v>
      </c>
      <c r="B546">
        <v>1.56</v>
      </c>
      <c r="C546" s="179">
        <v>678.6</v>
      </c>
    </row>
    <row r="547" spans="1:3" x14ac:dyDescent="0.35">
      <c r="A547" s="178" t="s">
        <v>3442</v>
      </c>
      <c r="B547">
        <v>1.54</v>
      </c>
      <c r="C547" s="179">
        <v>623.70000000000005</v>
      </c>
    </row>
    <row r="548" spans="1:3" x14ac:dyDescent="0.35">
      <c r="A548" s="178" t="s">
        <v>3443</v>
      </c>
      <c r="B548">
        <v>1.54</v>
      </c>
      <c r="C548" s="179">
        <v>669.9</v>
      </c>
    </row>
    <row r="549" spans="1:3" x14ac:dyDescent="0.35">
      <c r="A549" s="178" t="s">
        <v>3444</v>
      </c>
      <c r="B549">
        <v>1.54</v>
      </c>
      <c r="C549" s="179">
        <v>639.1</v>
      </c>
    </row>
    <row r="550" spans="1:3" x14ac:dyDescent="0.35">
      <c r="A550" s="178" t="s">
        <v>3445</v>
      </c>
      <c r="B550">
        <v>1.49</v>
      </c>
      <c r="C550" s="179">
        <v>588.54999999999995</v>
      </c>
    </row>
    <row r="551" spans="1:3" x14ac:dyDescent="0.35">
      <c r="A551" s="178" t="s">
        <v>3446</v>
      </c>
      <c r="B551">
        <v>1.28</v>
      </c>
      <c r="C551" s="179">
        <v>283.56</v>
      </c>
    </row>
    <row r="552" spans="1:3" x14ac:dyDescent="0.35">
      <c r="A552" s="178" t="s">
        <v>3447</v>
      </c>
      <c r="B552">
        <v>1</v>
      </c>
      <c r="C552" s="179">
        <v>391.3</v>
      </c>
    </row>
    <row r="553" spans="1:3" x14ac:dyDescent="0.35">
      <c r="A553" s="178" t="s">
        <v>3448</v>
      </c>
      <c r="B553">
        <v>1</v>
      </c>
      <c r="C553" s="179">
        <v>450</v>
      </c>
    </row>
    <row r="554" spans="1:3" x14ac:dyDescent="0.35">
      <c r="A554" s="178" t="s">
        <v>3449</v>
      </c>
      <c r="B554">
        <v>1</v>
      </c>
      <c r="C554" s="179">
        <v>500</v>
      </c>
    </row>
    <row r="555" spans="1:3" x14ac:dyDescent="0.35">
      <c r="A555" s="178" t="s">
        <v>3450</v>
      </c>
      <c r="B555">
        <v>0.89</v>
      </c>
      <c r="C555" s="179">
        <v>203.81</v>
      </c>
    </row>
    <row r="556" spans="1:3" x14ac:dyDescent="0.35">
      <c r="A556" s="178" t="s">
        <v>3451</v>
      </c>
      <c r="B556">
        <v>0.49</v>
      </c>
      <c r="C556" s="179">
        <v>166.6</v>
      </c>
    </row>
    <row r="557" spans="1:3" x14ac:dyDescent="0.35">
      <c r="A557" s="178" t="s">
        <v>3452</v>
      </c>
      <c r="B557">
        <v>0.3</v>
      </c>
      <c r="C557" s="179">
        <v>143</v>
      </c>
    </row>
    <row r="558" spans="1:3" x14ac:dyDescent="0.35">
      <c r="A558" s="178" t="s">
        <v>3453</v>
      </c>
      <c r="B558">
        <v>0</v>
      </c>
      <c r="C558" s="179">
        <v>0</v>
      </c>
    </row>
    <row r="559" spans="1:3" x14ac:dyDescent="0.35">
      <c r="A559" s="178" t="s">
        <v>3454</v>
      </c>
      <c r="B559">
        <v>0</v>
      </c>
      <c r="C559" s="179">
        <v>0</v>
      </c>
    </row>
    <row r="560" spans="1:3" x14ac:dyDescent="0.35">
      <c r="A560" s="178" t="s">
        <v>3455</v>
      </c>
      <c r="B560">
        <v>-1</v>
      </c>
      <c r="C560" s="179">
        <v>0</v>
      </c>
    </row>
    <row r="561" spans="1:3" x14ac:dyDescent="0.35">
      <c r="A561" s="178" t="s">
        <v>3456</v>
      </c>
      <c r="B561">
        <v>-1.3</v>
      </c>
      <c r="C561" s="179">
        <v>762.55</v>
      </c>
    </row>
    <row r="562" spans="1:3" x14ac:dyDescent="0.35">
      <c r="A562" s="178" t="s">
        <v>3457</v>
      </c>
      <c r="B562">
        <v>-3.65</v>
      </c>
      <c r="C562" s="179">
        <v>-1350.5</v>
      </c>
    </row>
    <row r="563" spans="1:3" x14ac:dyDescent="0.35">
      <c r="A563" s="178" t="s">
        <v>3458</v>
      </c>
      <c r="B563">
        <v>-16.89</v>
      </c>
      <c r="C563" s="179">
        <v>-5821.45</v>
      </c>
    </row>
    <row r="564" spans="1:3" x14ac:dyDescent="0.35">
      <c r="A564" s="178" t="s">
        <v>3459</v>
      </c>
      <c r="B564">
        <v>-29.58</v>
      </c>
      <c r="C564" s="179">
        <v>-8282.4</v>
      </c>
    </row>
    <row r="565" spans="1:3" x14ac:dyDescent="0.35">
      <c r="A565" s="178" t="s">
        <v>2939</v>
      </c>
      <c r="B565">
        <v>-48.44</v>
      </c>
      <c r="C565" s="179">
        <v>-19133.8</v>
      </c>
    </row>
    <row r="566" spans="1:3" x14ac:dyDescent="0.35">
      <c r="A566" s="178" t="s">
        <v>2880</v>
      </c>
      <c r="B566">
        <v>-121.73</v>
      </c>
      <c r="C566" s="179">
        <v>-46804.45</v>
      </c>
    </row>
    <row r="567" spans="1:3" x14ac:dyDescent="0.35">
      <c r="A567" s="178" t="s">
        <v>94</v>
      </c>
      <c r="B567">
        <v>25527.77</v>
      </c>
      <c r="C567" s="179">
        <v>8602829.1300000194</v>
      </c>
    </row>
    <row r="568" spans="1:3" x14ac:dyDescent="0.35">
      <c r="A568" s="178"/>
    </row>
    <row r="569" spans="1:3" x14ac:dyDescent="0.35">
      <c r="A569" s="178"/>
    </row>
    <row r="570" spans="1:3" x14ac:dyDescent="0.35">
      <c r="A570" s="178"/>
    </row>
    <row r="571" spans="1:3" x14ac:dyDescent="0.35">
      <c r="A571" s="178"/>
    </row>
    <row r="572" spans="1:3" x14ac:dyDescent="0.35">
      <c r="A572" s="178"/>
    </row>
    <row r="573" spans="1:3" x14ac:dyDescent="0.35">
      <c r="A573" s="178"/>
    </row>
    <row r="574" spans="1:3" x14ac:dyDescent="0.35">
      <c r="A574" s="178"/>
    </row>
    <row r="575" spans="1:3" x14ac:dyDescent="0.35">
      <c r="A575" s="178"/>
    </row>
    <row r="576" spans="1:3" x14ac:dyDescent="0.35">
      <c r="A576" s="178"/>
    </row>
    <row r="577" spans="1:1" x14ac:dyDescent="0.35">
      <c r="A577" s="178"/>
    </row>
    <row r="578" spans="1:1" x14ac:dyDescent="0.35">
      <c r="A578" s="178"/>
    </row>
    <row r="579" spans="1:1" x14ac:dyDescent="0.35">
      <c r="A579" s="178"/>
    </row>
    <row r="580" spans="1:1" x14ac:dyDescent="0.35">
      <c r="A580" s="178"/>
    </row>
    <row r="581" spans="1:1" x14ac:dyDescent="0.35">
      <c r="A581" s="178"/>
    </row>
    <row r="582" spans="1:1" x14ac:dyDescent="0.35">
      <c r="A582" s="178"/>
    </row>
    <row r="583" spans="1:1" x14ac:dyDescent="0.35">
      <c r="A583" s="178"/>
    </row>
    <row r="584" spans="1:1" x14ac:dyDescent="0.35">
      <c r="A584" s="178"/>
    </row>
    <row r="585" spans="1:1" x14ac:dyDescent="0.35">
      <c r="A585" s="178"/>
    </row>
    <row r="586" spans="1:1" x14ac:dyDescent="0.35">
      <c r="A586" s="178"/>
    </row>
    <row r="587" spans="1:1" x14ac:dyDescent="0.35">
      <c r="A587" s="178"/>
    </row>
    <row r="588" spans="1:1" x14ac:dyDescent="0.35">
      <c r="A588" s="178"/>
    </row>
    <row r="589" spans="1:1" x14ac:dyDescent="0.35">
      <c r="A589" s="178"/>
    </row>
    <row r="590" spans="1:1" x14ac:dyDescent="0.35">
      <c r="A590" s="178"/>
    </row>
    <row r="591" spans="1:1" x14ac:dyDescent="0.35">
      <c r="A591" s="178"/>
    </row>
    <row r="592" spans="1:1" x14ac:dyDescent="0.35">
      <c r="A592" s="178"/>
    </row>
    <row r="593" spans="1:1" x14ac:dyDescent="0.35">
      <c r="A593" s="178"/>
    </row>
    <row r="594" spans="1:1" x14ac:dyDescent="0.35">
      <c r="A594" s="178"/>
    </row>
    <row r="595" spans="1:1" x14ac:dyDescent="0.35">
      <c r="A595" s="178"/>
    </row>
    <row r="596" spans="1:1" x14ac:dyDescent="0.35">
      <c r="A596" s="178"/>
    </row>
    <row r="597" spans="1:1" x14ac:dyDescent="0.35">
      <c r="A597" s="178"/>
    </row>
    <row r="598" spans="1:1" x14ac:dyDescent="0.35">
      <c r="A598" s="178"/>
    </row>
    <row r="599" spans="1:1" x14ac:dyDescent="0.35">
      <c r="A599" s="178"/>
    </row>
    <row r="600" spans="1:1" x14ac:dyDescent="0.35">
      <c r="A600" s="178"/>
    </row>
    <row r="601" spans="1:1" x14ac:dyDescent="0.35">
      <c r="A601" s="178"/>
    </row>
    <row r="602" spans="1:1" x14ac:dyDescent="0.35">
      <c r="A602" s="178"/>
    </row>
  </sheetData>
  <sortState xmlns:xlrd2="http://schemas.microsoft.com/office/spreadsheetml/2017/richdata2" ref="A4:C566">
    <sortCondition descending="1" ref="B4:B566"/>
  </sortState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F43"/>
  <sheetViews>
    <sheetView topLeftCell="A25" zoomScale="98" zoomScaleNormal="98" workbookViewId="0">
      <selection activeCell="E3" sqref="E3:G3"/>
    </sheetView>
  </sheetViews>
  <sheetFormatPr defaultRowHeight="14.5" x14ac:dyDescent="0.35"/>
  <cols>
    <col min="1" max="1" width="47.7265625" customWidth="1"/>
    <col min="2" max="2" width="9.81640625" style="126" customWidth="1"/>
    <col min="3" max="3" width="10.81640625" style="179" customWidth="1"/>
    <col min="4" max="4" width="14.1796875" style="179" bestFit="1" customWidth="1"/>
  </cols>
  <sheetData>
    <row r="1" spans="1:6" x14ac:dyDescent="0.35">
      <c r="A1" s="178" t="s">
        <v>56</v>
      </c>
    </row>
    <row r="2" spans="1:6" x14ac:dyDescent="0.35">
      <c r="A2" s="178" t="s">
        <v>187</v>
      </c>
    </row>
    <row r="3" spans="1:6" x14ac:dyDescent="0.35">
      <c r="A3" s="178" t="s">
        <v>57</v>
      </c>
      <c r="B3" s="230" t="s">
        <v>58</v>
      </c>
      <c r="C3" s="231" t="s">
        <v>95</v>
      </c>
      <c r="D3" s="231" t="s">
        <v>96</v>
      </c>
      <c r="E3" s="178"/>
      <c r="F3" s="178"/>
    </row>
    <row r="4" spans="1:6" x14ac:dyDescent="0.35">
      <c r="A4" s="178" t="s">
        <v>107</v>
      </c>
    </row>
    <row r="5" spans="1:6" x14ac:dyDescent="0.35">
      <c r="A5" s="178" t="s">
        <v>188</v>
      </c>
      <c r="B5" s="126">
        <v>405.12</v>
      </c>
      <c r="C5" s="179">
        <v>215</v>
      </c>
      <c r="D5" s="179">
        <v>87100.800000000003</v>
      </c>
    </row>
    <row r="6" spans="1:6" x14ac:dyDescent="0.35">
      <c r="A6" s="178" t="s">
        <v>189</v>
      </c>
      <c r="B6" s="126">
        <v>623.14</v>
      </c>
      <c r="C6" s="179">
        <v>215</v>
      </c>
      <c r="D6" s="179">
        <v>133975.1</v>
      </c>
    </row>
    <row r="7" spans="1:6" x14ac:dyDescent="0.35">
      <c r="A7" s="178" t="s">
        <v>190</v>
      </c>
      <c r="B7" s="126">
        <v>404.31</v>
      </c>
      <c r="C7" s="179">
        <v>215</v>
      </c>
      <c r="D7" s="179">
        <v>86926.65</v>
      </c>
    </row>
    <row r="8" spans="1:6" x14ac:dyDescent="0.35">
      <c r="A8" s="178" t="s">
        <v>108</v>
      </c>
      <c r="B8" s="126">
        <v>1296.6300000000001</v>
      </c>
      <c r="C8" s="179">
        <v>192</v>
      </c>
      <c r="D8" s="179">
        <v>248952.95999999999</v>
      </c>
    </row>
    <row r="9" spans="1:6" x14ac:dyDescent="0.35">
      <c r="A9" s="178" t="s">
        <v>191</v>
      </c>
      <c r="B9" s="126">
        <v>560.41999999999996</v>
      </c>
      <c r="C9" s="179">
        <v>192</v>
      </c>
      <c r="D9" s="179">
        <v>107600.64</v>
      </c>
    </row>
    <row r="10" spans="1:6" x14ac:dyDescent="0.35">
      <c r="A10" s="178" t="s">
        <v>192</v>
      </c>
      <c r="B10" s="126">
        <v>592.54999999999995</v>
      </c>
      <c r="C10" s="179">
        <v>192</v>
      </c>
      <c r="D10" s="179">
        <v>113769.60000000001</v>
      </c>
    </row>
    <row r="11" spans="1:6" x14ac:dyDescent="0.35">
      <c r="A11" s="178" t="s">
        <v>109</v>
      </c>
      <c r="B11" s="126">
        <v>578.09</v>
      </c>
      <c r="C11" s="179">
        <v>278</v>
      </c>
      <c r="D11" s="179">
        <v>160709.01999999999</v>
      </c>
    </row>
    <row r="12" spans="1:6" x14ac:dyDescent="0.35">
      <c r="A12" s="178" t="s">
        <v>193</v>
      </c>
      <c r="B12" s="126">
        <v>576.29999999999995</v>
      </c>
      <c r="C12" s="179">
        <v>278</v>
      </c>
      <c r="D12" s="179">
        <v>160211.4</v>
      </c>
    </row>
    <row r="13" spans="1:6" x14ac:dyDescent="0.35">
      <c r="A13" s="178" t="s">
        <v>194</v>
      </c>
      <c r="B13" s="126">
        <v>289.39</v>
      </c>
      <c r="C13" s="179">
        <v>278</v>
      </c>
      <c r="D13" s="179">
        <v>80450.42</v>
      </c>
    </row>
    <row r="14" spans="1:6" x14ac:dyDescent="0.35">
      <c r="A14" s="178" t="s">
        <v>195</v>
      </c>
      <c r="B14" s="126">
        <v>567.28</v>
      </c>
      <c r="C14" s="179">
        <v>278</v>
      </c>
      <c r="D14" s="179">
        <v>157703.84</v>
      </c>
    </row>
    <row r="15" spans="1:6" x14ac:dyDescent="0.35">
      <c r="A15" s="178" t="s">
        <v>110</v>
      </c>
      <c r="B15" s="126">
        <v>622.58000000000004</v>
      </c>
      <c r="C15" s="179">
        <v>270</v>
      </c>
      <c r="D15" s="179">
        <v>168096.6</v>
      </c>
    </row>
    <row r="16" spans="1:6" x14ac:dyDescent="0.35">
      <c r="A16" s="178" t="s">
        <v>111</v>
      </c>
      <c r="B16" s="126">
        <v>630.20000000000005</v>
      </c>
      <c r="C16" s="179">
        <v>270</v>
      </c>
      <c r="D16" s="179">
        <v>170154</v>
      </c>
    </row>
    <row r="17" spans="1:4" x14ac:dyDescent="0.35">
      <c r="A17" s="178" t="s">
        <v>112</v>
      </c>
      <c r="B17" s="126">
        <v>625.51</v>
      </c>
      <c r="C17" s="179">
        <v>275</v>
      </c>
      <c r="D17" s="179">
        <v>172015.25</v>
      </c>
    </row>
    <row r="18" spans="1:4" x14ac:dyDescent="0.35">
      <c r="A18" s="178" t="s">
        <v>196</v>
      </c>
      <c r="B18" s="126">
        <v>309.25</v>
      </c>
      <c r="C18" s="179">
        <v>275</v>
      </c>
      <c r="D18" s="179">
        <v>85043.75</v>
      </c>
    </row>
    <row r="19" spans="1:4" x14ac:dyDescent="0.35">
      <c r="A19" s="178" t="s">
        <v>113</v>
      </c>
      <c r="B19" s="126">
        <v>1629.75</v>
      </c>
      <c r="C19" s="179">
        <v>275</v>
      </c>
      <c r="D19" s="179">
        <v>448181.25</v>
      </c>
    </row>
    <row r="20" spans="1:4" x14ac:dyDescent="0.35">
      <c r="A20" s="178" t="s">
        <v>114</v>
      </c>
      <c r="B20" s="126">
        <v>581.51</v>
      </c>
      <c r="C20" s="179">
        <v>275</v>
      </c>
      <c r="D20" s="179">
        <v>159915.25</v>
      </c>
    </row>
    <row r="21" spans="1:4" x14ac:dyDescent="0.35">
      <c r="A21" s="178" t="s">
        <v>115</v>
      </c>
      <c r="B21" s="126">
        <v>596</v>
      </c>
      <c r="C21" s="179">
        <v>192</v>
      </c>
      <c r="D21" s="179">
        <v>114432</v>
      </c>
    </row>
    <row r="22" spans="1:4" x14ac:dyDescent="0.35">
      <c r="A22" s="178" t="s">
        <v>116</v>
      </c>
      <c r="B22" s="126">
        <v>3029.7</v>
      </c>
      <c r="C22" s="179">
        <v>192</v>
      </c>
      <c r="D22" s="179">
        <v>581702.40000000002</v>
      </c>
    </row>
    <row r="23" spans="1:4" x14ac:dyDescent="0.35">
      <c r="A23" s="178" t="s">
        <v>117</v>
      </c>
      <c r="B23" s="126">
        <v>607.03</v>
      </c>
      <c r="C23" s="179">
        <v>192</v>
      </c>
      <c r="D23" s="179">
        <v>116549.75999999999</v>
      </c>
    </row>
    <row r="24" spans="1:4" x14ac:dyDescent="0.35">
      <c r="A24" s="178" t="s">
        <v>197</v>
      </c>
      <c r="B24" s="126">
        <v>580.71</v>
      </c>
      <c r="C24" s="179">
        <v>192</v>
      </c>
      <c r="D24" s="179">
        <v>111496.32000000001</v>
      </c>
    </row>
    <row r="25" spans="1:4" x14ac:dyDescent="0.35">
      <c r="A25" s="178" t="s">
        <v>198</v>
      </c>
      <c r="B25" s="126">
        <v>440.81</v>
      </c>
      <c r="C25" s="179">
        <v>275</v>
      </c>
      <c r="D25" s="179">
        <v>121222.75</v>
      </c>
    </row>
    <row r="26" spans="1:4" x14ac:dyDescent="0.35">
      <c r="A26" s="178" t="s">
        <v>118</v>
      </c>
      <c r="B26" s="126">
        <v>663.29</v>
      </c>
      <c r="C26" s="179">
        <v>245</v>
      </c>
      <c r="D26" s="179">
        <v>162506.04999999999</v>
      </c>
    </row>
    <row r="27" spans="1:4" x14ac:dyDescent="0.35">
      <c r="A27" s="178" t="s">
        <v>119</v>
      </c>
      <c r="B27" s="126">
        <v>4728.24</v>
      </c>
      <c r="C27" s="179">
        <v>175</v>
      </c>
      <c r="D27" s="179">
        <v>827442</v>
      </c>
    </row>
    <row r="28" spans="1:4" x14ac:dyDescent="0.35">
      <c r="A28" s="178" t="s">
        <v>199</v>
      </c>
      <c r="B28" s="126">
        <v>389.48</v>
      </c>
      <c r="C28" s="179">
        <v>270</v>
      </c>
      <c r="D28" s="179">
        <v>105159.6</v>
      </c>
    </row>
    <row r="29" spans="1:4" x14ac:dyDescent="0.35">
      <c r="A29" s="178" t="s">
        <v>200</v>
      </c>
      <c r="B29" s="126">
        <v>388.49</v>
      </c>
      <c r="C29" s="179">
        <v>270</v>
      </c>
      <c r="D29" s="179">
        <v>104892.3</v>
      </c>
    </row>
    <row r="30" spans="1:4" x14ac:dyDescent="0.35">
      <c r="A30" s="178" t="s">
        <v>201</v>
      </c>
      <c r="B30" s="126">
        <v>620.09</v>
      </c>
      <c r="C30" s="179">
        <v>270</v>
      </c>
      <c r="D30" s="179">
        <v>167424.29999999999</v>
      </c>
    </row>
    <row r="31" spans="1:4" x14ac:dyDescent="0.35">
      <c r="A31" s="178" t="s">
        <v>202</v>
      </c>
      <c r="B31" s="126">
        <v>37.42</v>
      </c>
      <c r="C31" s="179">
        <v>270</v>
      </c>
      <c r="D31" s="179">
        <v>10103.4</v>
      </c>
    </row>
    <row r="32" spans="1:4" x14ac:dyDescent="0.35">
      <c r="A32" s="178" t="s">
        <v>203</v>
      </c>
      <c r="B32" s="126">
        <v>45.26</v>
      </c>
      <c r="C32" s="179">
        <v>192</v>
      </c>
      <c r="D32" s="179">
        <v>8689.92</v>
      </c>
    </row>
    <row r="33" spans="1:4" x14ac:dyDescent="0.35">
      <c r="A33" s="178" t="s">
        <v>120</v>
      </c>
      <c r="B33" s="126">
        <v>306.14999999999998</v>
      </c>
      <c r="C33" s="179">
        <v>201</v>
      </c>
      <c r="D33" s="179">
        <v>61536.15</v>
      </c>
    </row>
    <row r="34" spans="1:4" x14ac:dyDescent="0.35">
      <c r="A34" s="178" t="s">
        <v>204</v>
      </c>
      <c r="B34" s="126">
        <v>255.43</v>
      </c>
      <c r="C34" s="179">
        <v>201</v>
      </c>
      <c r="D34" s="179">
        <v>51341.43</v>
      </c>
    </row>
    <row r="35" spans="1:4" x14ac:dyDescent="0.35">
      <c r="A35" s="178" t="s">
        <v>205</v>
      </c>
      <c r="B35" s="126">
        <v>420.86</v>
      </c>
      <c r="C35" s="179">
        <v>201</v>
      </c>
      <c r="D35" s="179">
        <v>84592.86</v>
      </c>
    </row>
    <row r="36" spans="1:4" x14ac:dyDescent="0.35">
      <c r="A36" s="178" t="s">
        <v>206</v>
      </c>
      <c r="B36" s="126">
        <v>1333.38</v>
      </c>
      <c r="C36" s="179">
        <v>165</v>
      </c>
      <c r="D36" s="179">
        <v>220007.7</v>
      </c>
    </row>
    <row r="37" spans="1:4" x14ac:dyDescent="0.35">
      <c r="A37" s="178" t="s">
        <v>207</v>
      </c>
      <c r="B37" s="126">
        <v>386.26</v>
      </c>
      <c r="C37" s="179">
        <v>165</v>
      </c>
      <c r="D37" s="179">
        <v>63732.9</v>
      </c>
    </row>
    <row r="38" spans="1:4" x14ac:dyDescent="0.35">
      <c r="A38" s="178" t="s">
        <v>208</v>
      </c>
      <c r="B38" s="126">
        <v>383.61</v>
      </c>
      <c r="C38" s="179">
        <v>165</v>
      </c>
      <c r="D38" s="179">
        <v>63295.65</v>
      </c>
    </row>
    <row r="39" spans="1:4" x14ac:dyDescent="0.35">
      <c r="A39" s="178" t="s">
        <v>121</v>
      </c>
      <c r="B39" s="126">
        <f>SUM(B5:B38)</f>
        <v>25504.239999999998</v>
      </c>
      <c r="D39" s="179">
        <f>SUM(D5:D38)</f>
        <v>5516934.0200000005</v>
      </c>
    </row>
    <row r="40" spans="1:4" x14ac:dyDescent="0.35">
      <c r="A40" s="178" t="s">
        <v>94</v>
      </c>
      <c r="B40" s="218" t="s">
        <v>57</v>
      </c>
      <c r="C40" s="180" t="s">
        <v>57</v>
      </c>
    </row>
    <row r="41" spans="1:4" x14ac:dyDescent="0.35">
      <c r="A41" s="178"/>
      <c r="D41" s="179">
        <f>+D39/B39</f>
        <v>216.31438615696845</v>
      </c>
    </row>
    <row r="42" spans="1:4" x14ac:dyDescent="0.35">
      <c r="A42" s="178"/>
    </row>
    <row r="43" spans="1:4" x14ac:dyDescent="0.35">
      <c r="A43" s="178"/>
      <c r="B43" s="218"/>
      <c r="C43" s="180"/>
    </row>
  </sheetData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D61"/>
  <sheetViews>
    <sheetView topLeftCell="A6" workbookViewId="0">
      <selection activeCell="B5" sqref="B5:B24"/>
    </sheetView>
  </sheetViews>
  <sheetFormatPr defaultRowHeight="14.5" x14ac:dyDescent="0.35"/>
  <cols>
    <col min="1" max="1" width="48.81640625" customWidth="1"/>
    <col min="2" max="2" width="11" bestFit="1" customWidth="1"/>
    <col min="3" max="3" width="9.26953125" style="126" bestFit="1" customWidth="1"/>
    <col min="4" max="4" width="12.54296875" style="126" bestFit="1" customWidth="1"/>
  </cols>
  <sheetData>
    <row r="1" spans="1:4" x14ac:dyDescent="0.35">
      <c r="A1" s="178" t="s">
        <v>56</v>
      </c>
      <c r="C1"/>
      <c r="D1"/>
    </row>
    <row r="2" spans="1:4" x14ac:dyDescent="0.35">
      <c r="A2" s="178" t="s">
        <v>187</v>
      </c>
      <c r="C2"/>
      <c r="D2"/>
    </row>
    <row r="3" spans="1:4" x14ac:dyDescent="0.35">
      <c r="A3" s="178" t="s">
        <v>57</v>
      </c>
      <c r="B3" s="226" t="s">
        <v>58</v>
      </c>
      <c r="C3" s="226" t="s">
        <v>95</v>
      </c>
      <c r="D3" s="226" t="s">
        <v>96</v>
      </c>
    </row>
    <row r="4" spans="1:4" x14ac:dyDescent="0.35">
      <c r="A4" s="178" t="s">
        <v>97</v>
      </c>
      <c r="C4"/>
      <c r="D4"/>
    </row>
    <row r="5" spans="1:4" x14ac:dyDescent="0.35">
      <c r="A5" s="178" t="s">
        <v>209</v>
      </c>
      <c r="B5">
        <v>310.27</v>
      </c>
      <c r="C5" s="179">
        <v>345</v>
      </c>
      <c r="D5" s="179">
        <v>107043.15</v>
      </c>
    </row>
    <row r="6" spans="1:4" x14ac:dyDescent="0.35">
      <c r="A6" s="178" t="s">
        <v>210</v>
      </c>
      <c r="B6">
        <v>316.11</v>
      </c>
      <c r="C6" s="179">
        <v>345</v>
      </c>
      <c r="D6" s="179">
        <v>109057.95</v>
      </c>
    </row>
    <row r="7" spans="1:4" x14ac:dyDescent="0.35">
      <c r="A7" s="178" t="s">
        <v>211</v>
      </c>
      <c r="B7">
        <v>323.64</v>
      </c>
      <c r="C7" s="179">
        <v>242</v>
      </c>
      <c r="D7" s="179">
        <v>78320.88</v>
      </c>
    </row>
    <row r="8" spans="1:4" x14ac:dyDescent="0.35">
      <c r="A8" s="178" t="s">
        <v>212</v>
      </c>
      <c r="B8">
        <v>264.33999999999997</v>
      </c>
      <c r="C8" s="179">
        <v>242</v>
      </c>
      <c r="D8" s="179">
        <v>63970.28</v>
      </c>
    </row>
    <row r="9" spans="1:4" x14ac:dyDescent="0.35">
      <c r="A9" s="178" t="s">
        <v>213</v>
      </c>
      <c r="B9">
        <v>307.20999999999998</v>
      </c>
      <c r="C9" s="179">
        <v>342.60424465349399</v>
      </c>
      <c r="D9" s="179">
        <v>105251.45</v>
      </c>
    </row>
    <row r="10" spans="1:4" x14ac:dyDescent="0.35">
      <c r="A10" s="178" t="s">
        <v>98</v>
      </c>
      <c r="B10">
        <v>294.41000000000003</v>
      </c>
      <c r="C10" s="179">
        <v>333.981692197955</v>
      </c>
      <c r="D10" s="179">
        <v>98327.55</v>
      </c>
    </row>
    <row r="11" spans="1:4" x14ac:dyDescent="0.35">
      <c r="A11" s="178" t="s">
        <v>214</v>
      </c>
      <c r="B11">
        <v>5.0999999999999996</v>
      </c>
      <c r="C11" s="179">
        <v>365</v>
      </c>
      <c r="D11" s="179">
        <v>1861.5</v>
      </c>
    </row>
    <row r="12" spans="1:4" x14ac:dyDescent="0.35">
      <c r="A12" s="178" t="s">
        <v>99</v>
      </c>
      <c r="B12">
        <v>598.85</v>
      </c>
      <c r="C12" s="179">
        <v>344.544794188862</v>
      </c>
      <c r="D12" s="179">
        <v>206330.65</v>
      </c>
    </row>
    <row r="13" spans="1:4" x14ac:dyDescent="0.35">
      <c r="A13" s="178" t="s">
        <v>215</v>
      </c>
      <c r="B13">
        <v>224.77</v>
      </c>
      <c r="C13" s="179">
        <v>345</v>
      </c>
      <c r="D13" s="179">
        <v>77545.649999999994</v>
      </c>
    </row>
    <row r="14" spans="1:4" x14ac:dyDescent="0.35">
      <c r="A14" s="178" t="s">
        <v>216</v>
      </c>
      <c r="B14">
        <v>319.66000000000003</v>
      </c>
      <c r="C14" s="179">
        <v>345</v>
      </c>
      <c r="D14" s="179">
        <v>110282.7</v>
      </c>
    </row>
    <row r="15" spans="1:4" x14ac:dyDescent="0.35">
      <c r="A15" s="178" t="s">
        <v>217</v>
      </c>
      <c r="B15">
        <v>323.93</v>
      </c>
      <c r="C15" s="179">
        <v>345</v>
      </c>
      <c r="D15" s="179">
        <v>111755.85</v>
      </c>
    </row>
    <row r="16" spans="1:4" x14ac:dyDescent="0.35">
      <c r="A16" s="178" t="s">
        <v>218</v>
      </c>
      <c r="B16">
        <v>320.77</v>
      </c>
      <c r="C16" s="179">
        <v>345</v>
      </c>
      <c r="D16" s="179">
        <v>110665.65</v>
      </c>
    </row>
    <row r="17" spans="1:4" x14ac:dyDescent="0.35">
      <c r="A17" s="178" t="s">
        <v>100</v>
      </c>
      <c r="B17">
        <v>341.33</v>
      </c>
      <c r="C17" s="179">
        <v>340.07368236017902</v>
      </c>
      <c r="D17" s="179">
        <v>116077.35</v>
      </c>
    </row>
    <row r="18" spans="1:4" x14ac:dyDescent="0.35">
      <c r="A18" s="178" t="s">
        <v>219</v>
      </c>
      <c r="B18">
        <v>321.38</v>
      </c>
      <c r="C18" s="179">
        <v>341.85512477441</v>
      </c>
      <c r="D18" s="179">
        <v>109865.4</v>
      </c>
    </row>
    <row r="19" spans="1:4" x14ac:dyDescent="0.35">
      <c r="A19" s="178" t="s">
        <v>101</v>
      </c>
      <c r="B19">
        <v>316.8</v>
      </c>
      <c r="C19" s="179">
        <v>345</v>
      </c>
      <c r="D19" s="179">
        <v>109296</v>
      </c>
    </row>
    <row r="20" spans="1:4" x14ac:dyDescent="0.35">
      <c r="A20" s="178" t="s">
        <v>102</v>
      </c>
      <c r="B20">
        <v>621.53</v>
      </c>
      <c r="C20" s="179">
        <v>354.44765337151898</v>
      </c>
      <c r="D20" s="179">
        <v>220299.85</v>
      </c>
    </row>
    <row r="21" spans="1:4" x14ac:dyDescent="0.35">
      <c r="A21" s="178" t="s">
        <v>103</v>
      </c>
      <c r="B21">
        <v>326.12</v>
      </c>
      <c r="C21" s="179">
        <v>345</v>
      </c>
      <c r="D21" s="179">
        <v>112511.4</v>
      </c>
    </row>
    <row r="22" spans="1:4" x14ac:dyDescent="0.35">
      <c r="A22" s="178" t="s">
        <v>104</v>
      </c>
      <c r="B22">
        <v>314.04000000000002</v>
      </c>
      <c r="C22" s="179">
        <v>344.28448605273201</v>
      </c>
      <c r="D22" s="179">
        <v>108119.1</v>
      </c>
    </row>
    <row r="23" spans="1:4" x14ac:dyDescent="0.35">
      <c r="A23" s="178" t="s">
        <v>105</v>
      </c>
      <c r="B23">
        <v>631.36</v>
      </c>
      <c r="C23" s="179">
        <v>345</v>
      </c>
      <c r="D23" s="179">
        <v>217819.2</v>
      </c>
    </row>
    <row r="24" spans="1:4" x14ac:dyDescent="0.35">
      <c r="A24" s="178" t="s">
        <v>220</v>
      </c>
      <c r="B24">
        <v>328.98</v>
      </c>
      <c r="C24" s="179">
        <v>294.03611161772801</v>
      </c>
      <c r="D24" s="179">
        <v>96732</v>
      </c>
    </row>
    <row r="25" spans="1:4" x14ac:dyDescent="0.35">
      <c r="A25" s="178" t="s">
        <v>106</v>
      </c>
      <c r="B25">
        <f>SUM(B5:B24)</f>
        <v>6810.5999999999985</v>
      </c>
      <c r="C25" s="179"/>
      <c r="D25" s="179">
        <f>SUM(D5:D24)</f>
        <v>2271133.56</v>
      </c>
    </row>
    <row r="26" spans="1:4" x14ac:dyDescent="0.35">
      <c r="A26" s="178" t="s">
        <v>94</v>
      </c>
      <c r="B26" s="178"/>
      <c r="C26" s="180"/>
      <c r="D26" s="179"/>
    </row>
    <row r="27" spans="1:4" x14ac:dyDescent="0.35">
      <c r="A27" s="178"/>
      <c r="C27"/>
      <c r="D27">
        <f>+D25/B25</f>
        <v>333.47040789357771</v>
      </c>
    </row>
    <row r="28" spans="1:4" x14ac:dyDescent="0.35">
      <c r="A28" s="178"/>
      <c r="B28" s="178"/>
      <c r="C28" s="178"/>
      <c r="D28"/>
    </row>
    <row r="29" spans="1:4" x14ac:dyDescent="0.35">
      <c r="A29" s="178"/>
    </row>
    <row r="30" spans="1:4" x14ac:dyDescent="0.35">
      <c r="A30" s="178"/>
    </row>
    <row r="31" spans="1:4" x14ac:dyDescent="0.35">
      <c r="A31" s="178"/>
    </row>
    <row r="32" spans="1:4" x14ac:dyDescent="0.35">
      <c r="A32" s="178"/>
    </row>
    <row r="33" spans="1:3" x14ac:dyDescent="0.35">
      <c r="A33" s="178"/>
    </row>
    <row r="34" spans="1:3" x14ac:dyDescent="0.35">
      <c r="A34" s="178"/>
    </row>
    <row r="35" spans="1:3" x14ac:dyDescent="0.35">
      <c r="A35" s="178"/>
    </row>
    <row r="36" spans="1:3" x14ac:dyDescent="0.35">
      <c r="A36" s="178"/>
    </row>
    <row r="37" spans="1:3" x14ac:dyDescent="0.35">
      <c r="A37" s="178"/>
    </row>
    <row r="38" spans="1:3" x14ac:dyDescent="0.35">
      <c r="A38" s="178"/>
    </row>
    <row r="39" spans="1:3" x14ac:dyDescent="0.35">
      <c r="A39" s="178"/>
      <c r="B39" s="178"/>
      <c r="C39" s="218"/>
    </row>
    <row r="40" spans="1:3" x14ac:dyDescent="0.35">
      <c r="A40" s="178"/>
    </row>
    <row r="41" spans="1:3" x14ac:dyDescent="0.35">
      <c r="A41" s="178"/>
    </row>
    <row r="42" spans="1:3" x14ac:dyDescent="0.35">
      <c r="A42" s="178"/>
    </row>
    <row r="43" spans="1:3" x14ac:dyDescent="0.35">
      <c r="A43" s="178"/>
    </row>
    <row r="44" spans="1:3" x14ac:dyDescent="0.35">
      <c r="A44" s="178"/>
    </row>
    <row r="45" spans="1:3" x14ac:dyDescent="0.35">
      <c r="A45" s="178"/>
    </row>
    <row r="46" spans="1:3" x14ac:dyDescent="0.35">
      <c r="A46" s="178"/>
    </row>
    <row r="47" spans="1:3" x14ac:dyDescent="0.35">
      <c r="A47" s="178"/>
    </row>
    <row r="48" spans="1:3" x14ac:dyDescent="0.35">
      <c r="A48" s="178"/>
    </row>
    <row r="49" spans="1:3" x14ac:dyDescent="0.35">
      <c r="A49" s="178"/>
    </row>
    <row r="50" spans="1:3" x14ac:dyDescent="0.35">
      <c r="A50" s="178"/>
    </row>
    <row r="51" spans="1:3" x14ac:dyDescent="0.35">
      <c r="A51" s="178"/>
    </row>
    <row r="52" spans="1:3" x14ac:dyDescent="0.35">
      <c r="A52" s="178"/>
    </row>
    <row r="53" spans="1:3" x14ac:dyDescent="0.35">
      <c r="A53" s="178"/>
    </row>
    <row r="54" spans="1:3" x14ac:dyDescent="0.35">
      <c r="A54" s="178"/>
    </row>
    <row r="55" spans="1:3" x14ac:dyDescent="0.35">
      <c r="A55" s="178"/>
    </row>
    <row r="56" spans="1:3" x14ac:dyDescent="0.35">
      <c r="A56" s="178"/>
    </row>
    <row r="57" spans="1:3" x14ac:dyDescent="0.35">
      <c r="A57" s="178"/>
    </row>
    <row r="58" spans="1:3" x14ac:dyDescent="0.35">
      <c r="A58" s="178"/>
    </row>
    <row r="59" spans="1:3" x14ac:dyDescent="0.35">
      <c r="A59" s="178"/>
    </row>
    <row r="60" spans="1:3" x14ac:dyDescent="0.35">
      <c r="A60" s="178"/>
    </row>
    <row r="61" spans="1:3" x14ac:dyDescent="0.35">
      <c r="A61" s="178"/>
      <c r="B61" s="178"/>
      <c r="C61" s="218"/>
    </row>
  </sheetData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F1519"/>
  <sheetViews>
    <sheetView workbookViewId="0">
      <selection activeCell="C12" sqref="C12"/>
    </sheetView>
  </sheetViews>
  <sheetFormatPr defaultRowHeight="14.5" x14ac:dyDescent="0.35"/>
  <cols>
    <col min="1" max="1" width="66.1796875" bestFit="1" customWidth="1"/>
    <col min="2" max="2" width="9.81640625" style="126" bestFit="1" customWidth="1"/>
    <col min="3" max="3" width="15.81640625" style="179" customWidth="1"/>
  </cols>
  <sheetData>
    <row r="1" spans="1:6" x14ac:dyDescent="0.35">
      <c r="A1" s="178"/>
    </row>
    <row r="2" spans="1:6" x14ac:dyDescent="0.35">
      <c r="A2" s="178"/>
      <c r="B2" s="79"/>
      <c r="C2" s="222"/>
    </row>
    <row r="3" spans="1:6" x14ac:dyDescent="0.35">
      <c r="A3" s="178"/>
      <c r="B3" s="224"/>
      <c r="C3" s="225"/>
      <c r="D3" s="178"/>
      <c r="E3" s="178"/>
      <c r="F3" s="178"/>
    </row>
    <row r="4" spans="1:6" x14ac:dyDescent="0.35">
      <c r="A4" s="178"/>
    </row>
    <row r="5" spans="1:6" x14ac:dyDescent="0.35">
      <c r="A5" s="178"/>
    </row>
    <row r="6" spans="1:6" x14ac:dyDescent="0.35">
      <c r="A6" s="178"/>
    </row>
    <row r="7" spans="1:6" x14ac:dyDescent="0.35">
      <c r="A7" s="178"/>
    </row>
    <row r="8" spans="1:6" x14ac:dyDescent="0.35">
      <c r="A8" s="178"/>
    </row>
    <row r="9" spans="1:6" x14ac:dyDescent="0.35">
      <c r="A9" s="178"/>
    </row>
    <row r="10" spans="1:6" x14ac:dyDescent="0.35">
      <c r="A10" s="178"/>
    </row>
    <row r="11" spans="1:6" x14ac:dyDescent="0.35">
      <c r="A11" s="178"/>
    </row>
    <row r="12" spans="1:6" x14ac:dyDescent="0.35">
      <c r="A12" s="178"/>
    </row>
    <row r="13" spans="1:6" x14ac:dyDescent="0.35">
      <c r="A13" s="178"/>
    </row>
    <row r="14" spans="1:6" x14ac:dyDescent="0.35">
      <c r="A14" s="178"/>
    </row>
    <row r="15" spans="1:6" x14ac:dyDescent="0.35">
      <c r="A15" s="178"/>
    </row>
    <row r="16" spans="1:6" x14ac:dyDescent="0.35">
      <c r="A16" s="178"/>
    </row>
    <row r="17" spans="1:1" x14ac:dyDescent="0.35">
      <c r="A17" s="178"/>
    </row>
    <row r="18" spans="1:1" x14ac:dyDescent="0.35">
      <c r="A18" s="178"/>
    </row>
    <row r="19" spans="1:1" x14ac:dyDescent="0.35">
      <c r="A19" s="178"/>
    </row>
    <row r="20" spans="1:1" x14ac:dyDescent="0.35">
      <c r="A20" s="178"/>
    </row>
    <row r="21" spans="1:1" x14ac:dyDescent="0.35">
      <c r="A21" s="178"/>
    </row>
    <row r="22" spans="1:1" x14ac:dyDescent="0.35">
      <c r="A22" s="178"/>
    </row>
    <row r="23" spans="1:1" x14ac:dyDescent="0.35">
      <c r="A23" s="178"/>
    </row>
    <row r="24" spans="1:1" x14ac:dyDescent="0.35">
      <c r="A24" s="178"/>
    </row>
    <row r="25" spans="1:1" x14ac:dyDescent="0.35">
      <c r="A25" s="178"/>
    </row>
    <row r="26" spans="1:1" x14ac:dyDescent="0.35">
      <c r="A26" s="178"/>
    </row>
    <row r="27" spans="1:1" x14ac:dyDescent="0.35">
      <c r="A27" s="178"/>
    </row>
    <row r="28" spans="1:1" x14ac:dyDescent="0.35">
      <c r="A28" s="178"/>
    </row>
    <row r="29" spans="1:1" x14ac:dyDescent="0.35">
      <c r="A29" s="178"/>
    </row>
    <row r="30" spans="1:1" x14ac:dyDescent="0.35">
      <c r="A30" s="178"/>
    </row>
    <row r="31" spans="1:1" x14ac:dyDescent="0.35">
      <c r="A31" s="178"/>
    </row>
    <row r="32" spans="1:1" x14ac:dyDescent="0.35">
      <c r="A32" s="178"/>
    </row>
    <row r="33" spans="1:1" x14ac:dyDescent="0.35">
      <c r="A33" s="178"/>
    </row>
    <row r="34" spans="1:1" x14ac:dyDescent="0.35">
      <c r="A34" s="178"/>
    </row>
    <row r="35" spans="1:1" x14ac:dyDescent="0.35">
      <c r="A35" s="178"/>
    </row>
    <row r="36" spans="1:1" x14ac:dyDescent="0.35">
      <c r="A36" s="178"/>
    </row>
    <row r="37" spans="1:1" x14ac:dyDescent="0.35">
      <c r="A37" s="178"/>
    </row>
    <row r="38" spans="1:1" x14ac:dyDescent="0.35">
      <c r="A38" s="178"/>
    </row>
    <row r="39" spans="1:1" x14ac:dyDescent="0.35">
      <c r="A39" s="178"/>
    </row>
    <row r="40" spans="1:1" x14ac:dyDescent="0.35">
      <c r="A40" s="178"/>
    </row>
    <row r="41" spans="1:1" x14ac:dyDescent="0.35">
      <c r="A41" s="178"/>
    </row>
    <row r="42" spans="1:1" x14ac:dyDescent="0.35">
      <c r="A42" s="178"/>
    </row>
    <row r="43" spans="1:1" x14ac:dyDescent="0.35">
      <c r="A43" s="178"/>
    </row>
    <row r="44" spans="1:1" x14ac:dyDescent="0.35">
      <c r="A44" s="178"/>
    </row>
    <row r="45" spans="1:1" x14ac:dyDescent="0.35">
      <c r="A45" s="178"/>
    </row>
    <row r="46" spans="1:1" x14ac:dyDescent="0.35">
      <c r="A46" s="178"/>
    </row>
    <row r="47" spans="1:1" x14ac:dyDescent="0.35">
      <c r="A47" s="178"/>
    </row>
    <row r="48" spans="1:1" x14ac:dyDescent="0.35">
      <c r="A48" s="178"/>
    </row>
    <row r="49" spans="1:1" x14ac:dyDescent="0.35">
      <c r="A49" s="178"/>
    </row>
    <row r="50" spans="1:1" x14ac:dyDescent="0.35">
      <c r="A50" s="178"/>
    </row>
    <row r="51" spans="1:1" x14ac:dyDescent="0.35">
      <c r="A51" s="178"/>
    </row>
    <row r="52" spans="1:1" x14ac:dyDescent="0.35">
      <c r="A52" s="178"/>
    </row>
    <row r="53" spans="1:1" x14ac:dyDescent="0.35">
      <c r="A53" s="178"/>
    </row>
    <row r="54" spans="1:1" x14ac:dyDescent="0.35">
      <c r="A54" s="178"/>
    </row>
    <row r="55" spans="1:1" x14ac:dyDescent="0.35">
      <c r="A55" s="178"/>
    </row>
    <row r="56" spans="1:1" x14ac:dyDescent="0.35">
      <c r="A56" s="178"/>
    </row>
    <row r="57" spans="1:1" x14ac:dyDescent="0.35">
      <c r="A57" s="178"/>
    </row>
    <row r="58" spans="1:1" x14ac:dyDescent="0.35">
      <c r="A58" s="178"/>
    </row>
    <row r="59" spans="1:1" x14ac:dyDescent="0.35">
      <c r="A59" s="178"/>
    </row>
    <row r="60" spans="1:1" x14ac:dyDescent="0.35">
      <c r="A60" s="178"/>
    </row>
    <row r="61" spans="1:1" x14ac:dyDescent="0.35">
      <c r="A61" s="178"/>
    </row>
    <row r="62" spans="1:1" x14ac:dyDescent="0.35">
      <c r="A62" s="178"/>
    </row>
    <row r="63" spans="1:1" x14ac:dyDescent="0.35">
      <c r="A63" s="178"/>
    </row>
    <row r="64" spans="1:1" x14ac:dyDescent="0.35">
      <c r="A64" s="178"/>
    </row>
    <row r="65" spans="1:1" x14ac:dyDescent="0.35">
      <c r="A65" s="178"/>
    </row>
    <row r="66" spans="1:1" x14ac:dyDescent="0.35">
      <c r="A66" s="178"/>
    </row>
    <row r="67" spans="1:1" x14ac:dyDescent="0.35">
      <c r="A67" s="178"/>
    </row>
    <row r="68" spans="1:1" x14ac:dyDescent="0.35">
      <c r="A68" s="178"/>
    </row>
    <row r="69" spans="1:1" x14ac:dyDescent="0.35">
      <c r="A69" s="178"/>
    </row>
    <row r="70" spans="1:1" x14ac:dyDescent="0.35">
      <c r="A70" s="178"/>
    </row>
    <row r="71" spans="1:1" x14ac:dyDescent="0.35">
      <c r="A71" s="178"/>
    </row>
    <row r="72" spans="1:1" x14ac:dyDescent="0.35">
      <c r="A72" s="178"/>
    </row>
    <row r="73" spans="1:1" x14ac:dyDescent="0.35">
      <c r="A73" s="178"/>
    </row>
    <row r="74" spans="1:1" x14ac:dyDescent="0.35">
      <c r="A74" s="178"/>
    </row>
    <row r="75" spans="1:1" x14ac:dyDescent="0.35">
      <c r="A75" s="178"/>
    </row>
    <row r="76" spans="1:1" x14ac:dyDescent="0.35">
      <c r="A76" s="178"/>
    </row>
    <row r="77" spans="1:1" x14ac:dyDescent="0.35">
      <c r="A77" s="178"/>
    </row>
    <row r="78" spans="1:1" x14ac:dyDescent="0.35">
      <c r="A78" s="178"/>
    </row>
    <row r="79" spans="1:1" x14ac:dyDescent="0.35">
      <c r="A79" s="178"/>
    </row>
    <row r="80" spans="1:1" x14ac:dyDescent="0.35">
      <c r="A80" s="178"/>
    </row>
    <row r="81" spans="1:1" x14ac:dyDescent="0.35">
      <c r="A81" s="178"/>
    </row>
    <row r="82" spans="1:1" x14ac:dyDescent="0.35">
      <c r="A82" s="178"/>
    </row>
    <row r="83" spans="1:1" x14ac:dyDescent="0.35">
      <c r="A83" s="178"/>
    </row>
    <row r="84" spans="1:1" x14ac:dyDescent="0.35">
      <c r="A84" s="178"/>
    </row>
    <row r="85" spans="1:1" x14ac:dyDescent="0.35">
      <c r="A85" s="178"/>
    </row>
    <row r="86" spans="1:1" x14ac:dyDescent="0.35">
      <c r="A86" s="178"/>
    </row>
    <row r="87" spans="1:1" x14ac:dyDescent="0.35">
      <c r="A87" s="178"/>
    </row>
    <row r="88" spans="1:1" x14ac:dyDescent="0.35">
      <c r="A88" s="178"/>
    </row>
    <row r="89" spans="1:1" x14ac:dyDescent="0.35">
      <c r="A89" s="178"/>
    </row>
    <row r="90" spans="1:1" x14ac:dyDescent="0.35">
      <c r="A90" s="178"/>
    </row>
    <row r="91" spans="1:1" x14ac:dyDescent="0.35">
      <c r="A91" s="178"/>
    </row>
    <row r="92" spans="1:1" x14ac:dyDescent="0.35">
      <c r="A92" s="178"/>
    </row>
    <row r="93" spans="1:1" x14ac:dyDescent="0.35">
      <c r="A93" s="178"/>
    </row>
    <row r="94" spans="1:1" x14ac:dyDescent="0.35">
      <c r="A94" s="178"/>
    </row>
    <row r="95" spans="1:1" x14ac:dyDescent="0.35">
      <c r="A95" s="178"/>
    </row>
    <row r="96" spans="1:1" x14ac:dyDescent="0.35">
      <c r="A96" s="178"/>
    </row>
    <row r="97" spans="1:1" x14ac:dyDescent="0.35">
      <c r="A97" s="178"/>
    </row>
    <row r="98" spans="1:1" x14ac:dyDescent="0.35">
      <c r="A98" s="178"/>
    </row>
    <row r="99" spans="1:1" x14ac:dyDescent="0.35">
      <c r="A99" s="178"/>
    </row>
    <row r="100" spans="1:1" x14ac:dyDescent="0.35">
      <c r="A100" s="178"/>
    </row>
    <row r="101" spans="1:1" x14ac:dyDescent="0.35">
      <c r="A101" s="178"/>
    </row>
    <row r="102" spans="1:1" x14ac:dyDescent="0.35">
      <c r="A102" s="178"/>
    </row>
    <row r="103" spans="1:1" x14ac:dyDescent="0.35">
      <c r="A103" s="178"/>
    </row>
    <row r="104" spans="1:1" x14ac:dyDescent="0.35">
      <c r="A104" s="178"/>
    </row>
    <row r="105" spans="1:1" x14ac:dyDescent="0.35">
      <c r="A105" s="178"/>
    </row>
    <row r="106" spans="1:1" x14ac:dyDescent="0.35">
      <c r="A106" s="178"/>
    </row>
    <row r="107" spans="1:1" x14ac:dyDescent="0.35">
      <c r="A107" s="178"/>
    </row>
    <row r="108" spans="1:1" x14ac:dyDescent="0.35">
      <c r="A108" s="178"/>
    </row>
    <row r="109" spans="1:1" x14ac:dyDescent="0.35">
      <c r="A109" s="178"/>
    </row>
    <row r="110" spans="1:1" x14ac:dyDescent="0.35">
      <c r="A110" s="178"/>
    </row>
    <row r="111" spans="1:1" x14ac:dyDescent="0.35">
      <c r="A111" s="178"/>
    </row>
    <row r="112" spans="1:1" x14ac:dyDescent="0.35">
      <c r="A112" s="178"/>
    </row>
    <row r="113" spans="1:1" x14ac:dyDescent="0.35">
      <c r="A113" s="178"/>
    </row>
    <row r="114" spans="1:1" x14ac:dyDescent="0.35">
      <c r="A114" s="178"/>
    </row>
    <row r="115" spans="1:1" x14ac:dyDescent="0.35">
      <c r="A115" s="178"/>
    </row>
    <row r="116" spans="1:1" x14ac:dyDescent="0.35">
      <c r="A116" s="178"/>
    </row>
    <row r="117" spans="1:1" x14ac:dyDescent="0.35">
      <c r="A117" s="178"/>
    </row>
    <row r="118" spans="1:1" x14ac:dyDescent="0.35">
      <c r="A118" s="178"/>
    </row>
    <row r="119" spans="1:1" x14ac:dyDescent="0.35">
      <c r="A119" s="178"/>
    </row>
    <row r="120" spans="1:1" x14ac:dyDescent="0.35">
      <c r="A120" s="178"/>
    </row>
    <row r="121" spans="1:1" x14ac:dyDescent="0.35">
      <c r="A121" s="178"/>
    </row>
    <row r="122" spans="1:1" x14ac:dyDescent="0.35">
      <c r="A122" s="178"/>
    </row>
    <row r="123" spans="1:1" x14ac:dyDescent="0.35">
      <c r="A123" s="178"/>
    </row>
    <row r="124" spans="1:1" x14ac:dyDescent="0.35">
      <c r="A124" s="178"/>
    </row>
    <row r="125" spans="1:1" x14ac:dyDescent="0.35">
      <c r="A125" s="178"/>
    </row>
    <row r="126" spans="1:1" x14ac:dyDescent="0.35">
      <c r="A126" s="178"/>
    </row>
    <row r="127" spans="1:1" x14ac:dyDescent="0.35">
      <c r="A127" s="178"/>
    </row>
    <row r="128" spans="1:1" x14ac:dyDescent="0.35">
      <c r="A128" s="178"/>
    </row>
    <row r="129" spans="1:1" x14ac:dyDescent="0.35">
      <c r="A129" s="178"/>
    </row>
    <row r="130" spans="1:1" x14ac:dyDescent="0.35">
      <c r="A130" s="178"/>
    </row>
    <row r="131" spans="1:1" x14ac:dyDescent="0.35">
      <c r="A131" s="178"/>
    </row>
    <row r="132" spans="1:1" x14ac:dyDescent="0.35">
      <c r="A132" s="178"/>
    </row>
    <row r="133" spans="1:1" x14ac:dyDescent="0.35">
      <c r="A133" s="178"/>
    </row>
    <row r="134" spans="1:1" x14ac:dyDescent="0.35">
      <c r="A134" s="178"/>
    </row>
    <row r="135" spans="1:1" x14ac:dyDescent="0.35">
      <c r="A135" s="178"/>
    </row>
    <row r="136" spans="1:1" x14ac:dyDescent="0.35">
      <c r="A136" s="178"/>
    </row>
    <row r="137" spans="1:1" x14ac:dyDescent="0.35">
      <c r="A137" s="178"/>
    </row>
    <row r="138" spans="1:1" x14ac:dyDescent="0.35">
      <c r="A138" s="178"/>
    </row>
    <row r="139" spans="1:1" x14ac:dyDescent="0.35">
      <c r="A139" s="178"/>
    </row>
    <row r="140" spans="1:1" x14ac:dyDescent="0.35">
      <c r="A140" s="178"/>
    </row>
    <row r="141" spans="1:1" x14ac:dyDescent="0.35">
      <c r="A141" s="178"/>
    </row>
    <row r="142" spans="1:1" x14ac:dyDescent="0.35">
      <c r="A142" s="178"/>
    </row>
    <row r="143" spans="1:1" x14ac:dyDescent="0.35">
      <c r="A143" s="178"/>
    </row>
    <row r="144" spans="1:1" x14ac:dyDescent="0.35">
      <c r="A144" s="178"/>
    </row>
    <row r="145" spans="1:1" x14ac:dyDescent="0.35">
      <c r="A145" s="178"/>
    </row>
    <row r="146" spans="1:1" x14ac:dyDescent="0.35">
      <c r="A146" s="178"/>
    </row>
    <row r="147" spans="1:1" x14ac:dyDescent="0.35">
      <c r="A147" s="178"/>
    </row>
    <row r="148" spans="1:1" x14ac:dyDescent="0.35">
      <c r="A148" s="178"/>
    </row>
    <row r="149" spans="1:1" x14ac:dyDescent="0.35">
      <c r="A149" s="178"/>
    </row>
    <row r="150" spans="1:1" x14ac:dyDescent="0.35">
      <c r="A150" s="178"/>
    </row>
    <row r="151" spans="1:1" x14ac:dyDescent="0.35">
      <c r="A151" s="178"/>
    </row>
    <row r="152" spans="1:1" x14ac:dyDescent="0.35">
      <c r="A152" s="178"/>
    </row>
    <row r="153" spans="1:1" x14ac:dyDescent="0.35">
      <c r="A153" s="178"/>
    </row>
    <row r="154" spans="1:1" x14ac:dyDescent="0.35">
      <c r="A154" s="178"/>
    </row>
    <row r="155" spans="1:1" x14ac:dyDescent="0.35">
      <c r="A155" s="178"/>
    </row>
    <row r="156" spans="1:1" x14ac:dyDescent="0.35">
      <c r="A156" s="178"/>
    </row>
    <row r="157" spans="1:1" x14ac:dyDescent="0.35">
      <c r="A157" s="178"/>
    </row>
    <row r="158" spans="1:1" x14ac:dyDescent="0.35">
      <c r="A158" s="178"/>
    </row>
    <row r="159" spans="1:1" x14ac:dyDescent="0.35">
      <c r="A159" s="178"/>
    </row>
    <row r="160" spans="1:1" x14ac:dyDescent="0.35">
      <c r="A160" s="178"/>
    </row>
    <row r="161" spans="1:1" x14ac:dyDescent="0.35">
      <c r="A161" s="178"/>
    </row>
    <row r="162" spans="1:1" x14ac:dyDescent="0.35">
      <c r="A162" s="178"/>
    </row>
    <row r="163" spans="1:1" x14ac:dyDescent="0.35">
      <c r="A163" s="178"/>
    </row>
    <row r="164" spans="1:1" x14ac:dyDescent="0.35">
      <c r="A164" s="178"/>
    </row>
    <row r="165" spans="1:1" x14ac:dyDescent="0.35">
      <c r="A165" s="178"/>
    </row>
    <row r="166" spans="1:1" x14ac:dyDescent="0.35">
      <c r="A166" s="178"/>
    </row>
    <row r="167" spans="1:1" x14ac:dyDescent="0.35">
      <c r="A167" s="178"/>
    </row>
    <row r="168" spans="1:1" x14ac:dyDescent="0.35">
      <c r="A168" s="178"/>
    </row>
    <row r="169" spans="1:1" x14ac:dyDescent="0.35">
      <c r="A169" s="178"/>
    </row>
    <row r="170" spans="1:1" x14ac:dyDescent="0.35">
      <c r="A170" s="178"/>
    </row>
    <row r="171" spans="1:1" x14ac:dyDescent="0.35">
      <c r="A171" s="178"/>
    </row>
    <row r="172" spans="1:1" x14ac:dyDescent="0.35">
      <c r="A172" s="178"/>
    </row>
    <row r="173" spans="1:1" x14ac:dyDescent="0.35">
      <c r="A173" s="178"/>
    </row>
    <row r="174" spans="1:1" x14ac:dyDescent="0.35">
      <c r="A174" s="178"/>
    </row>
    <row r="175" spans="1:1" x14ac:dyDescent="0.35">
      <c r="A175" s="178"/>
    </row>
    <row r="176" spans="1:1" x14ac:dyDescent="0.35">
      <c r="A176" s="178"/>
    </row>
    <row r="177" spans="1:1" x14ac:dyDescent="0.35">
      <c r="A177" s="178"/>
    </row>
    <row r="178" spans="1:1" x14ac:dyDescent="0.35">
      <c r="A178" s="178"/>
    </row>
    <row r="179" spans="1:1" x14ac:dyDescent="0.35">
      <c r="A179" s="178"/>
    </row>
    <row r="180" spans="1:1" x14ac:dyDescent="0.35">
      <c r="A180" s="178"/>
    </row>
    <row r="181" spans="1:1" x14ac:dyDescent="0.35">
      <c r="A181" s="178"/>
    </row>
    <row r="182" spans="1:1" x14ac:dyDescent="0.35">
      <c r="A182" s="178"/>
    </row>
    <row r="183" spans="1:1" x14ac:dyDescent="0.35">
      <c r="A183" s="178"/>
    </row>
    <row r="184" spans="1:1" x14ac:dyDescent="0.35">
      <c r="A184" s="178"/>
    </row>
    <row r="185" spans="1:1" x14ac:dyDescent="0.35">
      <c r="A185" s="178"/>
    </row>
    <row r="186" spans="1:1" x14ac:dyDescent="0.35">
      <c r="A186" s="178"/>
    </row>
    <row r="187" spans="1:1" x14ac:dyDescent="0.35">
      <c r="A187" s="178"/>
    </row>
    <row r="188" spans="1:1" x14ac:dyDescent="0.35">
      <c r="A188" s="178"/>
    </row>
    <row r="189" spans="1:1" x14ac:dyDescent="0.35">
      <c r="A189" s="178"/>
    </row>
    <row r="190" spans="1:1" x14ac:dyDescent="0.35">
      <c r="A190" s="178"/>
    </row>
    <row r="191" spans="1:1" x14ac:dyDescent="0.35">
      <c r="A191" s="178"/>
    </row>
    <row r="192" spans="1:1" x14ac:dyDescent="0.35">
      <c r="A192" s="178"/>
    </row>
    <row r="193" spans="1:1" x14ac:dyDescent="0.35">
      <c r="A193" s="178"/>
    </row>
    <row r="194" spans="1:1" x14ac:dyDescent="0.35">
      <c r="A194" s="178"/>
    </row>
    <row r="195" spans="1:1" x14ac:dyDescent="0.35">
      <c r="A195" s="178"/>
    </row>
    <row r="196" spans="1:1" x14ac:dyDescent="0.35">
      <c r="A196" s="178"/>
    </row>
    <row r="197" spans="1:1" x14ac:dyDescent="0.35">
      <c r="A197" s="178"/>
    </row>
    <row r="198" spans="1:1" x14ac:dyDescent="0.35">
      <c r="A198" s="178"/>
    </row>
    <row r="199" spans="1:1" x14ac:dyDescent="0.35">
      <c r="A199" s="178"/>
    </row>
    <row r="200" spans="1:1" x14ac:dyDescent="0.35">
      <c r="A200" s="178"/>
    </row>
    <row r="201" spans="1:1" x14ac:dyDescent="0.35">
      <c r="A201" s="178"/>
    </row>
    <row r="202" spans="1:1" x14ac:dyDescent="0.35">
      <c r="A202" s="178"/>
    </row>
    <row r="203" spans="1:1" x14ac:dyDescent="0.35">
      <c r="A203" s="178"/>
    </row>
    <row r="204" spans="1:1" x14ac:dyDescent="0.35">
      <c r="A204" s="178"/>
    </row>
    <row r="205" spans="1:1" x14ac:dyDescent="0.35">
      <c r="A205" s="178"/>
    </row>
    <row r="206" spans="1:1" x14ac:dyDescent="0.35">
      <c r="A206" s="178"/>
    </row>
    <row r="207" spans="1:1" x14ac:dyDescent="0.35">
      <c r="A207" s="178"/>
    </row>
    <row r="208" spans="1:1" x14ac:dyDescent="0.35">
      <c r="A208" s="178"/>
    </row>
    <row r="209" spans="1:1" x14ac:dyDescent="0.35">
      <c r="A209" s="178"/>
    </row>
    <row r="210" spans="1:1" x14ac:dyDescent="0.35">
      <c r="A210" s="178"/>
    </row>
    <row r="211" spans="1:1" x14ac:dyDescent="0.35">
      <c r="A211" s="178"/>
    </row>
    <row r="212" spans="1:1" x14ac:dyDescent="0.35">
      <c r="A212" s="178"/>
    </row>
    <row r="213" spans="1:1" x14ac:dyDescent="0.35">
      <c r="A213" s="178"/>
    </row>
    <row r="214" spans="1:1" x14ac:dyDescent="0.35">
      <c r="A214" s="178"/>
    </row>
    <row r="215" spans="1:1" x14ac:dyDescent="0.35">
      <c r="A215" s="178"/>
    </row>
    <row r="216" spans="1:1" x14ac:dyDescent="0.35">
      <c r="A216" s="178"/>
    </row>
    <row r="217" spans="1:1" x14ac:dyDescent="0.35">
      <c r="A217" s="178"/>
    </row>
    <row r="218" spans="1:1" x14ac:dyDescent="0.35">
      <c r="A218" s="178"/>
    </row>
    <row r="219" spans="1:1" x14ac:dyDescent="0.35">
      <c r="A219" s="178"/>
    </row>
    <row r="220" spans="1:1" x14ac:dyDescent="0.35">
      <c r="A220" s="178"/>
    </row>
    <row r="221" spans="1:1" x14ac:dyDescent="0.35">
      <c r="A221" s="178"/>
    </row>
    <row r="222" spans="1:1" x14ac:dyDescent="0.35">
      <c r="A222" s="178"/>
    </row>
    <row r="223" spans="1:1" x14ac:dyDescent="0.35">
      <c r="A223" s="178"/>
    </row>
    <row r="224" spans="1:1" x14ac:dyDescent="0.35">
      <c r="A224" s="178"/>
    </row>
    <row r="225" spans="1:1" x14ac:dyDescent="0.35">
      <c r="A225" s="178"/>
    </row>
    <row r="226" spans="1:1" x14ac:dyDescent="0.35">
      <c r="A226" s="178"/>
    </row>
    <row r="227" spans="1:1" x14ac:dyDescent="0.35">
      <c r="A227" s="178"/>
    </row>
    <row r="228" spans="1:1" x14ac:dyDescent="0.35">
      <c r="A228" s="178"/>
    </row>
    <row r="229" spans="1:1" x14ac:dyDescent="0.35">
      <c r="A229" s="178"/>
    </row>
    <row r="230" spans="1:1" x14ac:dyDescent="0.35">
      <c r="A230" s="178"/>
    </row>
    <row r="231" spans="1:1" x14ac:dyDescent="0.35">
      <c r="A231" s="178"/>
    </row>
    <row r="232" spans="1:1" x14ac:dyDescent="0.35">
      <c r="A232" s="178"/>
    </row>
    <row r="233" spans="1:1" x14ac:dyDescent="0.35">
      <c r="A233" s="178"/>
    </row>
    <row r="234" spans="1:1" x14ac:dyDescent="0.35">
      <c r="A234" s="178"/>
    </row>
    <row r="235" spans="1:1" x14ac:dyDescent="0.35">
      <c r="A235" s="178"/>
    </row>
    <row r="236" spans="1:1" x14ac:dyDescent="0.35">
      <c r="A236" s="178"/>
    </row>
    <row r="237" spans="1:1" x14ac:dyDescent="0.35">
      <c r="A237" s="178"/>
    </row>
    <row r="238" spans="1:1" x14ac:dyDescent="0.35">
      <c r="A238" s="178"/>
    </row>
    <row r="239" spans="1:1" x14ac:dyDescent="0.35">
      <c r="A239" s="178"/>
    </row>
    <row r="240" spans="1:1" x14ac:dyDescent="0.35">
      <c r="A240" s="178"/>
    </row>
    <row r="241" spans="1:1" x14ac:dyDescent="0.35">
      <c r="A241" s="178"/>
    </row>
    <row r="242" spans="1:1" x14ac:dyDescent="0.35">
      <c r="A242" s="178"/>
    </row>
    <row r="243" spans="1:1" x14ac:dyDescent="0.35">
      <c r="A243" s="178"/>
    </row>
    <row r="244" spans="1:1" x14ac:dyDescent="0.35">
      <c r="A244" s="178"/>
    </row>
    <row r="245" spans="1:1" x14ac:dyDescent="0.35">
      <c r="A245" s="178"/>
    </row>
    <row r="246" spans="1:1" x14ac:dyDescent="0.35">
      <c r="A246" s="178"/>
    </row>
    <row r="247" spans="1:1" x14ac:dyDescent="0.35">
      <c r="A247" s="178"/>
    </row>
    <row r="248" spans="1:1" x14ac:dyDescent="0.35">
      <c r="A248" s="178"/>
    </row>
    <row r="249" spans="1:1" x14ac:dyDescent="0.35">
      <c r="A249" s="178"/>
    </row>
    <row r="250" spans="1:1" x14ac:dyDescent="0.35">
      <c r="A250" s="178"/>
    </row>
    <row r="251" spans="1:1" x14ac:dyDescent="0.35">
      <c r="A251" s="178"/>
    </row>
    <row r="252" spans="1:1" x14ac:dyDescent="0.35">
      <c r="A252" s="178"/>
    </row>
    <row r="253" spans="1:1" x14ac:dyDescent="0.35">
      <c r="A253" s="178"/>
    </row>
    <row r="254" spans="1:1" x14ac:dyDescent="0.35">
      <c r="A254" s="178"/>
    </row>
    <row r="255" spans="1:1" x14ac:dyDescent="0.35">
      <c r="A255" s="178"/>
    </row>
    <row r="256" spans="1:1" x14ac:dyDescent="0.35">
      <c r="A256" s="178"/>
    </row>
    <row r="257" spans="1:1" x14ac:dyDescent="0.35">
      <c r="A257" s="178"/>
    </row>
    <row r="258" spans="1:1" x14ac:dyDescent="0.35">
      <c r="A258" s="178"/>
    </row>
    <row r="259" spans="1:1" x14ac:dyDescent="0.35">
      <c r="A259" s="178"/>
    </row>
    <row r="260" spans="1:1" x14ac:dyDescent="0.35">
      <c r="A260" s="178"/>
    </row>
    <row r="261" spans="1:1" x14ac:dyDescent="0.35">
      <c r="A261" s="178"/>
    </row>
    <row r="262" spans="1:1" x14ac:dyDescent="0.35">
      <c r="A262" s="178"/>
    </row>
    <row r="263" spans="1:1" x14ac:dyDescent="0.35">
      <c r="A263" s="178"/>
    </row>
    <row r="264" spans="1:1" x14ac:dyDescent="0.35">
      <c r="A264" s="178"/>
    </row>
    <row r="265" spans="1:1" x14ac:dyDescent="0.35">
      <c r="A265" s="178"/>
    </row>
    <row r="266" spans="1:1" x14ac:dyDescent="0.35">
      <c r="A266" s="178"/>
    </row>
    <row r="267" spans="1:1" x14ac:dyDescent="0.35">
      <c r="A267" s="178"/>
    </row>
    <row r="268" spans="1:1" x14ac:dyDescent="0.35">
      <c r="A268" s="178"/>
    </row>
    <row r="269" spans="1:1" x14ac:dyDescent="0.35">
      <c r="A269" s="178"/>
    </row>
    <row r="270" spans="1:1" x14ac:dyDescent="0.35">
      <c r="A270" s="178"/>
    </row>
    <row r="271" spans="1:1" x14ac:dyDescent="0.35">
      <c r="A271" s="178"/>
    </row>
    <row r="272" spans="1:1" x14ac:dyDescent="0.35">
      <c r="A272" s="178"/>
    </row>
    <row r="273" spans="1:1" x14ac:dyDescent="0.35">
      <c r="A273" s="178"/>
    </row>
    <row r="274" spans="1:1" x14ac:dyDescent="0.35">
      <c r="A274" s="178"/>
    </row>
    <row r="275" spans="1:1" x14ac:dyDescent="0.35">
      <c r="A275" s="178"/>
    </row>
    <row r="276" spans="1:1" x14ac:dyDescent="0.35">
      <c r="A276" s="178"/>
    </row>
    <row r="277" spans="1:1" x14ac:dyDescent="0.35">
      <c r="A277" s="178"/>
    </row>
    <row r="278" spans="1:1" x14ac:dyDescent="0.35">
      <c r="A278" s="178"/>
    </row>
    <row r="279" spans="1:1" x14ac:dyDescent="0.35">
      <c r="A279" s="178"/>
    </row>
    <row r="280" spans="1:1" x14ac:dyDescent="0.35">
      <c r="A280" s="178"/>
    </row>
    <row r="281" spans="1:1" x14ac:dyDescent="0.35">
      <c r="A281" s="178"/>
    </row>
    <row r="282" spans="1:1" x14ac:dyDescent="0.35">
      <c r="A282" s="178"/>
    </row>
    <row r="283" spans="1:1" x14ac:dyDescent="0.35">
      <c r="A283" s="178"/>
    </row>
    <row r="284" spans="1:1" x14ac:dyDescent="0.35">
      <c r="A284" s="178"/>
    </row>
    <row r="285" spans="1:1" x14ac:dyDescent="0.35">
      <c r="A285" s="178"/>
    </row>
    <row r="286" spans="1:1" x14ac:dyDescent="0.35">
      <c r="A286" s="178"/>
    </row>
    <row r="287" spans="1:1" x14ac:dyDescent="0.35">
      <c r="A287" s="178"/>
    </row>
    <row r="288" spans="1:1" x14ac:dyDescent="0.35">
      <c r="A288" s="178"/>
    </row>
    <row r="289" spans="1:1" x14ac:dyDescent="0.35">
      <c r="A289" s="178"/>
    </row>
    <row r="290" spans="1:1" x14ac:dyDescent="0.35">
      <c r="A290" s="178"/>
    </row>
    <row r="291" spans="1:1" x14ac:dyDescent="0.35">
      <c r="A291" s="178"/>
    </row>
    <row r="292" spans="1:1" x14ac:dyDescent="0.35">
      <c r="A292" s="178"/>
    </row>
    <row r="293" spans="1:1" x14ac:dyDescent="0.35">
      <c r="A293" s="178"/>
    </row>
    <row r="294" spans="1:1" x14ac:dyDescent="0.35">
      <c r="A294" s="178"/>
    </row>
    <row r="295" spans="1:1" x14ac:dyDescent="0.35">
      <c r="A295" s="178"/>
    </row>
    <row r="296" spans="1:1" x14ac:dyDescent="0.35">
      <c r="A296" s="178"/>
    </row>
    <row r="297" spans="1:1" x14ac:dyDescent="0.35">
      <c r="A297" s="178"/>
    </row>
    <row r="298" spans="1:1" x14ac:dyDescent="0.35">
      <c r="A298" s="178"/>
    </row>
    <row r="299" spans="1:1" x14ac:dyDescent="0.35">
      <c r="A299" s="178"/>
    </row>
    <row r="300" spans="1:1" x14ac:dyDescent="0.35">
      <c r="A300" s="178"/>
    </row>
    <row r="301" spans="1:1" x14ac:dyDescent="0.35">
      <c r="A301" s="178"/>
    </row>
    <row r="302" spans="1:1" x14ac:dyDescent="0.35">
      <c r="A302" s="178"/>
    </row>
    <row r="303" spans="1:1" x14ac:dyDescent="0.35">
      <c r="A303" s="178"/>
    </row>
    <row r="304" spans="1:1" x14ac:dyDescent="0.35">
      <c r="A304" s="178"/>
    </row>
    <row r="305" spans="1:1" x14ac:dyDescent="0.35">
      <c r="A305" s="178"/>
    </row>
    <row r="306" spans="1:1" x14ac:dyDescent="0.35">
      <c r="A306" s="178"/>
    </row>
    <row r="307" spans="1:1" x14ac:dyDescent="0.35">
      <c r="A307" s="178"/>
    </row>
    <row r="308" spans="1:1" x14ac:dyDescent="0.35">
      <c r="A308" s="178"/>
    </row>
    <row r="309" spans="1:1" x14ac:dyDescent="0.35">
      <c r="A309" s="178"/>
    </row>
    <row r="310" spans="1:1" x14ac:dyDescent="0.35">
      <c r="A310" s="178"/>
    </row>
    <row r="311" spans="1:1" x14ac:dyDescent="0.35">
      <c r="A311" s="178"/>
    </row>
    <row r="312" spans="1:1" x14ac:dyDescent="0.35">
      <c r="A312" s="178"/>
    </row>
    <row r="313" spans="1:1" x14ac:dyDescent="0.35">
      <c r="A313" s="178"/>
    </row>
    <row r="314" spans="1:1" x14ac:dyDescent="0.35">
      <c r="A314" s="178"/>
    </row>
    <row r="315" spans="1:1" x14ac:dyDescent="0.35">
      <c r="A315" s="178"/>
    </row>
    <row r="316" spans="1:1" x14ac:dyDescent="0.35">
      <c r="A316" s="178"/>
    </row>
    <row r="317" spans="1:1" x14ac:dyDescent="0.35">
      <c r="A317" s="178"/>
    </row>
    <row r="318" spans="1:1" x14ac:dyDescent="0.35">
      <c r="A318" s="178"/>
    </row>
    <row r="319" spans="1:1" x14ac:dyDescent="0.35">
      <c r="A319" s="178"/>
    </row>
    <row r="320" spans="1:1" x14ac:dyDescent="0.35">
      <c r="A320" s="178"/>
    </row>
    <row r="321" spans="1:1" x14ac:dyDescent="0.35">
      <c r="A321" s="178"/>
    </row>
    <row r="322" spans="1:1" x14ac:dyDescent="0.35">
      <c r="A322" s="178"/>
    </row>
    <row r="323" spans="1:1" x14ac:dyDescent="0.35">
      <c r="A323" s="178"/>
    </row>
    <row r="324" spans="1:1" x14ac:dyDescent="0.35">
      <c r="A324" s="178"/>
    </row>
    <row r="325" spans="1:1" x14ac:dyDescent="0.35">
      <c r="A325" s="178"/>
    </row>
    <row r="326" spans="1:1" x14ac:dyDescent="0.35">
      <c r="A326" s="178"/>
    </row>
    <row r="327" spans="1:1" x14ac:dyDescent="0.35">
      <c r="A327" s="178"/>
    </row>
    <row r="328" spans="1:1" x14ac:dyDescent="0.35">
      <c r="A328" s="178"/>
    </row>
    <row r="329" spans="1:1" x14ac:dyDescent="0.35">
      <c r="A329" s="178"/>
    </row>
    <row r="330" spans="1:1" x14ac:dyDescent="0.35">
      <c r="A330" s="178"/>
    </row>
    <row r="331" spans="1:1" x14ac:dyDescent="0.35">
      <c r="A331" s="178"/>
    </row>
    <row r="332" spans="1:1" x14ac:dyDescent="0.35">
      <c r="A332" s="178"/>
    </row>
    <row r="333" spans="1:1" x14ac:dyDescent="0.35">
      <c r="A333" s="178"/>
    </row>
    <row r="334" spans="1:1" x14ac:dyDescent="0.35">
      <c r="A334" s="178"/>
    </row>
    <row r="335" spans="1:1" x14ac:dyDescent="0.35">
      <c r="A335" s="178"/>
    </row>
    <row r="336" spans="1:1" x14ac:dyDescent="0.35">
      <c r="A336" s="178"/>
    </row>
    <row r="337" spans="1:1" x14ac:dyDescent="0.35">
      <c r="A337" s="178"/>
    </row>
    <row r="338" spans="1:1" x14ac:dyDescent="0.35">
      <c r="A338" s="178"/>
    </row>
    <row r="339" spans="1:1" x14ac:dyDescent="0.35">
      <c r="A339" s="178"/>
    </row>
    <row r="340" spans="1:1" x14ac:dyDescent="0.35">
      <c r="A340" s="178"/>
    </row>
    <row r="341" spans="1:1" x14ac:dyDescent="0.35">
      <c r="A341" s="178"/>
    </row>
    <row r="342" spans="1:1" x14ac:dyDescent="0.35">
      <c r="A342" s="178"/>
    </row>
    <row r="343" spans="1:1" x14ac:dyDescent="0.35">
      <c r="A343" s="178"/>
    </row>
    <row r="344" spans="1:1" x14ac:dyDescent="0.35">
      <c r="A344" s="178"/>
    </row>
    <row r="345" spans="1:1" x14ac:dyDescent="0.35">
      <c r="A345" s="178"/>
    </row>
    <row r="346" spans="1:1" x14ac:dyDescent="0.35">
      <c r="A346" s="178"/>
    </row>
    <row r="347" spans="1:1" x14ac:dyDescent="0.35">
      <c r="A347" s="178"/>
    </row>
    <row r="348" spans="1:1" x14ac:dyDescent="0.35">
      <c r="A348" s="178"/>
    </row>
    <row r="349" spans="1:1" x14ac:dyDescent="0.35">
      <c r="A349" s="178"/>
    </row>
    <row r="350" spans="1:1" x14ac:dyDescent="0.35">
      <c r="A350" s="178"/>
    </row>
    <row r="351" spans="1:1" x14ac:dyDescent="0.35">
      <c r="A351" s="178"/>
    </row>
    <row r="352" spans="1:1" x14ac:dyDescent="0.35">
      <c r="A352" s="178"/>
    </row>
    <row r="353" spans="1:1" x14ac:dyDescent="0.35">
      <c r="A353" s="178"/>
    </row>
    <row r="354" spans="1:1" x14ac:dyDescent="0.35">
      <c r="A354" s="178"/>
    </row>
    <row r="355" spans="1:1" x14ac:dyDescent="0.35">
      <c r="A355" s="178"/>
    </row>
    <row r="356" spans="1:1" x14ac:dyDescent="0.35">
      <c r="A356" s="178"/>
    </row>
    <row r="357" spans="1:1" x14ac:dyDescent="0.35">
      <c r="A357" s="178"/>
    </row>
    <row r="358" spans="1:1" x14ac:dyDescent="0.35">
      <c r="A358" s="178"/>
    </row>
    <row r="359" spans="1:1" x14ac:dyDescent="0.35">
      <c r="A359" s="178"/>
    </row>
    <row r="360" spans="1:1" x14ac:dyDescent="0.35">
      <c r="A360" s="178"/>
    </row>
    <row r="361" spans="1:1" x14ac:dyDescent="0.35">
      <c r="A361" s="178"/>
    </row>
    <row r="362" spans="1:1" x14ac:dyDescent="0.35">
      <c r="A362" s="178"/>
    </row>
    <row r="363" spans="1:1" x14ac:dyDescent="0.35">
      <c r="A363" s="178"/>
    </row>
    <row r="364" spans="1:1" x14ac:dyDescent="0.35">
      <c r="A364" s="178"/>
    </row>
    <row r="365" spans="1:1" x14ac:dyDescent="0.35">
      <c r="A365" s="178"/>
    </row>
    <row r="366" spans="1:1" x14ac:dyDescent="0.35">
      <c r="A366" s="178"/>
    </row>
    <row r="367" spans="1:1" x14ac:dyDescent="0.35">
      <c r="A367" s="178"/>
    </row>
    <row r="368" spans="1:1" x14ac:dyDescent="0.35">
      <c r="A368" s="178"/>
    </row>
    <row r="369" spans="1:1" x14ac:dyDescent="0.35">
      <c r="A369" s="178"/>
    </row>
    <row r="370" spans="1:1" x14ac:dyDescent="0.35">
      <c r="A370" s="178"/>
    </row>
    <row r="371" spans="1:1" x14ac:dyDescent="0.35">
      <c r="A371" s="178"/>
    </row>
    <row r="372" spans="1:1" x14ac:dyDescent="0.35">
      <c r="A372" s="178"/>
    </row>
    <row r="373" spans="1:1" x14ac:dyDescent="0.35">
      <c r="A373" s="178"/>
    </row>
    <row r="374" spans="1:1" x14ac:dyDescent="0.35">
      <c r="A374" s="178"/>
    </row>
    <row r="375" spans="1:1" x14ac:dyDescent="0.35">
      <c r="A375" s="178"/>
    </row>
    <row r="376" spans="1:1" x14ac:dyDescent="0.35">
      <c r="A376" s="178"/>
    </row>
    <row r="377" spans="1:1" x14ac:dyDescent="0.35">
      <c r="A377" s="178"/>
    </row>
    <row r="378" spans="1:1" x14ac:dyDescent="0.35">
      <c r="A378" s="178"/>
    </row>
    <row r="379" spans="1:1" x14ac:dyDescent="0.35">
      <c r="A379" s="178"/>
    </row>
    <row r="380" spans="1:1" x14ac:dyDescent="0.35">
      <c r="A380" s="178"/>
    </row>
    <row r="381" spans="1:1" x14ac:dyDescent="0.35">
      <c r="A381" s="178"/>
    </row>
    <row r="382" spans="1:1" x14ac:dyDescent="0.35">
      <c r="A382" s="178"/>
    </row>
    <row r="383" spans="1:1" x14ac:dyDescent="0.35">
      <c r="A383" s="178"/>
    </row>
    <row r="384" spans="1:1" x14ac:dyDescent="0.35">
      <c r="A384" s="178"/>
    </row>
    <row r="385" spans="1:1" x14ac:dyDescent="0.35">
      <c r="A385" s="178"/>
    </row>
    <row r="386" spans="1:1" x14ac:dyDescent="0.35">
      <c r="A386" s="178"/>
    </row>
    <row r="387" spans="1:1" x14ac:dyDescent="0.35">
      <c r="A387" s="178"/>
    </row>
    <row r="388" spans="1:1" x14ac:dyDescent="0.35">
      <c r="A388" s="178"/>
    </row>
    <row r="389" spans="1:1" x14ac:dyDescent="0.35">
      <c r="A389" s="178"/>
    </row>
    <row r="390" spans="1:1" x14ac:dyDescent="0.35">
      <c r="A390" s="178"/>
    </row>
    <row r="391" spans="1:1" x14ac:dyDescent="0.35">
      <c r="A391" s="178"/>
    </row>
    <row r="392" spans="1:1" x14ac:dyDescent="0.35">
      <c r="A392" s="178"/>
    </row>
    <row r="393" spans="1:1" x14ac:dyDescent="0.35">
      <c r="A393" s="178"/>
    </row>
    <row r="394" spans="1:1" x14ac:dyDescent="0.35">
      <c r="A394" s="178"/>
    </row>
    <row r="395" spans="1:1" x14ac:dyDescent="0.35">
      <c r="A395" s="178"/>
    </row>
    <row r="396" spans="1:1" x14ac:dyDescent="0.35">
      <c r="A396" s="178"/>
    </row>
    <row r="397" spans="1:1" x14ac:dyDescent="0.35">
      <c r="A397" s="178"/>
    </row>
    <row r="398" spans="1:1" x14ac:dyDescent="0.35">
      <c r="A398" s="178"/>
    </row>
    <row r="399" spans="1:1" x14ac:dyDescent="0.35">
      <c r="A399" s="178"/>
    </row>
    <row r="400" spans="1:1" x14ac:dyDescent="0.35">
      <c r="A400" s="178"/>
    </row>
    <row r="401" spans="1:1" x14ac:dyDescent="0.35">
      <c r="A401" s="178"/>
    </row>
    <row r="402" spans="1:1" x14ac:dyDescent="0.35">
      <c r="A402" s="178"/>
    </row>
    <row r="403" spans="1:1" x14ac:dyDescent="0.35">
      <c r="A403" s="178"/>
    </row>
    <row r="404" spans="1:1" x14ac:dyDescent="0.35">
      <c r="A404" s="178"/>
    </row>
    <row r="405" spans="1:1" x14ac:dyDescent="0.35">
      <c r="A405" s="178"/>
    </row>
    <row r="406" spans="1:1" x14ac:dyDescent="0.35">
      <c r="A406" s="178"/>
    </row>
    <row r="407" spans="1:1" x14ac:dyDescent="0.35">
      <c r="A407" s="178"/>
    </row>
    <row r="408" spans="1:1" x14ac:dyDescent="0.35">
      <c r="A408" s="178"/>
    </row>
    <row r="409" spans="1:1" x14ac:dyDescent="0.35">
      <c r="A409" s="178"/>
    </row>
    <row r="410" spans="1:1" x14ac:dyDescent="0.35">
      <c r="A410" s="178"/>
    </row>
    <row r="411" spans="1:1" x14ac:dyDescent="0.35">
      <c r="A411" s="178"/>
    </row>
    <row r="412" spans="1:1" x14ac:dyDescent="0.35">
      <c r="A412" s="178"/>
    </row>
    <row r="413" spans="1:1" x14ac:dyDescent="0.35">
      <c r="A413" s="178"/>
    </row>
    <row r="414" spans="1:1" x14ac:dyDescent="0.35">
      <c r="A414" s="178"/>
    </row>
    <row r="415" spans="1:1" x14ac:dyDescent="0.35">
      <c r="A415" s="178"/>
    </row>
    <row r="416" spans="1:1" x14ac:dyDescent="0.35">
      <c r="A416" s="178"/>
    </row>
    <row r="417" spans="1:1" x14ac:dyDescent="0.35">
      <c r="A417" s="178"/>
    </row>
    <row r="418" spans="1:1" x14ac:dyDescent="0.35">
      <c r="A418" s="178"/>
    </row>
    <row r="419" spans="1:1" x14ac:dyDescent="0.35">
      <c r="A419" s="178"/>
    </row>
    <row r="420" spans="1:1" x14ac:dyDescent="0.35">
      <c r="A420" s="178"/>
    </row>
    <row r="421" spans="1:1" x14ac:dyDescent="0.35">
      <c r="A421" s="178"/>
    </row>
    <row r="422" spans="1:1" x14ac:dyDescent="0.35">
      <c r="A422" s="178"/>
    </row>
    <row r="423" spans="1:1" x14ac:dyDescent="0.35">
      <c r="A423" s="178"/>
    </row>
    <row r="424" spans="1:1" x14ac:dyDescent="0.35">
      <c r="A424" s="178"/>
    </row>
    <row r="425" spans="1:1" x14ac:dyDescent="0.35">
      <c r="A425" s="178"/>
    </row>
    <row r="426" spans="1:1" x14ac:dyDescent="0.35">
      <c r="A426" s="178"/>
    </row>
    <row r="427" spans="1:1" x14ac:dyDescent="0.35">
      <c r="A427" s="178"/>
    </row>
    <row r="428" spans="1:1" x14ac:dyDescent="0.35">
      <c r="A428" s="178"/>
    </row>
    <row r="429" spans="1:1" x14ac:dyDescent="0.35">
      <c r="A429" s="178"/>
    </row>
    <row r="430" spans="1:1" x14ac:dyDescent="0.35">
      <c r="A430" s="178"/>
    </row>
    <row r="431" spans="1:1" x14ac:dyDescent="0.35">
      <c r="A431" s="178"/>
    </row>
    <row r="432" spans="1:1" x14ac:dyDescent="0.35">
      <c r="A432" s="178"/>
    </row>
    <row r="433" spans="1:1" x14ac:dyDescent="0.35">
      <c r="A433" s="178"/>
    </row>
    <row r="434" spans="1:1" x14ac:dyDescent="0.35">
      <c r="A434" s="178"/>
    </row>
    <row r="435" spans="1:1" x14ac:dyDescent="0.35">
      <c r="A435" s="178"/>
    </row>
    <row r="436" spans="1:1" x14ac:dyDescent="0.35">
      <c r="A436" s="178"/>
    </row>
    <row r="437" spans="1:1" x14ac:dyDescent="0.35">
      <c r="A437" s="178"/>
    </row>
    <row r="438" spans="1:1" x14ac:dyDescent="0.35">
      <c r="A438" s="178"/>
    </row>
    <row r="439" spans="1:1" x14ac:dyDescent="0.35">
      <c r="A439" s="178"/>
    </row>
    <row r="440" spans="1:1" x14ac:dyDescent="0.35">
      <c r="A440" s="178"/>
    </row>
    <row r="441" spans="1:1" x14ac:dyDescent="0.35">
      <c r="A441" s="178"/>
    </row>
    <row r="442" spans="1:1" x14ac:dyDescent="0.35">
      <c r="A442" s="178"/>
    </row>
    <row r="443" spans="1:1" x14ac:dyDescent="0.35">
      <c r="A443" s="178"/>
    </row>
    <row r="444" spans="1:1" x14ac:dyDescent="0.35">
      <c r="A444" s="178"/>
    </row>
    <row r="445" spans="1:1" x14ac:dyDescent="0.35">
      <c r="A445" s="178"/>
    </row>
    <row r="446" spans="1:1" x14ac:dyDescent="0.35">
      <c r="A446" s="178"/>
    </row>
    <row r="447" spans="1:1" x14ac:dyDescent="0.35">
      <c r="A447" s="178"/>
    </row>
    <row r="448" spans="1:1" x14ac:dyDescent="0.35">
      <c r="A448" s="178"/>
    </row>
    <row r="449" spans="1:1" x14ac:dyDescent="0.35">
      <c r="A449" s="178"/>
    </row>
    <row r="450" spans="1:1" x14ac:dyDescent="0.35">
      <c r="A450" s="178"/>
    </row>
    <row r="451" spans="1:1" x14ac:dyDescent="0.35">
      <c r="A451" s="178"/>
    </row>
    <row r="452" spans="1:1" x14ac:dyDescent="0.35">
      <c r="A452" s="178"/>
    </row>
    <row r="453" spans="1:1" x14ac:dyDescent="0.35">
      <c r="A453" s="178"/>
    </row>
    <row r="454" spans="1:1" x14ac:dyDescent="0.35">
      <c r="A454" s="178"/>
    </row>
    <row r="455" spans="1:1" x14ac:dyDescent="0.35">
      <c r="A455" s="178"/>
    </row>
    <row r="456" spans="1:1" x14ac:dyDescent="0.35">
      <c r="A456" s="178"/>
    </row>
    <row r="457" spans="1:1" x14ac:dyDescent="0.35">
      <c r="A457" s="178"/>
    </row>
    <row r="458" spans="1:1" x14ac:dyDescent="0.35">
      <c r="A458" s="178"/>
    </row>
    <row r="459" spans="1:1" x14ac:dyDescent="0.35">
      <c r="A459" s="178"/>
    </row>
    <row r="460" spans="1:1" x14ac:dyDescent="0.35">
      <c r="A460" s="178"/>
    </row>
    <row r="461" spans="1:1" x14ac:dyDescent="0.35">
      <c r="A461" s="178"/>
    </row>
    <row r="462" spans="1:1" x14ac:dyDescent="0.35">
      <c r="A462" s="178"/>
    </row>
    <row r="463" spans="1:1" x14ac:dyDescent="0.35">
      <c r="A463" s="178"/>
    </row>
    <row r="464" spans="1:1" x14ac:dyDescent="0.35">
      <c r="A464" s="178"/>
    </row>
    <row r="465" spans="1:1" x14ac:dyDescent="0.35">
      <c r="A465" s="178"/>
    </row>
    <row r="466" spans="1:1" x14ac:dyDescent="0.35">
      <c r="A466" s="178"/>
    </row>
    <row r="467" spans="1:1" x14ac:dyDescent="0.35">
      <c r="A467" s="178"/>
    </row>
    <row r="468" spans="1:1" x14ac:dyDescent="0.35">
      <c r="A468" s="178"/>
    </row>
    <row r="469" spans="1:1" x14ac:dyDescent="0.35">
      <c r="A469" s="178"/>
    </row>
    <row r="470" spans="1:1" x14ac:dyDescent="0.35">
      <c r="A470" s="178"/>
    </row>
    <row r="471" spans="1:1" x14ac:dyDescent="0.35">
      <c r="A471" s="178"/>
    </row>
    <row r="472" spans="1:1" x14ac:dyDescent="0.35">
      <c r="A472" s="178"/>
    </row>
    <row r="473" spans="1:1" x14ac:dyDescent="0.35">
      <c r="A473" s="178"/>
    </row>
    <row r="474" spans="1:1" x14ac:dyDescent="0.35">
      <c r="A474" s="178"/>
    </row>
    <row r="475" spans="1:1" x14ac:dyDescent="0.35">
      <c r="A475" s="178"/>
    </row>
    <row r="476" spans="1:1" x14ac:dyDescent="0.35">
      <c r="A476" s="178"/>
    </row>
    <row r="477" spans="1:1" x14ac:dyDescent="0.35">
      <c r="A477" s="178"/>
    </row>
    <row r="478" spans="1:1" x14ac:dyDescent="0.35">
      <c r="A478" s="178"/>
    </row>
    <row r="479" spans="1:1" x14ac:dyDescent="0.35">
      <c r="A479" s="178"/>
    </row>
    <row r="480" spans="1:1" x14ac:dyDescent="0.35">
      <c r="A480" s="178"/>
    </row>
    <row r="481" spans="1:1" x14ac:dyDescent="0.35">
      <c r="A481" s="178"/>
    </row>
    <row r="482" spans="1:1" x14ac:dyDescent="0.35">
      <c r="A482" s="178"/>
    </row>
    <row r="483" spans="1:1" x14ac:dyDescent="0.35">
      <c r="A483" s="178"/>
    </row>
    <row r="484" spans="1:1" x14ac:dyDescent="0.35">
      <c r="A484" s="178"/>
    </row>
    <row r="485" spans="1:1" x14ac:dyDescent="0.35">
      <c r="A485" s="178"/>
    </row>
    <row r="486" spans="1:1" x14ac:dyDescent="0.35">
      <c r="A486" s="178"/>
    </row>
    <row r="487" spans="1:1" x14ac:dyDescent="0.35">
      <c r="A487" s="178"/>
    </row>
    <row r="488" spans="1:1" x14ac:dyDescent="0.35">
      <c r="A488" s="178"/>
    </row>
    <row r="489" spans="1:1" x14ac:dyDescent="0.35">
      <c r="A489" s="178"/>
    </row>
    <row r="490" spans="1:1" x14ac:dyDescent="0.35">
      <c r="A490" s="178"/>
    </row>
    <row r="491" spans="1:1" x14ac:dyDescent="0.35">
      <c r="A491" s="178"/>
    </row>
    <row r="492" spans="1:1" x14ac:dyDescent="0.35">
      <c r="A492" s="178"/>
    </row>
    <row r="493" spans="1:1" x14ac:dyDescent="0.35">
      <c r="A493" s="178"/>
    </row>
    <row r="494" spans="1:1" x14ac:dyDescent="0.35">
      <c r="A494" s="178"/>
    </row>
    <row r="495" spans="1:1" x14ac:dyDescent="0.35">
      <c r="A495" s="178"/>
    </row>
    <row r="496" spans="1:1" x14ac:dyDescent="0.35">
      <c r="A496" s="178"/>
    </row>
    <row r="497" spans="1:1" x14ac:dyDescent="0.35">
      <c r="A497" s="178"/>
    </row>
    <row r="498" spans="1:1" x14ac:dyDescent="0.35">
      <c r="A498" s="178"/>
    </row>
    <row r="499" spans="1:1" x14ac:dyDescent="0.35">
      <c r="A499" s="178"/>
    </row>
    <row r="500" spans="1:1" x14ac:dyDescent="0.35">
      <c r="A500" s="178"/>
    </row>
    <row r="501" spans="1:1" x14ac:dyDescent="0.35">
      <c r="A501" s="178"/>
    </row>
    <row r="502" spans="1:1" x14ac:dyDescent="0.35">
      <c r="A502" s="178"/>
    </row>
    <row r="503" spans="1:1" x14ac:dyDescent="0.35">
      <c r="A503" s="178"/>
    </row>
    <row r="504" spans="1:1" x14ac:dyDescent="0.35">
      <c r="A504" s="178"/>
    </row>
    <row r="505" spans="1:1" x14ac:dyDescent="0.35">
      <c r="A505" s="178"/>
    </row>
    <row r="506" spans="1:1" x14ac:dyDescent="0.35">
      <c r="A506" s="178"/>
    </row>
    <row r="507" spans="1:1" x14ac:dyDescent="0.35">
      <c r="A507" s="178"/>
    </row>
    <row r="508" spans="1:1" x14ac:dyDescent="0.35">
      <c r="A508" s="178"/>
    </row>
    <row r="509" spans="1:1" x14ac:dyDescent="0.35">
      <c r="A509" s="178"/>
    </row>
    <row r="510" spans="1:1" x14ac:dyDescent="0.35">
      <c r="A510" s="178"/>
    </row>
    <row r="511" spans="1:1" x14ac:dyDescent="0.35">
      <c r="A511" s="178"/>
    </row>
    <row r="512" spans="1:1" x14ac:dyDescent="0.35">
      <c r="A512" s="178"/>
    </row>
    <row r="513" spans="1:1" x14ac:dyDescent="0.35">
      <c r="A513" s="178"/>
    </row>
    <row r="514" spans="1:1" x14ac:dyDescent="0.35">
      <c r="A514" s="178"/>
    </row>
    <row r="515" spans="1:1" x14ac:dyDescent="0.35">
      <c r="A515" s="178"/>
    </row>
    <row r="516" spans="1:1" x14ac:dyDescent="0.35">
      <c r="A516" s="178"/>
    </row>
    <row r="517" spans="1:1" x14ac:dyDescent="0.35">
      <c r="A517" s="178"/>
    </row>
    <row r="518" spans="1:1" x14ac:dyDescent="0.35">
      <c r="A518" s="178"/>
    </row>
    <row r="519" spans="1:1" x14ac:dyDescent="0.35">
      <c r="A519" s="178"/>
    </row>
    <row r="520" spans="1:1" x14ac:dyDescent="0.35">
      <c r="A520" s="178"/>
    </row>
    <row r="521" spans="1:1" x14ac:dyDescent="0.35">
      <c r="A521" s="178"/>
    </row>
    <row r="522" spans="1:1" x14ac:dyDescent="0.35">
      <c r="A522" s="178"/>
    </row>
    <row r="523" spans="1:1" x14ac:dyDescent="0.35">
      <c r="A523" s="178"/>
    </row>
    <row r="524" spans="1:1" x14ac:dyDescent="0.35">
      <c r="A524" s="178"/>
    </row>
    <row r="525" spans="1:1" x14ac:dyDescent="0.35">
      <c r="A525" s="178"/>
    </row>
    <row r="526" spans="1:1" x14ac:dyDescent="0.35">
      <c r="A526" s="178"/>
    </row>
    <row r="527" spans="1:1" x14ac:dyDescent="0.35">
      <c r="A527" s="178"/>
    </row>
    <row r="528" spans="1:1" x14ac:dyDescent="0.35">
      <c r="A528" s="178"/>
    </row>
    <row r="529" spans="1:1" x14ac:dyDescent="0.35">
      <c r="A529" s="178"/>
    </row>
    <row r="530" spans="1:1" x14ac:dyDescent="0.35">
      <c r="A530" s="178"/>
    </row>
    <row r="531" spans="1:1" x14ac:dyDescent="0.35">
      <c r="A531" s="178"/>
    </row>
    <row r="532" spans="1:1" x14ac:dyDescent="0.35">
      <c r="A532" s="178"/>
    </row>
    <row r="533" spans="1:1" x14ac:dyDescent="0.35">
      <c r="A533" s="178"/>
    </row>
    <row r="534" spans="1:1" x14ac:dyDescent="0.35">
      <c r="A534" s="178"/>
    </row>
    <row r="535" spans="1:1" x14ac:dyDescent="0.35">
      <c r="A535" s="178"/>
    </row>
    <row r="536" spans="1:1" x14ac:dyDescent="0.35">
      <c r="A536" s="178"/>
    </row>
    <row r="537" spans="1:1" x14ac:dyDescent="0.35">
      <c r="A537" s="178"/>
    </row>
    <row r="538" spans="1:1" x14ac:dyDescent="0.35">
      <c r="A538" s="178"/>
    </row>
    <row r="539" spans="1:1" x14ac:dyDescent="0.35">
      <c r="A539" s="178"/>
    </row>
    <row r="540" spans="1:1" x14ac:dyDescent="0.35">
      <c r="A540" s="178"/>
    </row>
    <row r="541" spans="1:1" x14ac:dyDescent="0.35">
      <c r="A541" s="178"/>
    </row>
    <row r="542" spans="1:1" x14ac:dyDescent="0.35">
      <c r="A542" s="178"/>
    </row>
    <row r="543" spans="1:1" x14ac:dyDescent="0.35">
      <c r="A543" s="178"/>
    </row>
    <row r="544" spans="1:1" x14ac:dyDescent="0.35">
      <c r="A544" s="178"/>
    </row>
    <row r="545" spans="1:1" x14ac:dyDescent="0.35">
      <c r="A545" s="178"/>
    </row>
    <row r="546" spans="1:1" x14ac:dyDescent="0.35">
      <c r="A546" s="178"/>
    </row>
    <row r="547" spans="1:1" x14ac:dyDescent="0.35">
      <c r="A547" s="178"/>
    </row>
    <row r="548" spans="1:1" x14ac:dyDescent="0.35">
      <c r="A548" s="178"/>
    </row>
    <row r="549" spans="1:1" x14ac:dyDescent="0.35">
      <c r="A549" s="178"/>
    </row>
    <row r="550" spans="1:1" x14ac:dyDescent="0.35">
      <c r="A550" s="178"/>
    </row>
    <row r="551" spans="1:1" x14ac:dyDescent="0.35">
      <c r="A551" s="178"/>
    </row>
    <row r="552" spans="1:1" x14ac:dyDescent="0.35">
      <c r="A552" s="178"/>
    </row>
    <row r="553" spans="1:1" x14ac:dyDescent="0.35">
      <c r="A553" s="178"/>
    </row>
    <row r="554" spans="1:1" x14ac:dyDescent="0.35">
      <c r="A554" s="178"/>
    </row>
    <row r="555" spans="1:1" x14ac:dyDescent="0.35">
      <c r="A555" s="178"/>
    </row>
    <row r="556" spans="1:1" x14ac:dyDescent="0.35">
      <c r="A556" s="178"/>
    </row>
    <row r="557" spans="1:1" x14ac:dyDescent="0.35">
      <c r="A557" s="178"/>
    </row>
    <row r="558" spans="1:1" x14ac:dyDescent="0.35">
      <c r="A558" s="178"/>
    </row>
    <row r="559" spans="1:1" x14ac:dyDescent="0.35">
      <c r="A559" s="178"/>
    </row>
    <row r="560" spans="1:1" x14ac:dyDescent="0.35">
      <c r="A560" s="178"/>
    </row>
    <row r="561" spans="1:1" x14ac:dyDescent="0.35">
      <c r="A561" s="178"/>
    </row>
    <row r="562" spans="1:1" x14ac:dyDescent="0.35">
      <c r="A562" s="178"/>
    </row>
    <row r="563" spans="1:1" x14ac:dyDescent="0.35">
      <c r="A563" s="178"/>
    </row>
    <row r="564" spans="1:1" x14ac:dyDescent="0.35">
      <c r="A564" s="178"/>
    </row>
    <row r="565" spans="1:1" x14ac:dyDescent="0.35">
      <c r="A565" s="178"/>
    </row>
    <row r="566" spans="1:1" x14ac:dyDescent="0.35">
      <c r="A566" s="178"/>
    </row>
    <row r="567" spans="1:1" x14ac:dyDescent="0.35">
      <c r="A567" s="178"/>
    </row>
    <row r="568" spans="1:1" x14ac:dyDescent="0.35">
      <c r="A568" s="178"/>
    </row>
    <row r="569" spans="1:1" x14ac:dyDescent="0.35">
      <c r="A569" s="178"/>
    </row>
    <row r="570" spans="1:1" x14ac:dyDescent="0.35">
      <c r="A570" s="178"/>
    </row>
    <row r="571" spans="1:1" x14ac:dyDescent="0.35">
      <c r="A571" s="178"/>
    </row>
    <row r="572" spans="1:1" x14ac:dyDescent="0.35">
      <c r="A572" s="178"/>
    </row>
    <row r="573" spans="1:1" x14ac:dyDescent="0.35">
      <c r="A573" s="178"/>
    </row>
    <row r="574" spans="1:1" x14ac:dyDescent="0.35">
      <c r="A574" s="178"/>
    </row>
    <row r="575" spans="1:1" x14ac:dyDescent="0.35">
      <c r="A575" s="178"/>
    </row>
    <row r="576" spans="1:1" x14ac:dyDescent="0.35">
      <c r="A576" s="178"/>
    </row>
    <row r="577" spans="1:1" x14ac:dyDescent="0.35">
      <c r="A577" s="178"/>
    </row>
    <row r="578" spans="1:1" x14ac:dyDescent="0.35">
      <c r="A578" s="178"/>
    </row>
    <row r="579" spans="1:1" x14ac:dyDescent="0.35">
      <c r="A579" s="178"/>
    </row>
    <row r="580" spans="1:1" x14ac:dyDescent="0.35">
      <c r="A580" s="178"/>
    </row>
    <row r="581" spans="1:1" x14ac:dyDescent="0.35">
      <c r="A581" s="178"/>
    </row>
    <row r="582" spans="1:1" x14ac:dyDescent="0.35">
      <c r="A582" s="178"/>
    </row>
    <row r="583" spans="1:1" x14ac:dyDescent="0.35">
      <c r="A583" s="178"/>
    </row>
    <row r="584" spans="1:1" x14ac:dyDescent="0.35">
      <c r="A584" s="178"/>
    </row>
    <row r="585" spans="1:1" x14ac:dyDescent="0.35">
      <c r="A585" s="178"/>
    </row>
    <row r="586" spans="1:1" x14ac:dyDescent="0.35">
      <c r="A586" s="178"/>
    </row>
    <row r="587" spans="1:1" x14ac:dyDescent="0.35">
      <c r="A587" s="178"/>
    </row>
    <row r="588" spans="1:1" x14ac:dyDescent="0.35">
      <c r="A588" s="178"/>
    </row>
    <row r="589" spans="1:1" x14ac:dyDescent="0.35">
      <c r="A589" s="178"/>
    </row>
    <row r="590" spans="1:1" x14ac:dyDescent="0.35">
      <c r="A590" s="178"/>
    </row>
    <row r="591" spans="1:1" x14ac:dyDescent="0.35">
      <c r="A591" s="178"/>
    </row>
    <row r="592" spans="1:1" x14ac:dyDescent="0.35">
      <c r="A592" s="178"/>
    </row>
    <row r="593" spans="1:1" x14ac:dyDescent="0.35">
      <c r="A593" s="178"/>
    </row>
    <row r="594" spans="1:1" x14ac:dyDescent="0.35">
      <c r="A594" s="178"/>
    </row>
    <row r="595" spans="1:1" x14ac:dyDescent="0.35">
      <c r="A595" s="178"/>
    </row>
    <row r="596" spans="1:1" x14ac:dyDescent="0.35">
      <c r="A596" s="178"/>
    </row>
    <row r="597" spans="1:1" x14ac:dyDescent="0.35">
      <c r="A597" s="178"/>
    </row>
    <row r="598" spans="1:1" x14ac:dyDescent="0.35">
      <c r="A598" s="178"/>
    </row>
    <row r="599" spans="1:1" x14ac:dyDescent="0.35">
      <c r="A599" s="178"/>
    </row>
    <row r="600" spans="1:1" x14ac:dyDescent="0.35">
      <c r="A600" s="178"/>
    </row>
    <row r="601" spans="1:1" x14ac:dyDescent="0.35">
      <c r="A601" s="178"/>
    </row>
    <row r="602" spans="1:1" x14ac:dyDescent="0.35">
      <c r="A602" s="178"/>
    </row>
    <row r="603" spans="1:1" x14ac:dyDescent="0.35">
      <c r="A603" s="178"/>
    </row>
    <row r="604" spans="1:1" x14ac:dyDescent="0.35">
      <c r="A604" s="178"/>
    </row>
    <row r="605" spans="1:1" x14ac:dyDescent="0.35">
      <c r="A605" s="178"/>
    </row>
    <row r="606" spans="1:1" x14ac:dyDescent="0.35">
      <c r="A606" s="178"/>
    </row>
    <row r="607" spans="1:1" x14ac:dyDescent="0.35">
      <c r="A607" s="178"/>
    </row>
    <row r="608" spans="1:1" x14ac:dyDescent="0.35">
      <c r="A608" s="178"/>
    </row>
    <row r="609" spans="1:1" x14ac:dyDescent="0.35">
      <c r="A609" s="178"/>
    </row>
    <row r="610" spans="1:1" x14ac:dyDescent="0.35">
      <c r="A610" s="178"/>
    </row>
    <row r="611" spans="1:1" x14ac:dyDescent="0.35">
      <c r="A611" s="178"/>
    </row>
    <row r="612" spans="1:1" x14ac:dyDescent="0.35">
      <c r="A612" s="178"/>
    </row>
    <row r="613" spans="1:1" x14ac:dyDescent="0.35">
      <c r="A613" s="178"/>
    </row>
    <row r="614" spans="1:1" x14ac:dyDescent="0.35">
      <c r="A614" s="178"/>
    </row>
    <row r="615" spans="1:1" x14ac:dyDescent="0.35">
      <c r="A615" s="178"/>
    </row>
    <row r="616" spans="1:1" x14ac:dyDescent="0.35">
      <c r="A616" s="178"/>
    </row>
    <row r="617" spans="1:1" x14ac:dyDescent="0.35">
      <c r="A617" s="178"/>
    </row>
    <row r="618" spans="1:1" x14ac:dyDescent="0.35">
      <c r="A618" s="178"/>
    </row>
    <row r="619" spans="1:1" x14ac:dyDescent="0.35">
      <c r="A619" s="178"/>
    </row>
    <row r="620" spans="1:1" x14ac:dyDescent="0.35">
      <c r="A620" s="178"/>
    </row>
    <row r="621" spans="1:1" x14ac:dyDescent="0.35">
      <c r="A621" s="178"/>
    </row>
    <row r="622" spans="1:1" x14ac:dyDescent="0.35">
      <c r="A622" s="178"/>
    </row>
    <row r="623" spans="1:1" x14ac:dyDescent="0.35">
      <c r="A623" s="178"/>
    </row>
    <row r="624" spans="1:1" x14ac:dyDescent="0.35">
      <c r="A624" s="178"/>
    </row>
    <row r="625" spans="1:1" x14ac:dyDescent="0.35">
      <c r="A625" s="178"/>
    </row>
    <row r="626" spans="1:1" x14ac:dyDescent="0.35">
      <c r="A626" s="178"/>
    </row>
    <row r="627" spans="1:1" x14ac:dyDescent="0.35">
      <c r="A627" s="178"/>
    </row>
    <row r="628" spans="1:1" x14ac:dyDescent="0.35">
      <c r="A628" s="178"/>
    </row>
    <row r="629" spans="1:1" x14ac:dyDescent="0.35">
      <c r="A629" s="178"/>
    </row>
    <row r="630" spans="1:1" x14ac:dyDescent="0.35">
      <c r="A630" s="178"/>
    </row>
    <row r="631" spans="1:1" x14ac:dyDescent="0.35">
      <c r="A631" s="178"/>
    </row>
    <row r="632" spans="1:1" x14ac:dyDescent="0.35">
      <c r="A632" s="178"/>
    </row>
    <row r="633" spans="1:1" x14ac:dyDescent="0.35">
      <c r="A633" s="178"/>
    </row>
    <row r="634" spans="1:1" x14ac:dyDescent="0.35">
      <c r="A634" s="178"/>
    </row>
    <row r="635" spans="1:1" x14ac:dyDescent="0.35">
      <c r="A635" s="178"/>
    </row>
    <row r="636" spans="1:1" x14ac:dyDescent="0.35">
      <c r="A636" s="178"/>
    </row>
    <row r="637" spans="1:1" x14ac:dyDescent="0.35">
      <c r="A637" s="178"/>
    </row>
    <row r="638" spans="1:1" x14ac:dyDescent="0.35">
      <c r="A638" s="178"/>
    </row>
    <row r="639" spans="1:1" x14ac:dyDescent="0.35">
      <c r="A639" s="178"/>
    </row>
    <row r="640" spans="1:1" x14ac:dyDescent="0.35">
      <c r="A640" s="178"/>
    </row>
    <row r="641" spans="1:1" x14ac:dyDescent="0.35">
      <c r="A641" s="178"/>
    </row>
    <row r="642" spans="1:1" x14ac:dyDescent="0.35">
      <c r="A642" s="178"/>
    </row>
    <row r="643" spans="1:1" x14ac:dyDescent="0.35">
      <c r="A643" s="178"/>
    </row>
    <row r="644" spans="1:1" x14ac:dyDescent="0.35">
      <c r="A644" s="178"/>
    </row>
    <row r="645" spans="1:1" x14ac:dyDescent="0.35">
      <c r="A645" s="178"/>
    </row>
    <row r="646" spans="1:1" x14ac:dyDescent="0.35">
      <c r="A646" s="178"/>
    </row>
    <row r="647" spans="1:1" x14ac:dyDescent="0.35">
      <c r="A647" s="178"/>
    </row>
    <row r="648" spans="1:1" x14ac:dyDescent="0.35">
      <c r="A648" s="178"/>
    </row>
    <row r="649" spans="1:1" x14ac:dyDescent="0.35">
      <c r="A649" s="178"/>
    </row>
    <row r="650" spans="1:1" x14ac:dyDescent="0.35">
      <c r="A650" s="178"/>
    </row>
    <row r="651" spans="1:1" x14ac:dyDescent="0.35">
      <c r="A651" s="178"/>
    </row>
    <row r="652" spans="1:1" x14ac:dyDescent="0.35">
      <c r="A652" s="178"/>
    </row>
    <row r="653" spans="1:1" x14ac:dyDescent="0.35">
      <c r="A653" s="178"/>
    </row>
    <row r="654" spans="1:1" x14ac:dyDescent="0.35">
      <c r="A654" s="178"/>
    </row>
    <row r="655" spans="1:1" x14ac:dyDescent="0.35">
      <c r="A655" s="178"/>
    </row>
    <row r="656" spans="1:1" x14ac:dyDescent="0.35">
      <c r="A656" s="178"/>
    </row>
    <row r="657" spans="1:1" x14ac:dyDescent="0.35">
      <c r="A657" s="178"/>
    </row>
    <row r="658" spans="1:1" x14ac:dyDescent="0.35">
      <c r="A658" s="178"/>
    </row>
    <row r="659" spans="1:1" x14ac:dyDescent="0.35">
      <c r="A659" s="178"/>
    </row>
    <row r="660" spans="1:1" x14ac:dyDescent="0.35">
      <c r="A660" s="178"/>
    </row>
    <row r="661" spans="1:1" x14ac:dyDescent="0.35">
      <c r="A661" s="178"/>
    </row>
    <row r="662" spans="1:1" x14ac:dyDescent="0.35">
      <c r="A662" s="178"/>
    </row>
    <row r="663" spans="1:1" x14ac:dyDescent="0.35">
      <c r="A663" s="178"/>
    </row>
    <row r="664" spans="1:1" x14ac:dyDescent="0.35">
      <c r="A664" s="178"/>
    </row>
    <row r="665" spans="1:1" x14ac:dyDescent="0.35">
      <c r="A665" s="178"/>
    </row>
    <row r="666" spans="1:1" x14ac:dyDescent="0.35">
      <c r="A666" s="178"/>
    </row>
    <row r="667" spans="1:1" x14ac:dyDescent="0.35">
      <c r="A667" s="178"/>
    </row>
    <row r="668" spans="1:1" x14ac:dyDescent="0.35">
      <c r="A668" s="178"/>
    </row>
    <row r="669" spans="1:1" x14ac:dyDescent="0.35">
      <c r="A669" s="178"/>
    </row>
    <row r="670" spans="1:1" x14ac:dyDescent="0.35">
      <c r="A670" s="178"/>
    </row>
    <row r="671" spans="1:1" x14ac:dyDescent="0.35">
      <c r="A671" s="178"/>
    </row>
    <row r="672" spans="1:1" x14ac:dyDescent="0.35">
      <c r="A672" s="178"/>
    </row>
    <row r="673" spans="1:1" x14ac:dyDescent="0.35">
      <c r="A673" s="178"/>
    </row>
    <row r="674" spans="1:1" x14ac:dyDescent="0.35">
      <c r="A674" s="178"/>
    </row>
    <row r="675" spans="1:1" x14ac:dyDescent="0.35">
      <c r="A675" s="178"/>
    </row>
    <row r="676" spans="1:1" x14ac:dyDescent="0.35">
      <c r="A676" s="178"/>
    </row>
    <row r="677" spans="1:1" x14ac:dyDescent="0.35">
      <c r="A677" s="178"/>
    </row>
    <row r="678" spans="1:1" x14ac:dyDescent="0.35">
      <c r="A678" s="178"/>
    </row>
    <row r="679" spans="1:1" x14ac:dyDescent="0.35">
      <c r="A679" s="178"/>
    </row>
    <row r="680" spans="1:1" x14ac:dyDescent="0.35">
      <c r="A680" s="178"/>
    </row>
    <row r="681" spans="1:1" x14ac:dyDescent="0.35">
      <c r="A681" s="178"/>
    </row>
    <row r="682" spans="1:1" x14ac:dyDescent="0.35">
      <c r="A682" s="178"/>
    </row>
    <row r="683" spans="1:1" x14ac:dyDescent="0.35">
      <c r="A683" s="178"/>
    </row>
    <row r="684" spans="1:1" x14ac:dyDescent="0.35">
      <c r="A684" s="178"/>
    </row>
    <row r="685" spans="1:1" x14ac:dyDescent="0.35">
      <c r="A685" s="178"/>
    </row>
    <row r="686" spans="1:1" x14ac:dyDescent="0.35">
      <c r="A686" s="178"/>
    </row>
    <row r="687" spans="1:1" x14ac:dyDescent="0.35">
      <c r="A687" s="178"/>
    </row>
    <row r="688" spans="1:1" x14ac:dyDescent="0.35">
      <c r="A688" s="178"/>
    </row>
    <row r="689" spans="1:1" x14ac:dyDescent="0.35">
      <c r="A689" s="178"/>
    </row>
    <row r="690" spans="1:1" x14ac:dyDescent="0.35">
      <c r="A690" s="178"/>
    </row>
    <row r="691" spans="1:1" x14ac:dyDescent="0.35">
      <c r="A691" s="178"/>
    </row>
    <row r="692" spans="1:1" x14ac:dyDescent="0.35">
      <c r="A692" s="178"/>
    </row>
    <row r="693" spans="1:1" x14ac:dyDescent="0.35">
      <c r="A693" s="178"/>
    </row>
    <row r="694" spans="1:1" x14ac:dyDescent="0.35">
      <c r="A694" s="178"/>
    </row>
    <row r="695" spans="1:1" x14ac:dyDescent="0.35">
      <c r="A695" s="178"/>
    </row>
    <row r="696" spans="1:1" x14ac:dyDescent="0.35">
      <c r="A696" s="178"/>
    </row>
    <row r="697" spans="1:1" x14ac:dyDescent="0.35">
      <c r="A697" s="178"/>
    </row>
    <row r="698" spans="1:1" x14ac:dyDescent="0.35">
      <c r="A698" s="178"/>
    </row>
    <row r="699" spans="1:1" x14ac:dyDescent="0.35">
      <c r="A699" s="178"/>
    </row>
    <row r="700" spans="1:1" x14ac:dyDescent="0.35">
      <c r="A700" s="178"/>
    </row>
    <row r="701" spans="1:1" x14ac:dyDescent="0.35">
      <c r="A701" s="178"/>
    </row>
    <row r="702" spans="1:1" x14ac:dyDescent="0.35">
      <c r="A702" s="178"/>
    </row>
    <row r="703" spans="1:1" x14ac:dyDescent="0.35">
      <c r="A703" s="178"/>
    </row>
    <row r="704" spans="1:1" x14ac:dyDescent="0.35">
      <c r="A704" s="178"/>
    </row>
    <row r="705" spans="1:1" x14ac:dyDescent="0.35">
      <c r="A705" s="178"/>
    </row>
    <row r="706" spans="1:1" x14ac:dyDescent="0.35">
      <c r="A706" s="178"/>
    </row>
    <row r="707" spans="1:1" x14ac:dyDescent="0.35">
      <c r="A707" s="178"/>
    </row>
    <row r="708" spans="1:1" x14ac:dyDescent="0.35">
      <c r="A708" s="178"/>
    </row>
    <row r="709" spans="1:1" x14ac:dyDescent="0.35">
      <c r="A709" s="178"/>
    </row>
    <row r="710" spans="1:1" x14ac:dyDescent="0.35">
      <c r="A710" s="178"/>
    </row>
    <row r="711" spans="1:1" x14ac:dyDescent="0.35">
      <c r="A711" s="178"/>
    </row>
    <row r="712" spans="1:1" x14ac:dyDescent="0.35">
      <c r="A712" s="178"/>
    </row>
    <row r="713" spans="1:1" x14ac:dyDescent="0.35">
      <c r="A713" s="178"/>
    </row>
    <row r="714" spans="1:1" x14ac:dyDescent="0.35">
      <c r="A714" s="178"/>
    </row>
    <row r="715" spans="1:1" x14ac:dyDescent="0.35">
      <c r="A715" s="178"/>
    </row>
    <row r="716" spans="1:1" x14ac:dyDescent="0.35">
      <c r="A716" s="178"/>
    </row>
    <row r="717" spans="1:1" x14ac:dyDescent="0.35">
      <c r="A717" s="178"/>
    </row>
    <row r="718" spans="1:1" x14ac:dyDescent="0.35">
      <c r="A718" s="178"/>
    </row>
    <row r="719" spans="1:1" x14ac:dyDescent="0.35">
      <c r="A719" s="178"/>
    </row>
    <row r="720" spans="1:1" x14ac:dyDescent="0.35">
      <c r="A720" s="178"/>
    </row>
    <row r="721" spans="1:1" x14ac:dyDescent="0.35">
      <c r="A721" s="178"/>
    </row>
    <row r="722" spans="1:1" x14ac:dyDescent="0.35">
      <c r="A722" s="178"/>
    </row>
    <row r="723" spans="1:1" x14ac:dyDescent="0.35">
      <c r="A723" s="178"/>
    </row>
    <row r="724" spans="1:1" x14ac:dyDescent="0.35">
      <c r="A724" s="178"/>
    </row>
    <row r="725" spans="1:1" x14ac:dyDescent="0.35">
      <c r="A725" s="178"/>
    </row>
    <row r="726" spans="1:1" x14ac:dyDescent="0.35">
      <c r="A726" s="178"/>
    </row>
    <row r="727" spans="1:1" x14ac:dyDescent="0.35">
      <c r="A727" s="178"/>
    </row>
    <row r="728" spans="1:1" x14ac:dyDescent="0.35">
      <c r="A728" s="178"/>
    </row>
    <row r="729" spans="1:1" x14ac:dyDescent="0.35">
      <c r="A729" s="178"/>
    </row>
    <row r="730" spans="1:1" x14ac:dyDescent="0.35">
      <c r="A730" s="178"/>
    </row>
    <row r="731" spans="1:1" x14ac:dyDescent="0.35">
      <c r="A731" s="178"/>
    </row>
    <row r="732" spans="1:1" x14ac:dyDescent="0.35">
      <c r="A732" s="178"/>
    </row>
    <row r="733" spans="1:1" x14ac:dyDescent="0.35">
      <c r="A733" s="178"/>
    </row>
    <row r="734" spans="1:1" x14ac:dyDescent="0.35">
      <c r="A734" s="178"/>
    </row>
    <row r="735" spans="1:1" x14ac:dyDescent="0.35">
      <c r="A735" s="178"/>
    </row>
    <row r="736" spans="1:1" x14ac:dyDescent="0.35">
      <c r="A736" s="178"/>
    </row>
    <row r="737" spans="1:1" x14ac:dyDescent="0.35">
      <c r="A737" s="178"/>
    </row>
    <row r="738" spans="1:1" x14ac:dyDescent="0.35">
      <c r="A738" s="178"/>
    </row>
    <row r="739" spans="1:1" x14ac:dyDescent="0.35">
      <c r="A739" s="178"/>
    </row>
    <row r="740" spans="1:1" x14ac:dyDescent="0.35">
      <c r="A740" s="178"/>
    </row>
    <row r="741" spans="1:1" x14ac:dyDescent="0.35">
      <c r="A741" s="178"/>
    </row>
    <row r="742" spans="1:1" x14ac:dyDescent="0.35">
      <c r="A742" s="178"/>
    </row>
    <row r="743" spans="1:1" x14ac:dyDescent="0.35">
      <c r="A743" s="178"/>
    </row>
    <row r="744" spans="1:1" x14ac:dyDescent="0.35">
      <c r="A744" s="178"/>
    </row>
    <row r="745" spans="1:1" x14ac:dyDescent="0.35">
      <c r="A745" s="178"/>
    </row>
    <row r="746" spans="1:1" x14ac:dyDescent="0.35">
      <c r="A746" s="178"/>
    </row>
    <row r="747" spans="1:1" x14ac:dyDescent="0.35">
      <c r="A747" s="178"/>
    </row>
    <row r="748" spans="1:1" x14ac:dyDescent="0.35">
      <c r="A748" s="178"/>
    </row>
    <row r="749" spans="1:1" x14ac:dyDescent="0.35">
      <c r="A749" s="178"/>
    </row>
    <row r="750" spans="1:1" x14ac:dyDescent="0.35">
      <c r="A750" s="178"/>
    </row>
    <row r="751" spans="1:1" x14ac:dyDescent="0.35">
      <c r="A751" s="178"/>
    </row>
    <row r="752" spans="1:1" x14ac:dyDescent="0.35">
      <c r="A752" s="178"/>
    </row>
    <row r="753" spans="1:1" x14ac:dyDescent="0.35">
      <c r="A753" s="178"/>
    </row>
    <row r="754" spans="1:1" x14ac:dyDescent="0.35">
      <c r="A754" s="178"/>
    </row>
    <row r="755" spans="1:1" x14ac:dyDescent="0.35">
      <c r="A755" s="178"/>
    </row>
    <row r="756" spans="1:1" x14ac:dyDescent="0.35">
      <c r="A756" s="178"/>
    </row>
    <row r="757" spans="1:1" x14ac:dyDescent="0.35">
      <c r="A757" s="178"/>
    </row>
    <row r="758" spans="1:1" x14ac:dyDescent="0.35">
      <c r="A758" s="178"/>
    </row>
    <row r="759" spans="1:1" x14ac:dyDescent="0.35">
      <c r="A759" s="178"/>
    </row>
    <row r="760" spans="1:1" x14ac:dyDescent="0.35">
      <c r="A760" s="178"/>
    </row>
    <row r="761" spans="1:1" x14ac:dyDescent="0.35">
      <c r="A761" s="178"/>
    </row>
    <row r="762" spans="1:1" x14ac:dyDescent="0.35">
      <c r="A762" s="178"/>
    </row>
    <row r="763" spans="1:1" x14ac:dyDescent="0.35">
      <c r="A763" s="178"/>
    </row>
    <row r="764" spans="1:1" x14ac:dyDescent="0.35">
      <c r="A764" s="178"/>
    </row>
    <row r="765" spans="1:1" x14ac:dyDescent="0.35">
      <c r="A765" s="178"/>
    </row>
    <row r="766" spans="1:1" x14ac:dyDescent="0.35">
      <c r="A766" s="178"/>
    </row>
    <row r="767" spans="1:1" x14ac:dyDescent="0.35">
      <c r="A767" s="178"/>
    </row>
    <row r="768" spans="1:1" x14ac:dyDescent="0.35">
      <c r="A768" s="178"/>
    </row>
    <row r="769" spans="1:1" x14ac:dyDescent="0.35">
      <c r="A769" s="178"/>
    </row>
    <row r="770" spans="1:1" x14ac:dyDescent="0.35">
      <c r="A770" s="178"/>
    </row>
    <row r="771" spans="1:1" x14ac:dyDescent="0.35">
      <c r="A771" s="178"/>
    </row>
    <row r="772" spans="1:1" x14ac:dyDescent="0.35">
      <c r="A772" s="178"/>
    </row>
    <row r="773" spans="1:1" x14ac:dyDescent="0.35">
      <c r="A773" s="178"/>
    </row>
    <row r="774" spans="1:1" x14ac:dyDescent="0.35">
      <c r="A774" s="178"/>
    </row>
    <row r="775" spans="1:1" x14ac:dyDescent="0.35">
      <c r="A775" s="178"/>
    </row>
    <row r="776" spans="1:1" x14ac:dyDescent="0.35">
      <c r="A776" s="178"/>
    </row>
    <row r="777" spans="1:1" x14ac:dyDescent="0.35">
      <c r="A777" s="178"/>
    </row>
    <row r="778" spans="1:1" x14ac:dyDescent="0.35">
      <c r="A778" s="178"/>
    </row>
    <row r="779" spans="1:1" x14ac:dyDescent="0.35">
      <c r="A779" s="178"/>
    </row>
    <row r="780" spans="1:1" x14ac:dyDescent="0.35">
      <c r="A780" s="178"/>
    </row>
    <row r="781" spans="1:1" x14ac:dyDescent="0.35">
      <c r="A781" s="178"/>
    </row>
    <row r="782" spans="1:1" x14ac:dyDescent="0.35">
      <c r="A782" s="178"/>
    </row>
    <row r="783" spans="1:1" x14ac:dyDescent="0.35">
      <c r="A783" s="178"/>
    </row>
    <row r="784" spans="1:1" x14ac:dyDescent="0.35">
      <c r="A784" s="178"/>
    </row>
    <row r="785" spans="1:1" x14ac:dyDescent="0.35">
      <c r="A785" s="178"/>
    </row>
    <row r="786" spans="1:1" x14ac:dyDescent="0.35">
      <c r="A786" s="178"/>
    </row>
    <row r="787" spans="1:1" x14ac:dyDescent="0.35">
      <c r="A787" s="178"/>
    </row>
    <row r="788" spans="1:1" x14ac:dyDescent="0.35">
      <c r="A788" s="178"/>
    </row>
    <row r="789" spans="1:1" x14ac:dyDescent="0.35">
      <c r="A789" s="178"/>
    </row>
    <row r="790" spans="1:1" x14ac:dyDescent="0.35">
      <c r="A790" s="178"/>
    </row>
    <row r="791" spans="1:1" x14ac:dyDescent="0.35">
      <c r="A791" s="178"/>
    </row>
    <row r="792" spans="1:1" x14ac:dyDescent="0.35">
      <c r="A792" s="178"/>
    </row>
    <row r="793" spans="1:1" x14ac:dyDescent="0.35">
      <c r="A793" s="178"/>
    </row>
    <row r="794" spans="1:1" x14ac:dyDescent="0.35">
      <c r="A794" s="178"/>
    </row>
    <row r="795" spans="1:1" x14ac:dyDescent="0.35">
      <c r="A795" s="178"/>
    </row>
    <row r="796" spans="1:1" x14ac:dyDescent="0.35">
      <c r="A796" s="178"/>
    </row>
    <row r="797" spans="1:1" x14ac:dyDescent="0.35">
      <c r="A797" s="178"/>
    </row>
    <row r="798" spans="1:1" x14ac:dyDescent="0.35">
      <c r="A798" s="178"/>
    </row>
    <row r="799" spans="1:1" x14ac:dyDescent="0.35">
      <c r="A799" s="178"/>
    </row>
    <row r="800" spans="1:1" x14ac:dyDescent="0.35">
      <c r="A800" s="178"/>
    </row>
    <row r="801" spans="1:1" x14ac:dyDescent="0.35">
      <c r="A801" s="178"/>
    </row>
    <row r="802" spans="1:1" x14ac:dyDescent="0.35">
      <c r="A802" s="178"/>
    </row>
    <row r="803" spans="1:1" x14ac:dyDescent="0.35">
      <c r="A803" s="178"/>
    </row>
    <row r="804" spans="1:1" x14ac:dyDescent="0.35">
      <c r="A804" s="178"/>
    </row>
    <row r="805" spans="1:1" x14ac:dyDescent="0.35">
      <c r="A805" s="178"/>
    </row>
    <row r="806" spans="1:1" x14ac:dyDescent="0.35">
      <c r="A806" s="178"/>
    </row>
    <row r="807" spans="1:1" x14ac:dyDescent="0.35">
      <c r="A807" s="178"/>
    </row>
    <row r="808" spans="1:1" x14ac:dyDescent="0.35">
      <c r="A808" s="178"/>
    </row>
    <row r="809" spans="1:1" x14ac:dyDescent="0.35">
      <c r="A809" s="178"/>
    </row>
    <row r="810" spans="1:1" x14ac:dyDescent="0.35">
      <c r="A810" s="178"/>
    </row>
    <row r="811" spans="1:1" x14ac:dyDescent="0.35">
      <c r="A811" s="178"/>
    </row>
    <row r="812" spans="1:1" x14ac:dyDescent="0.35">
      <c r="A812" s="178"/>
    </row>
    <row r="813" spans="1:1" x14ac:dyDescent="0.35">
      <c r="A813" s="178"/>
    </row>
    <row r="814" spans="1:1" x14ac:dyDescent="0.35">
      <c r="A814" s="178"/>
    </row>
    <row r="815" spans="1:1" x14ac:dyDescent="0.35">
      <c r="A815" s="178"/>
    </row>
    <row r="816" spans="1:1" x14ac:dyDescent="0.35">
      <c r="A816" s="178"/>
    </row>
    <row r="817" spans="1:1" x14ac:dyDescent="0.35">
      <c r="A817" s="178"/>
    </row>
    <row r="818" spans="1:1" x14ac:dyDescent="0.35">
      <c r="A818" s="178"/>
    </row>
    <row r="819" spans="1:1" x14ac:dyDescent="0.35">
      <c r="A819" s="178"/>
    </row>
    <row r="820" spans="1:1" x14ac:dyDescent="0.35">
      <c r="A820" s="178"/>
    </row>
    <row r="821" spans="1:1" x14ac:dyDescent="0.35">
      <c r="A821" s="178"/>
    </row>
    <row r="822" spans="1:1" x14ac:dyDescent="0.35">
      <c r="A822" s="178"/>
    </row>
    <row r="823" spans="1:1" x14ac:dyDescent="0.35">
      <c r="A823" s="178"/>
    </row>
    <row r="824" spans="1:1" x14ac:dyDescent="0.35">
      <c r="A824" s="178"/>
    </row>
    <row r="825" spans="1:1" x14ac:dyDescent="0.35">
      <c r="A825" s="178"/>
    </row>
    <row r="826" spans="1:1" x14ac:dyDescent="0.35">
      <c r="A826" s="178"/>
    </row>
    <row r="827" spans="1:1" x14ac:dyDescent="0.35">
      <c r="A827" s="178"/>
    </row>
    <row r="828" spans="1:1" x14ac:dyDescent="0.35">
      <c r="A828" s="178"/>
    </row>
    <row r="829" spans="1:1" x14ac:dyDescent="0.35">
      <c r="A829" s="178"/>
    </row>
    <row r="830" spans="1:1" x14ac:dyDescent="0.35">
      <c r="A830" s="178"/>
    </row>
    <row r="831" spans="1:1" x14ac:dyDescent="0.35">
      <c r="A831" s="178"/>
    </row>
    <row r="832" spans="1:1" x14ac:dyDescent="0.35">
      <c r="A832" s="178"/>
    </row>
    <row r="833" spans="1:1" x14ac:dyDescent="0.35">
      <c r="A833" s="178"/>
    </row>
    <row r="834" spans="1:1" x14ac:dyDescent="0.35">
      <c r="A834" s="178"/>
    </row>
    <row r="835" spans="1:1" x14ac:dyDescent="0.35">
      <c r="A835" s="178"/>
    </row>
    <row r="836" spans="1:1" x14ac:dyDescent="0.35">
      <c r="A836" s="178"/>
    </row>
    <row r="837" spans="1:1" x14ac:dyDescent="0.35">
      <c r="A837" s="178"/>
    </row>
    <row r="838" spans="1:1" x14ac:dyDescent="0.35">
      <c r="A838" s="178"/>
    </row>
    <row r="839" spans="1:1" x14ac:dyDescent="0.35">
      <c r="A839" s="178"/>
    </row>
    <row r="840" spans="1:1" x14ac:dyDescent="0.35">
      <c r="A840" s="178"/>
    </row>
    <row r="841" spans="1:1" x14ac:dyDescent="0.35">
      <c r="A841" s="178"/>
    </row>
    <row r="842" spans="1:1" x14ac:dyDescent="0.35">
      <c r="A842" s="178"/>
    </row>
    <row r="843" spans="1:1" x14ac:dyDescent="0.35">
      <c r="A843" s="178"/>
    </row>
    <row r="844" spans="1:1" x14ac:dyDescent="0.35">
      <c r="A844" s="178"/>
    </row>
    <row r="845" spans="1:1" x14ac:dyDescent="0.35">
      <c r="A845" s="178"/>
    </row>
    <row r="846" spans="1:1" x14ac:dyDescent="0.35">
      <c r="A846" s="178"/>
    </row>
    <row r="847" spans="1:1" x14ac:dyDescent="0.35">
      <c r="A847" s="178"/>
    </row>
    <row r="848" spans="1:1" x14ac:dyDescent="0.35">
      <c r="A848" s="178"/>
    </row>
    <row r="849" spans="1:1" x14ac:dyDescent="0.35">
      <c r="A849" s="178"/>
    </row>
    <row r="850" spans="1:1" x14ac:dyDescent="0.35">
      <c r="A850" s="178"/>
    </row>
    <row r="851" spans="1:1" x14ac:dyDescent="0.35">
      <c r="A851" s="178"/>
    </row>
    <row r="852" spans="1:1" x14ac:dyDescent="0.35">
      <c r="A852" s="178"/>
    </row>
    <row r="853" spans="1:1" x14ac:dyDescent="0.35">
      <c r="A853" s="178"/>
    </row>
    <row r="854" spans="1:1" x14ac:dyDescent="0.35">
      <c r="A854" s="178"/>
    </row>
    <row r="855" spans="1:1" x14ac:dyDescent="0.35">
      <c r="A855" s="178"/>
    </row>
    <row r="856" spans="1:1" x14ac:dyDescent="0.35">
      <c r="A856" s="178"/>
    </row>
    <row r="857" spans="1:1" x14ac:dyDescent="0.35">
      <c r="A857" s="178"/>
    </row>
    <row r="858" spans="1:1" x14ac:dyDescent="0.35">
      <c r="A858" s="178"/>
    </row>
    <row r="859" spans="1:1" x14ac:dyDescent="0.35">
      <c r="A859" s="178"/>
    </row>
    <row r="860" spans="1:1" x14ac:dyDescent="0.35">
      <c r="A860" s="178"/>
    </row>
    <row r="861" spans="1:1" x14ac:dyDescent="0.35">
      <c r="A861" s="178"/>
    </row>
    <row r="862" spans="1:1" x14ac:dyDescent="0.35">
      <c r="A862" s="178"/>
    </row>
    <row r="863" spans="1:1" x14ac:dyDescent="0.35">
      <c r="A863" s="178"/>
    </row>
    <row r="864" spans="1:1" x14ac:dyDescent="0.35">
      <c r="A864" s="178"/>
    </row>
    <row r="865" spans="1:1" x14ac:dyDescent="0.35">
      <c r="A865" s="178"/>
    </row>
    <row r="866" spans="1:1" x14ac:dyDescent="0.35">
      <c r="A866" s="178"/>
    </row>
    <row r="867" spans="1:1" x14ac:dyDescent="0.35">
      <c r="A867" s="178"/>
    </row>
    <row r="868" spans="1:1" x14ac:dyDescent="0.35">
      <c r="A868" s="178"/>
    </row>
    <row r="869" spans="1:1" x14ac:dyDescent="0.35">
      <c r="A869" s="178"/>
    </row>
    <row r="870" spans="1:1" x14ac:dyDescent="0.35">
      <c r="A870" s="178"/>
    </row>
    <row r="871" spans="1:1" x14ac:dyDescent="0.35">
      <c r="A871" s="178"/>
    </row>
    <row r="872" spans="1:1" x14ac:dyDescent="0.35">
      <c r="A872" s="178"/>
    </row>
    <row r="873" spans="1:1" x14ac:dyDescent="0.35">
      <c r="A873" s="178"/>
    </row>
    <row r="874" spans="1:1" x14ac:dyDescent="0.35">
      <c r="A874" s="178"/>
    </row>
    <row r="875" spans="1:1" x14ac:dyDescent="0.35">
      <c r="A875" s="178"/>
    </row>
    <row r="876" spans="1:1" x14ac:dyDescent="0.35">
      <c r="A876" s="178"/>
    </row>
    <row r="877" spans="1:1" x14ac:dyDescent="0.35">
      <c r="A877" s="178"/>
    </row>
    <row r="878" spans="1:1" x14ac:dyDescent="0.35">
      <c r="A878" s="178"/>
    </row>
    <row r="879" spans="1:1" x14ac:dyDescent="0.35">
      <c r="A879" s="178"/>
    </row>
    <row r="880" spans="1:1" x14ac:dyDescent="0.35">
      <c r="A880" s="178"/>
    </row>
    <row r="881" spans="1:1" x14ac:dyDescent="0.35">
      <c r="A881" s="178"/>
    </row>
    <row r="882" spans="1:1" x14ac:dyDescent="0.35">
      <c r="A882" s="178"/>
    </row>
    <row r="883" spans="1:1" x14ac:dyDescent="0.35">
      <c r="A883" s="178"/>
    </row>
    <row r="884" spans="1:1" x14ac:dyDescent="0.35">
      <c r="A884" s="178"/>
    </row>
    <row r="885" spans="1:1" x14ac:dyDescent="0.35">
      <c r="A885" s="178"/>
    </row>
    <row r="886" spans="1:1" x14ac:dyDescent="0.35">
      <c r="A886" s="178"/>
    </row>
    <row r="887" spans="1:1" x14ac:dyDescent="0.35">
      <c r="A887" s="178"/>
    </row>
    <row r="888" spans="1:1" x14ac:dyDescent="0.35">
      <c r="A888" s="178"/>
    </row>
    <row r="889" spans="1:1" x14ac:dyDescent="0.35">
      <c r="A889" s="178"/>
    </row>
    <row r="890" spans="1:1" x14ac:dyDescent="0.35">
      <c r="A890" s="178"/>
    </row>
    <row r="891" spans="1:1" x14ac:dyDescent="0.35">
      <c r="A891" s="178"/>
    </row>
    <row r="892" spans="1:1" x14ac:dyDescent="0.35">
      <c r="A892" s="178"/>
    </row>
    <row r="893" spans="1:1" x14ac:dyDescent="0.35">
      <c r="A893" s="178"/>
    </row>
    <row r="894" spans="1:1" x14ac:dyDescent="0.35">
      <c r="A894" s="178"/>
    </row>
    <row r="895" spans="1:1" x14ac:dyDescent="0.35">
      <c r="A895" s="178"/>
    </row>
    <row r="896" spans="1:1" x14ac:dyDescent="0.35">
      <c r="A896" s="178"/>
    </row>
    <row r="897" spans="1:1" x14ac:dyDescent="0.35">
      <c r="A897" s="178"/>
    </row>
    <row r="898" spans="1:1" x14ac:dyDescent="0.35">
      <c r="A898" s="178"/>
    </row>
    <row r="899" spans="1:1" x14ac:dyDescent="0.35">
      <c r="A899" s="178"/>
    </row>
    <row r="900" spans="1:1" x14ac:dyDescent="0.35">
      <c r="A900" s="178"/>
    </row>
    <row r="901" spans="1:1" x14ac:dyDescent="0.35">
      <c r="A901" s="178"/>
    </row>
    <row r="902" spans="1:1" x14ac:dyDescent="0.35">
      <c r="A902" s="178"/>
    </row>
    <row r="903" spans="1:1" x14ac:dyDescent="0.35">
      <c r="A903" s="178"/>
    </row>
    <row r="904" spans="1:1" x14ac:dyDescent="0.35">
      <c r="A904" s="178"/>
    </row>
    <row r="905" spans="1:1" x14ac:dyDescent="0.35">
      <c r="A905" s="178"/>
    </row>
    <row r="906" spans="1:1" x14ac:dyDescent="0.35">
      <c r="A906" s="178"/>
    </row>
    <row r="907" spans="1:1" x14ac:dyDescent="0.35">
      <c r="A907" s="178"/>
    </row>
    <row r="908" spans="1:1" x14ac:dyDescent="0.35">
      <c r="A908" s="178"/>
    </row>
    <row r="909" spans="1:1" x14ac:dyDescent="0.35">
      <c r="A909" s="178"/>
    </row>
    <row r="910" spans="1:1" x14ac:dyDescent="0.35">
      <c r="A910" s="178"/>
    </row>
    <row r="911" spans="1:1" x14ac:dyDescent="0.35">
      <c r="A911" s="178"/>
    </row>
    <row r="912" spans="1:1" x14ac:dyDescent="0.35">
      <c r="A912" s="178"/>
    </row>
    <row r="913" spans="1:1" x14ac:dyDescent="0.35">
      <c r="A913" s="178"/>
    </row>
    <row r="914" spans="1:1" x14ac:dyDescent="0.35">
      <c r="A914" s="178"/>
    </row>
    <row r="915" spans="1:1" x14ac:dyDescent="0.35">
      <c r="A915" s="178"/>
    </row>
    <row r="916" spans="1:1" x14ac:dyDescent="0.35">
      <c r="A916" s="178"/>
    </row>
    <row r="917" spans="1:1" x14ac:dyDescent="0.35">
      <c r="A917" s="178"/>
    </row>
    <row r="918" spans="1:1" x14ac:dyDescent="0.35">
      <c r="A918" s="178"/>
    </row>
    <row r="919" spans="1:1" x14ac:dyDescent="0.35">
      <c r="A919" s="178"/>
    </row>
    <row r="920" spans="1:1" x14ac:dyDescent="0.35">
      <c r="A920" s="178"/>
    </row>
    <row r="921" spans="1:1" x14ac:dyDescent="0.35">
      <c r="A921" s="178"/>
    </row>
    <row r="922" spans="1:1" x14ac:dyDescent="0.35">
      <c r="A922" s="178"/>
    </row>
    <row r="923" spans="1:1" x14ac:dyDescent="0.35">
      <c r="A923" s="178"/>
    </row>
    <row r="924" spans="1:1" x14ac:dyDescent="0.35">
      <c r="A924" s="178"/>
    </row>
    <row r="925" spans="1:1" x14ac:dyDescent="0.35">
      <c r="A925" s="178"/>
    </row>
    <row r="926" spans="1:1" x14ac:dyDescent="0.35">
      <c r="A926" s="178"/>
    </row>
    <row r="927" spans="1:1" x14ac:dyDescent="0.35">
      <c r="A927" s="178"/>
    </row>
    <row r="928" spans="1:1" x14ac:dyDescent="0.35">
      <c r="A928" s="178"/>
    </row>
    <row r="929" spans="1:1" x14ac:dyDescent="0.35">
      <c r="A929" s="178"/>
    </row>
    <row r="930" spans="1:1" x14ac:dyDescent="0.35">
      <c r="A930" s="178"/>
    </row>
    <row r="931" spans="1:1" x14ac:dyDescent="0.35">
      <c r="A931" s="178"/>
    </row>
    <row r="932" spans="1:1" x14ac:dyDescent="0.35">
      <c r="A932" s="178"/>
    </row>
    <row r="933" spans="1:1" x14ac:dyDescent="0.35">
      <c r="A933" s="178"/>
    </row>
    <row r="934" spans="1:1" x14ac:dyDescent="0.35">
      <c r="A934" s="178"/>
    </row>
    <row r="935" spans="1:1" x14ac:dyDescent="0.35">
      <c r="A935" s="178"/>
    </row>
    <row r="936" spans="1:1" x14ac:dyDescent="0.35">
      <c r="A936" s="178"/>
    </row>
    <row r="937" spans="1:1" x14ac:dyDescent="0.35">
      <c r="A937" s="178"/>
    </row>
    <row r="938" spans="1:1" x14ac:dyDescent="0.35">
      <c r="A938" s="178"/>
    </row>
    <row r="939" spans="1:1" x14ac:dyDescent="0.35">
      <c r="A939" s="178"/>
    </row>
    <row r="940" spans="1:1" x14ac:dyDescent="0.35">
      <c r="A940" s="178"/>
    </row>
    <row r="941" spans="1:1" x14ac:dyDescent="0.35">
      <c r="A941" s="178"/>
    </row>
    <row r="942" spans="1:1" x14ac:dyDescent="0.35">
      <c r="A942" s="178"/>
    </row>
    <row r="943" spans="1:1" x14ac:dyDescent="0.35">
      <c r="A943" s="178"/>
    </row>
    <row r="944" spans="1:1" x14ac:dyDescent="0.35">
      <c r="A944" s="178"/>
    </row>
    <row r="945" spans="1:1" x14ac:dyDescent="0.35">
      <c r="A945" s="178"/>
    </row>
    <row r="946" spans="1:1" x14ac:dyDescent="0.35">
      <c r="A946" s="178"/>
    </row>
    <row r="947" spans="1:1" x14ac:dyDescent="0.35">
      <c r="A947" s="178"/>
    </row>
    <row r="948" spans="1:1" x14ac:dyDescent="0.35">
      <c r="A948" s="178"/>
    </row>
    <row r="949" spans="1:1" x14ac:dyDescent="0.35">
      <c r="A949" s="178"/>
    </row>
    <row r="950" spans="1:1" x14ac:dyDescent="0.35">
      <c r="A950" s="178"/>
    </row>
    <row r="951" spans="1:1" x14ac:dyDescent="0.35">
      <c r="A951" s="178"/>
    </row>
    <row r="952" spans="1:1" x14ac:dyDescent="0.35">
      <c r="A952" s="178"/>
    </row>
    <row r="953" spans="1:1" x14ac:dyDescent="0.35">
      <c r="A953" s="178"/>
    </row>
    <row r="954" spans="1:1" x14ac:dyDescent="0.35">
      <c r="A954" s="178"/>
    </row>
    <row r="955" spans="1:1" x14ac:dyDescent="0.35">
      <c r="A955" s="178"/>
    </row>
    <row r="956" spans="1:1" x14ac:dyDescent="0.35">
      <c r="A956" s="178"/>
    </row>
    <row r="957" spans="1:1" x14ac:dyDescent="0.35">
      <c r="A957" s="178"/>
    </row>
    <row r="958" spans="1:1" x14ac:dyDescent="0.35">
      <c r="A958" s="178"/>
    </row>
    <row r="959" spans="1:1" x14ac:dyDescent="0.35">
      <c r="A959" s="178"/>
    </row>
    <row r="960" spans="1:1" x14ac:dyDescent="0.35">
      <c r="A960" s="178"/>
    </row>
    <row r="961" spans="1:1" x14ac:dyDescent="0.35">
      <c r="A961" s="178"/>
    </row>
    <row r="962" spans="1:1" x14ac:dyDescent="0.35">
      <c r="A962" s="178"/>
    </row>
    <row r="963" spans="1:1" x14ac:dyDescent="0.35">
      <c r="A963" s="178"/>
    </row>
    <row r="964" spans="1:1" x14ac:dyDescent="0.35">
      <c r="A964" s="178"/>
    </row>
    <row r="965" spans="1:1" x14ac:dyDescent="0.35">
      <c r="A965" s="178"/>
    </row>
    <row r="966" spans="1:1" x14ac:dyDescent="0.35">
      <c r="A966" s="178"/>
    </row>
    <row r="967" spans="1:1" x14ac:dyDescent="0.35">
      <c r="A967" s="178"/>
    </row>
    <row r="968" spans="1:1" x14ac:dyDescent="0.35">
      <c r="A968" s="178"/>
    </row>
    <row r="969" spans="1:1" x14ac:dyDescent="0.35">
      <c r="A969" s="178"/>
    </row>
    <row r="970" spans="1:1" x14ac:dyDescent="0.35">
      <c r="A970" s="178"/>
    </row>
    <row r="971" spans="1:1" x14ac:dyDescent="0.35">
      <c r="A971" s="178"/>
    </row>
    <row r="972" spans="1:1" x14ac:dyDescent="0.35">
      <c r="A972" s="178"/>
    </row>
    <row r="973" spans="1:1" x14ac:dyDescent="0.35">
      <c r="A973" s="178"/>
    </row>
    <row r="974" spans="1:1" x14ac:dyDescent="0.35">
      <c r="A974" s="178"/>
    </row>
    <row r="975" spans="1:1" x14ac:dyDescent="0.35">
      <c r="A975" s="178"/>
    </row>
    <row r="976" spans="1:1" x14ac:dyDescent="0.35">
      <c r="A976" s="178"/>
    </row>
    <row r="977" spans="1:1" x14ac:dyDescent="0.35">
      <c r="A977" s="178"/>
    </row>
    <row r="978" spans="1:1" x14ac:dyDescent="0.35">
      <c r="A978" s="178"/>
    </row>
    <row r="979" spans="1:1" x14ac:dyDescent="0.35">
      <c r="A979" s="178"/>
    </row>
    <row r="980" spans="1:1" x14ac:dyDescent="0.35">
      <c r="A980" s="178"/>
    </row>
    <row r="981" spans="1:1" x14ac:dyDescent="0.35">
      <c r="A981" s="178"/>
    </row>
    <row r="982" spans="1:1" x14ac:dyDescent="0.35">
      <c r="A982" s="178"/>
    </row>
    <row r="983" spans="1:1" x14ac:dyDescent="0.35">
      <c r="A983" s="178"/>
    </row>
    <row r="984" spans="1:1" x14ac:dyDescent="0.35">
      <c r="A984" s="178"/>
    </row>
    <row r="985" spans="1:1" x14ac:dyDescent="0.35">
      <c r="A985" s="178"/>
    </row>
    <row r="986" spans="1:1" x14ac:dyDescent="0.35">
      <c r="A986" s="178"/>
    </row>
    <row r="987" spans="1:1" x14ac:dyDescent="0.35">
      <c r="A987" s="178"/>
    </row>
    <row r="988" spans="1:1" x14ac:dyDescent="0.35">
      <c r="A988" s="223"/>
    </row>
    <row r="989" spans="1:1" x14ac:dyDescent="0.35">
      <c r="A989" s="178"/>
    </row>
    <row r="990" spans="1:1" x14ac:dyDescent="0.35">
      <c r="A990" s="178"/>
    </row>
    <row r="991" spans="1:1" x14ac:dyDescent="0.35">
      <c r="A991" s="178"/>
    </row>
    <row r="992" spans="1:1" x14ac:dyDescent="0.35">
      <c r="A992" s="178"/>
    </row>
    <row r="993" spans="1:1" x14ac:dyDescent="0.35">
      <c r="A993" s="178"/>
    </row>
    <row r="994" spans="1:1" x14ac:dyDescent="0.35">
      <c r="A994" s="178"/>
    </row>
    <row r="995" spans="1:1" x14ac:dyDescent="0.35">
      <c r="A995" s="178"/>
    </row>
    <row r="996" spans="1:1" x14ac:dyDescent="0.35">
      <c r="A996" s="178"/>
    </row>
    <row r="997" spans="1:1" x14ac:dyDescent="0.35">
      <c r="A997" s="178"/>
    </row>
    <row r="998" spans="1:1" x14ac:dyDescent="0.35">
      <c r="A998" s="178"/>
    </row>
    <row r="999" spans="1:1" x14ac:dyDescent="0.35">
      <c r="A999" s="178"/>
    </row>
    <row r="1000" spans="1:1" x14ac:dyDescent="0.35">
      <c r="A1000" s="178"/>
    </row>
    <row r="1001" spans="1:1" x14ac:dyDescent="0.35">
      <c r="A1001" s="178"/>
    </row>
    <row r="1002" spans="1:1" x14ac:dyDescent="0.35">
      <c r="A1002" s="178"/>
    </row>
    <row r="1003" spans="1:1" x14ac:dyDescent="0.35">
      <c r="A1003" s="178"/>
    </row>
    <row r="1004" spans="1:1" x14ac:dyDescent="0.35">
      <c r="A1004" s="178"/>
    </row>
    <row r="1005" spans="1:1" x14ac:dyDescent="0.35">
      <c r="A1005" s="178"/>
    </row>
    <row r="1006" spans="1:1" x14ac:dyDescent="0.35">
      <c r="A1006" s="178"/>
    </row>
    <row r="1007" spans="1:1" x14ac:dyDescent="0.35">
      <c r="A1007" s="178"/>
    </row>
    <row r="1008" spans="1:1" x14ac:dyDescent="0.35">
      <c r="A1008" s="178"/>
    </row>
    <row r="1009" spans="1:1" x14ac:dyDescent="0.35">
      <c r="A1009" s="178"/>
    </row>
    <row r="1010" spans="1:1" x14ac:dyDescent="0.35">
      <c r="A1010" s="178"/>
    </row>
    <row r="1011" spans="1:1" x14ac:dyDescent="0.35">
      <c r="A1011" s="178"/>
    </row>
    <row r="1012" spans="1:1" x14ac:dyDescent="0.35">
      <c r="A1012" s="178"/>
    </row>
    <row r="1013" spans="1:1" x14ac:dyDescent="0.35">
      <c r="A1013" s="178"/>
    </row>
    <row r="1014" spans="1:1" x14ac:dyDescent="0.35">
      <c r="A1014" s="178"/>
    </row>
    <row r="1015" spans="1:1" x14ac:dyDescent="0.35">
      <c r="A1015" s="178"/>
    </row>
    <row r="1016" spans="1:1" x14ac:dyDescent="0.35">
      <c r="A1016" s="178"/>
    </row>
    <row r="1017" spans="1:1" x14ac:dyDescent="0.35">
      <c r="A1017" s="178"/>
    </row>
    <row r="1018" spans="1:1" x14ac:dyDescent="0.35">
      <c r="A1018" s="178"/>
    </row>
    <row r="1019" spans="1:1" x14ac:dyDescent="0.35">
      <c r="A1019" s="178"/>
    </row>
    <row r="1020" spans="1:1" x14ac:dyDescent="0.35">
      <c r="A1020" s="178"/>
    </row>
    <row r="1021" spans="1:1" x14ac:dyDescent="0.35">
      <c r="A1021" s="178"/>
    </row>
    <row r="1022" spans="1:1" x14ac:dyDescent="0.35">
      <c r="A1022" s="178"/>
    </row>
    <row r="1023" spans="1:1" x14ac:dyDescent="0.35">
      <c r="A1023" s="178"/>
    </row>
    <row r="1024" spans="1:1" x14ac:dyDescent="0.35">
      <c r="A1024" s="178"/>
    </row>
    <row r="1025" spans="1:1" x14ac:dyDescent="0.35">
      <c r="A1025" s="178"/>
    </row>
    <row r="1026" spans="1:1" x14ac:dyDescent="0.35">
      <c r="A1026" s="178"/>
    </row>
    <row r="1027" spans="1:1" x14ac:dyDescent="0.35">
      <c r="A1027" s="178"/>
    </row>
    <row r="1028" spans="1:1" x14ac:dyDescent="0.35">
      <c r="A1028" s="178"/>
    </row>
    <row r="1029" spans="1:1" x14ac:dyDescent="0.35">
      <c r="A1029" s="178"/>
    </row>
    <row r="1030" spans="1:1" x14ac:dyDescent="0.35">
      <c r="A1030" s="178"/>
    </row>
    <row r="1031" spans="1:1" x14ac:dyDescent="0.35">
      <c r="A1031" s="178"/>
    </row>
    <row r="1032" spans="1:1" x14ac:dyDescent="0.35">
      <c r="A1032" s="178"/>
    </row>
    <row r="1033" spans="1:1" x14ac:dyDescent="0.35">
      <c r="A1033" s="178"/>
    </row>
    <row r="1034" spans="1:1" x14ac:dyDescent="0.35">
      <c r="A1034" s="178"/>
    </row>
    <row r="1035" spans="1:1" x14ac:dyDescent="0.35">
      <c r="A1035" s="178"/>
    </row>
    <row r="1036" spans="1:1" x14ac:dyDescent="0.35">
      <c r="A1036" s="178"/>
    </row>
    <row r="1037" spans="1:1" x14ac:dyDescent="0.35">
      <c r="A1037" s="178"/>
    </row>
    <row r="1038" spans="1:1" x14ac:dyDescent="0.35">
      <c r="A1038" s="178"/>
    </row>
    <row r="1039" spans="1:1" x14ac:dyDescent="0.35">
      <c r="A1039" s="178"/>
    </row>
    <row r="1040" spans="1:1" x14ac:dyDescent="0.35">
      <c r="A1040" s="178"/>
    </row>
    <row r="1041" spans="1:1" x14ac:dyDescent="0.35">
      <c r="A1041" s="178"/>
    </row>
    <row r="1042" spans="1:1" x14ac:dyDescent="0.35">
      <c r="A1042" s="178"/>
    </row>
    <row r="1043" spans="1:1" x14ac:dyDescent="0.35">
      <c r="A1043" s="178"/>
    </row>
    <row r="1044" spans="1:1" x14ac:dyDescent="0.35">
      <c r="A1044" s="178"/>
    </row>
    <row r="1045" spans="1:1" x14ac:dyDescent="0.35">
      <c r="A1045" s="178"/>
    </row>
    <row r="1046" spans="1:1" x14ac:dyDescent="0.35">
      <c r="A1046" s="178"/>
    </row>
    <row r="1047" spans="1:1" x14ac:dyDescent="0.35">
      <c r="A1047" s="178"/>
    </row>
    <row r="1048" spans="1:1" x14ac:dyDescent="0.35">
      <c r="A1048" s="178"/>
    </row>
    <row r="1049" spans="1:1" x14ac:dyDescent="0.35">
      <c r="A1049" s="178"/>
    </row>
    <row r="1050" spans="1:1" x14ac:dyDescent="0.35">
      <c r="A1050" s="178"/>
    </row>
    <row r="1051" spans="1:1" x14ac:dyDescent="0.35">
      <c r="A1051" s="178"/>
    </row>
    <row r="1052" spans="1:1" x14ac:dyDescent="0.35">
      <c r="A1052" s="178"/>
    </row>
    <row r="1053" spans="1:1" x14ac:dyDescent="0.35">
      <c r="A1053" s="178"/>
    </row>
    <row r="1054" spans="1:1" x14ac:dyDescent="0.35">
      <c r="A1054" s="178"/>
    </row>
    <row r="1055" spans="1:1" x14ac:dyDescent="0.35">
      <c r="A1055" s="178"/>
    </row>
    <row r="1056" spans="1:1" x14ac:dyDescent="0.35">
      <c r="A1056" s="178"/>
    </row>
    <row r="1057" spans="1:1" x14ac:dyDescent="0.35">
      <c r="A1057" s="178"/>
    </row>
    <row r="1058" spans="1:1" x14ac:dyDescent="0.35">
      <c r="A1058" s="178"/>
    </row>
    <row r="1059" spans="1:1" x14ac:dyDescent="0.35">
      <c r="A1059" s="178"/>
    </row>
    <row r="1060" spans="1:1" x14ac:dyDescent="0.35">
      <c r="A1060" s="178"/>
    </row>
    <row r="1061" spans="1:1" x14ac:dyDescent="0.35">
      <c r="A1061" s="178"/>
    </row>
    <row r="1062" spans="1:1" x14ac:dyDescent="0.35">
      <c r="A1062" s="178"/>
    </row>
    <row r="1063" spans="1:1" x14ac:dyDescent="0.35">
      <c r="A1063" s="178"/>
    </row>
    <row r="1064" spans="1:1" x14ac:dyDescent="0.35">
      <c r="A1064" s="178"/>
    </row>
    <row r="1065" spans="1:1" x14ac:dyDescent="0.35">
      <c r="A1065" s="178"/>
    </row>
    <row r="1066" spans="1:1" x14ac:dyDescent="0.35">
      <c r="A1066" s="178"/>
    </row>
    <row r="1067" spans="1:1" x14ac:dyDescent="0.35">
      <c r="A1067" s="178"/>
    </row>
    <row r="1068" spans="1:1" x14ac:dyDescent="0.35">
      <c r="A1068" s="178"/>
    </row>
    <row r="1069" spans="1:1" x14ac:dyDescent="0.35">
      <c r="A1069" s="178"/>
    </row>
    <row r="1070" spans="1:1" x14ac:dyDescent="0.35">
      <c r="A1070" s="178"/>
    </row>
    <row r="1071" spans="1:1" x14ac:dyDescent="0.35">
      <c r="A1071" s="178"/>
    </row>
    <row r="1072" spans="1:1" x14ac:dyDescent="0.35">
      <c r="A1072" s="178"/>
    </row>
    <row r="1073" spans="1:1" x14ac:dyDescent="0.35">
      <c r="A1073" s="178"/>
    </row>
    <row r="1074" spans="1:1" x14ac:dyDescent="0.35">
      <c r="A1074" s="178"/>
    </row>
    <row r="1075" spans="1:1" x14ac:dyDescent="0.35">
      <c r="A1075" s="178"/>
    </row>
    <row r="1076" spans="1:1" x14ac:dyDescent="0.35">
      <c r="A1076" s="178"/>
    </row>
    <row r="1077" spans="1:1" x14ac:dyDescent="0.35">
      <c r="A1077" s="178"/>
    </row>
    <row r="1078" spans="1:1" x14ac:dyDescent="0.35">
      <c r="A1078" s="178"/>
    </row>
    <row r="1079" spans="1:1" x14ac:dyDescent="0.35">
      <c r="A1079" s="178"/>
    </row>
    <row r="1080" spans="1:1" x14ac:dyDescent="0.35">
      <c r="A1080" s="178"/>
    </row>
    <row r="1081" spans="1:1" x14ac:dyDescent="0.35">
      <c r="A1081" s="178"/>
    </row>
    <row r="1082" spans="1:1" x14ac:dyDescent="0.35">
      <c r="A1082" s="178"/>
    </row>
    <row r="1083" spans="1:1" x14ac:dyDescent="0.35">
      <c r="A1083" s="178"/>
    </row>
    <row r="1084" spans="1:1" x14ac:dyDescent="0.35">
      <c r="A1084" s="178"/>
    </row>
    <row r="1085" spans="1:1" x14ac:dyDescent="0.35">
      <c r="A1085" s="178"/>
    </row>
    <row r="1086" spans="1:1" x14ac:dyDescent="0.35">
      <c r="A1086" s="178"/>
    </row>
    <row r="1087" spans="1:1" x14ac:dyDescent="0.35">
      <c r="A1087" s="178"/>
    </row>
    <row r="1088" spans="1:1" x14ac:dyDescent="0.35">
      <c r="A1088" s="178"/>
    </row>
    <row r="1089" spans="1:1" x14ac:dyDescent="0.35">
      <c r="A1089" s="178"/>
    </row>
    <row r="1090" spans="1:1" x14ac:dyDescent="0.35">
      <c r="A1090" s="178"/>
    </row>
    <row r="1091" spans="1:1" x14ac:dyDescent="0.35">
      <c r="A1091" s="178"/>
    </row>
    <row r="1092" spans="1:1" x14ac:dyDescent="0.35">
      <c r="A1092" s="178"/>
    </row>
    <row r="1093" spans="1:1" x14ac:dyDescent="0.35">
      <c r="A1093" s="178"/>
    </row>
    <row r="1094" spans="1:1" x14ac:dyDescent="0.35">
      <c r="A1094" s="178"/>
    </row>
    <row r="1095" spans="1:1" x14ac:dyDescent="0.35">
      <c r="A1095" s="178"/>
    </row>
    <row r="1096" spans="1:1" x14ac:dyDescent="0.35">
      <c r="A1096" s="178"/>
    </row>
    <row r="1097" spans="1:1" x14ac:dyDescent="0.35">
      <c r="A1097" s="178"/>
    </row>
    <row r="1098" spans="1:1" x14ac:dyDescent="0.35">
      <c r="A1098" s="178"/>
    </row>
    <row r="1099" spans="1:1" x14ac:dyDescent="0.35">
      <c r="A1099" s="178"/>
    </row>
    <row r="1100" spans="1:1" x14ac:dyDescent="0.35">
      <c r="A1100" s="178"/>
    </row>
    <row r="1101" spans="1:1" x14ac:dyDescent="0.35">
      <c r="A1101" s="178"/>
    </row>
    <row r="1102" spans="1:1" x14ac:dyDescent="0.35">
      <c r="A1102" s="178"/>
    </row>
    <row r="1103" spans="1:1" x14ac:dyDescent="0.35">
      <c r="A1103" s="178"/>
    </row>
    <row r="1104" spans="1:1" x14ac:dyDescent="0.35">
      <c r="A1104" s="178"/>
    </row>
    <row r="1105" spans="1:1" x14ac:dyDescent="0.35">
      <c r="A1105" s="178"/>
    </row>
    <row r="1106" spans="1:1" x14ac:dyDescent="0.35">
      <c r="A1106" s="178"/>
    </row>
    <row r="1107" spans="1:1" x14ac:dyDescent="0.35">
      <c r="A1107" s="178"/>
    </row>
    <row r="1108" spans="1:1" x14ac:dyDescent="0.35">
      <c r="A1108" s="178"/>
    </row>
    <row r="1109" spans="1:1" x14ac:dyDescent="0.35">
      <c r="A1109" s="178"/>
    </row>
    <row r="1110" spans="1:1" x14ac:dyDescent="0.35">
      <c r="A1110" s="178"/>
    </row>
    <row r="1111" spans="1:1" x14ac:dyDescent="0.35">
      <c r="A1111" s="178"/>
    </row>
    <row r="1112" spans="1:1" x14ac:dyDescent="0.35">
      <c r="A1112" s="178"/>
    </row>
    <row r="1113" spans="1:1" x14ac:dyDescent="0.35">
      <c r="A1113" s="178"/>
    </row>
    <row r="1114" spans="1:1" x14ac:dyDescent="0.35">
      <c r="A1114" s="178"/>
    </row>
    <row r="1115" spans="1:1" x14ac:dyDescent="0.35">
      <c r="A1115" s="178"/>
    </row>
    <row r="1116" spans="1:1" x14ac:dyDescent="0.35">
      <c r="A1116" s="178"/>
    </row>
    <row r="1117" spans="1:1" x14ac:dyDescent="0.35">
      <c r="A1117" s="178"/>
    </row>
    <row r="1118" spans="1:1" x14ac:dyDescent="0.35">
      <c r="A1118" s="178"/>
    </row>
    <row r="1119" spans="1:1" x14ac:dyDescent="0.35">
      <c r="A1119" s="178"/>
    </row>
    <row r="1120" spans="1:1" x14ac:dyDescent="0.35">
      <c r="A1120" s="178"/>
    </row>
    <row r="1121" spans="1:1" x14ac:dyDescent="0.35">
      <c r="A1121" s="178"/>
    </row>
    <row r="1122" spans="1:1" x14ac:dyDescent="0.35">
      <c r="A1122" s="178"/>
    </row>
    <row r="1123" spans="1:1" x14ac:dyDescent="0.35">
      <c r="A1123" s="178"/>
    </row>
    <row r="1124" spans="1:1" x14ac:dyDescent="0.35">
      <c r="A1124" s="178"/>
    </row>
    <row r="1125" spans="1:1" x14ac:dyDescent="0.35">
      <c r="A1125" s="178"/>
    </row>
    <row r="1126" spans="1:1" x14ac:dyDescent="0.35">
      <c r="A1126" s="178"/>
    </row>
    <row r="1127" spans="1:1" x14ac:dyDescent="0.35">
      <c r="A1127" s="178"/>
    </row>
    <row r="1128" spans="1:1" x14ac:dyDescent="0.35">
      <c r="A1128" s="178"/>
    </row>
    <row r="1129" spans="1:1" x14ac:dyDescent="0.35">
      <c r="A1129" s="178"/>
    </row>
    <row r="1130" spans="1:1" x14ac:dyDescent="0.35">
      <c r="A1130" s="178"/>
    </row>
    <row r="1131" spans="1:1" x14ac:dyDescent="0.35">
      <c r="A1131" s="178"/>
    </row>
    <row r="1132" spans="1:1" x14ac:dyDescent="0.35">
      <c r="A1132" s="178"/>
    </row>
    <row r="1133" spans="1:1" x14ac:dyDescent="0.35">
      <c r="A1133" s="178"/>
    </row>
    <row r="1134" spans="1:1" x14ac:dyDescent="0.35">
      <c r="A1134" s="178"/>
    </row>
    <row r="1135" spans="1:1" x14ac:dyDescent="0.35">
      <c r="A1135" s="178"/>
    </row>
    <row r="1136" spans="1:1" x14ac:dyDescent="0.35">
      <c r="A1136" s="178"/>
    </row>
    <row r="1137" spans="1:1" x14ac:dyDescent="0.35">
      <c r="A1137" s="178"/>
    </row>
    <row r="1138" spans="1:1" x14ac:dyDescent="0.35">
      <c r="A1138" s="178"/>
    </row>
    <row r="1139" spans="1:1" x14ac:dyDescent="0.35">
      <c r="A1139" s="178"/>
    </row>
    <row r="1140" spans="1:1" x14ac:dyDescent="0.35">
      <c r="A1140" s="178"/>
    </row>
    <row r="1141" spans="1:1" x14ac:dyDescent="0.35">
      <c r="A1141" s="178"/>
    </row>
    <row r="1142" spans="1:1" x14ac:dyDescent="0.35">
      <c r="A1142" s="178"/>
    </row>
    <row r="1143" spans="1:1" x14ac:dyDescent="0.35">
      <c r="A1143" s="178"/>
    </row>
    <row r="1144" spans="1:1" x14ac:dyDescent="0.35">
      <c r="A1144" s="178"/>
    </row>
    <row r="1145" spans="1:1" x14ac:dyDescent="0.35">
      <c r="A1145" s="178"/>
    </row>
    <row r="1146" spans="1:1" x14ac:dyDescent="0.35">
      <c r="A1146" s="178"/>
    </row>
    <row r="1147" spans="1:1" x14ac:dyDescent="0.35">
      <c r="A1147" s="178"/>
    </row>
    <row r="1148" spans="1:1" x14ac:dyDescent="0.35">
      <c r="A1148" s="178"/>
    </row>
    <row r="1149" spans="1:1" x14ac:dyDescent="0.35">
      <c r="A1149" s="178"/>
    </row>
    <row r="1150" spans="1:1" x14ac:dyDescent="0.35">
      <c r="A1150" s="178"/>
    </row>
    <row r="1151" spans="1:1" x14ac:dyDescent="0.35">
      <c r="A1151" s="178"/>
    </row>
    <row r="1152" spans="1:1" x14ac:dyDescent="0.35">
      <c r="A1152" s="178"/>
    </row>
    <row r="1153" spans="1:1" x14ac:dyDescent="0.35">
      <c r="A1153" s="178"/>
    </row>
    <row r="1154" spans="1:1" x14ac:dyDescent="0.35">
      <c r="A1154" s="178"/>
    </row>
    <row r="1155" spans="1:1" x14ac:dyDescent="0.35">
      <c r="A1155" s="178"/>
    </row>
    <row r="1156" spans="1:1" x14ac:dyDescent="0.35">
      <c r="A1156" s="178"/>
    </row>
    <row r="1157" spans="1:1" x14ac:dyDescent="0.35">
      <c r="A1157" s="178"/>
    </row>
    <row r="1158" spans="1:1" x14ac:dyDescent="0.35">
      <c r="A1158" s="178"/>
    </row>
    <row r="1159" spans="1:1" x14ac:dyDescent="0.35">
      <c r="A1159" s="178"/>
    </row>
    <row r="1160" spans="1:1" x14ac:dyDescent="0.35">
      <c r="A1160" s="178"/>
    </row>
    <row r="1161" spans="1:1" x14ac:dyDescent="0.35">
      <c r="A1161" s="178"/>
    </row>
    <row r="1162" spans="1:1" x14ac:dyDescent="0.35">
      <c r="A1162" s="178"/>
    </row>
    <row r="1163" spans="1:1" x14ac:dyDescent="0.35">
      <c r="A1163" s="178"/>
    </row>
    <row r="1164" spans="1:1" x14ac:dyDescent="0.35">
      <c r="A1164" s="178"/>
    </row>
    <row r="1165" spans="1:1" x14ac:dyDescent="0.35">
      <c r="A1165" s="178"/>
    </row>
    <row r="1166" spans="1:1" x14ac:dyDescent="0.35">
      <c r="A1166" s="178"/>
    </row>
    <row r="1167" spans="1:1" x14ac:dyDescent="0.35">
      <c r="A1167" s="178"/>
    </row>
    <row r="1168" spans="1:1" x14ac:dyDescent="0.35">
      <c r="A1168" s="178"/>
    </row>
    <row r="1169" spans="1:1" x14ac:dyDescent="0.35">
      <c r="A1169" s="178"/>
    </row>
    <row r="1170" spans="1:1" x14ac:dyDescent="0.35">
      <c r="A1170" s="178"/>
    </row>
    <row r="1171" spans="1:1" x14ac:dyDescent="0.35">
      <c r="A1171" s="178"/>
    </row>
    <row r="1172" spans="1:1" x14ac:dyDescent="0.35">
      <c r="A1172" s="178"/>
    </row>
    <row r="1173" spans="1:1" x14ac:dyDescent="0.35">
      <c r="A1173" s="178"/>
    </row>
    <row r="1174" spans="1:1" x14ac:dyDescent="0.35">
      <c r="A1174" s="178"/>
    </row>
    <row r="1175" spans="1:1" x14ac:dyDescent="0.35">
      <c r="A1175" s="178"/>
    </row>
    <row r="1176" spans="1:1" x14ac:dyDescent="0.35">
      <c r="A1176" s="178"/>
    </row>
    <row r="1177" spans="1:1" x14ac:dyDescent="0.35">
      <c r="A1177" s="178"/>
    </row>
    <row r="1178" spans="1:1" x14ac:dyDescent="0.35">
      <c r="A1178" s="178"/>
    </row>
    <row r="1179" spans="1:1" x14ac:dyDescent="0.35">
      <c r="A1179" s="178"/>
    </row>
    <row r="1180" spans="1:1" x14ac:dyDescent="0.35">
      <c r="A1180" s="178"/>
    </row>
    <row r="1181" spans="1:1" x14ac:dyDescent="0.35">
      <c r="A1181" s="178"/>
    </row>
    <row r="1182" spans="1:1" x14ac:dyDescent="0.35">
      <c r="A1182" s="178"/>
    </row>
    <row r="1183" spans="1:1" x14ac:dyDescent="0.35">
      <c r="A1183" s="178"/>
    </row>
    <row r="1184" spans="1:1" x14ac:dyDescent="0.35">
      <c r="A1184" s="178"/>
    </row>
    <row r="1185" spans="1:1" x14ac:dyDescent="0.35">
      <c r="A1185" s="178"/>
    </row>
    <row r="1186" spans="1:1" x14ac:dyDescent="0.35">
      <c r="A1186" s="178"/>
    </row>
    <row r="1187" spans="1:1" x14ac:dyDescent="0.35">
      <c r="A1187" s="178"/>
    </row>
    <row r="1188" spans="1:1" x14ac:dyDescent="0.35">
      <c r="A1188" s="178"/>
    </row>
    <row r="1189" spans="1:1" x14ac:dyDescent="0.35">
      <c r="A1189" s="178"/>
    </row>
    <row r="1190" spans="1:1" x14ac:dyDescent="0.35">
      <c r="A1190" s="178"/>
    </row>
    <row r="1191" spans="1:1" x14ac:dyDescent="0.35">
      <c r="A1191" s="178"/>
    </row>
    <row r="1192" spans="1:1" x14ac:dyDescent="0.35">
      <c r="A1192" s="178"/>
    </row>
    <row r="1193" spans="1:1" x14ac:dyDescent="0.35">
      <c r="A1193" s="178"/>
    </row>
    <row r="1194" spans="1:1" x14ac:dyDescent="0.35">
      <c r="A1194" s="178"/>
    </row>
    <row r="1195" spans="1:1" x14ac:dyDescent="0.35">
      <c r="A1195" s="178"/>
    </row>
    <row r="1196" spans="1:1" x14ac:dyDescent="0.35">
      <c r="A1196" s="178"/>
    </row>
    <row r="1197" spans="1:1" x14ac:dyDescent="0.35">
      <c r="A1197" s="178"/>
    </row>
    <row r="1198" spans="1:1" x14ac:dyDescent="0.35">
      <c r="A1198" s="178"/>
    </row>
    <row r="1199" spans="1:1" x14ac:dyDescent="0.35">
      <c r="A1199" s="178"/>
    </row>
    <row r="1200" spans="1:1" x14ac:dyDescent="0.35">
      <c r="A1200" s="178"/>
    </row>
    <row r="1201" spans="1:1" x14ac:dyDescent="0.35">
      <c r="A1201" s="178"/>
    </row>
    <row r="1202" spans="1:1" x14ac:dyDescent="0.35">
      <c r="A1202" s="178"/>
    </row>
    <row r="1203" spans="1:1" x14ac:dyDescent="0.35">
      <c r="A1203" s="178"/>
    </row>
    <row r="1204" spans="1:1" x14ac:dyDescent="0.35">
      <c r="A1204" s="178"/>
    </row>
    <row r="1205" spans="1:1" x14ac:dyDescent="0.35">
      <c r="A1205" s="178"/>
    </row>
    <row r="1206" spans="1:1" x14ac:dyDescent="0.35">
      <c r="A1206" s="178"/>
    </row>
    <row r="1207" spans="1:1" x14ac:dyDescent="0.35">
      <c r="A1207" s="178"/>
    </row>
    <row r="1208" spans="1:1" x14ac:dyDescent="0.35">
      <c r="A1208" s="178"/>
    </row>
    <row r="1209" spans="1:1" x14ac:dyDescent="0.35">
      <c r="A1209" s="178"/>
    </row>
    <row r="1210" spans="1:1" x14ac:dyDescent="0.35">
      <c r="A1210" s="178"/>
    </row>
    <row r="1211" spans="1:1" x14ac:dyDescent="0.35">
      <c r="A1211" s="178"/>
    </row>
    <row r="1212" spans="1:1" x14ac:dyDescent="0.35">
      <c r="A1212" s="178"/>
    </row>
    <row r="1213" spans="1:1" x14ac:dyDescent="0.35">
      <c r="A1213" s="178"/>
    </row>
    <row r="1214" spans="1:1" x14ac:dyDescent="0.35">
      <c r="A1214" s="178"/>
    </row>
    <row r="1215" spans="1:1" x14ac:dyDescent="0.35">
      <c r="A1215" s="178"/>
    </row>
    <row r="1216" spans="1:1" x14ac:dyDescent="0.35">
      <c r="A1216" s="178"/>
    </row>
    <row r="1217" spans="1:1" x14ac:dyDescent="0.35">
      <c r="A1217" s="178"/>
    </row>
    <row r="1218" spans="1:1" x14ac:dyDescent="0.35">
      <c r="A1218" s="178"/>
    </row>
    <row r="1219" spans="1:1" x14ac:dyDescent="0.35">
      <c r="A1219" s="178"/>
    </row>
    <row r="1220" spans="1:1" x14ac:dyDescent="0.35">
      <c r="A1220" s="178"/>
    </row>
    <row r="1221" spans="1:1" x14ac:dyDescent="0.35">
      <c r="A1221" s="178"/>
    </row>
    <row r="1222" spans="1:1" x14ac:dyDescent="0.35">
      <c r="A1222" s="178"/>
    </row>
    <row r="1223" spans="1:1" x14ac:dyDescent="0.35">
      <c r="A1223" s="178"/>
    </row>
    <row r="1224" spans="1:1" x14ac:dyDescent="0.35">
      <c r="A1224" s="178"/>
    </row>
    <row r="1225" spans="1:1" x14ac:dyDescent="0.35">
      <c r="A1225" s="178"/>
    </row>
    <row r="1226" spans="1:1" x14ac:dyDescent="0.35">
      <c r="A1226" s="178"/>
    </row>
    <row r="1227" spans="1:1" x14ac:dyDescent="0.35">
      <c r="A1227" s="178"/>
    </row>
    <row r="1228" spans="1:1" x14ac:dyDescent="0.35">
      <c r="A1228" s="178"/>
    </row>
    <row r="1229" spans="1:1" x14ac:dyDescent="0.35">
      <c r="A1229" s="178"/>
    </row>
    <row r="1230" spans="1:1" x14ac:dyDescent="0.35">
      <c r="A1230" s="178"/>
    </row>
    <row r="1231" spans="1:1" x14ac:dyDescent="0.35">
      <c r="A1231" s="178"/>
    </row>
    <row r="1232" spans="1:1" x14ac:dyDescent="0.35">
      <c r="A1232" s="178"/>
    </row>
    <row r="1233" spans="1:1" x14ac:dyDescent="0.35">
      <c r="A1233" s="178"/>
    </row>
    <row r="1234" spans="1:1" x14ac:dyDescent="0.35">
      <c r="A1234" s="178"/>
    </row>
    <row r="1235" spans="1:1" x14ac:dyDescent="0.35">
      <c r="A1235" s="178"/>
    </row>
    <row r="1236" spans="1:1" x14ac:dyDescent="0.35">
      <c r="A1236" s="178"/>
    </row>
    <row r="1237" spans="1:1" x14ac:dyDescent="0.35">
      <c r="A1237" s="178"/>
    </row>
    <row r="1238" spans="1:1" x14ac:dyDescent="0.35">
      <c r="A1238" s="178"/>
    </row>
    <row r="1239" spans="1:1" x14ac:dyDescent="0.35">
      <c r="A1239" s="178"/>
    </row>
    <row r="1240" spans="1:1" x14ac:dyDescent="0.35">
      <c r="A1240" s="178"/>
    </row>
    <row r="1241" spans="1:1" x14ac:dyDescent="0.35">
      <c r="A1241" s="178"/>
    </row>
    <row r="1242" spans="1:1" x14ac:dyDescent="0.35">
      <c r="A1242" s="178"/>
    </row>
    <row r="1243" spans="1:1" x14ac:dyDescent="0.35">
      <c r="A1243" s="178"/>
    </row>
    <row r="1244" spans="1:1" x14ac:dyDescent="0.35">
      <c r="A1244" s="178"/>
    </row>
    <row r="1245" spans="1:1" x14ac:dyDescent="0.35">
      <c r="A1245" s="178"/>
    </row>
    <row r="1246" spans="1:1" x14ac:dyDescent="0.35">
      <c r="A1246" s="178"/>
    </row>
    <row r="1247" spans="1:1" x14ac:dyDescent="0.35">
      <c r="A1247" s="178"/>
    </row>
    <row r="1248" spans="1:1" x14ac:dyDescent="0.35">
      <c r="A1248" s="178"/>
    </row>
    <row r="1249" spans="1:1" x14ac:dyDescent="0.35">
      <c r="A1249" s="178"/>
    </row>
    <row r="1250" spans="1:1" x14ac:dyDescent="0.35">
      <c r="A1250" s="178"/>
    </row>
    <row r="1251" spans="1:1" x14ac:dyDescent="0.35">
      <c r="A1251" s="178"/>
    </row>
    <row r="1252" spans="1:1" x14ac:dyDescent="0.35">
      <c r="A1252" s="178"/>
    </row>
    <row r="1253" spans="1:1" x14ac:dyDescent="0.35">
      <c r="A1253" s="178"/>
    </row>
    <row r="1254" spans="1:1" x14ac:dyDescent="0.35">
      <c r="A1254" s="178"/>
    </row>
    <row r="1255" spans="1:1" x14ac:dyDescent="0.35">
      <c r="A1255" s="178"/>
    </row>
    <row r="1256" spans="1:1" x14ac:dyDescent="0.35">
      <c r="A1256" s="178"/>
    </row>
    <row r="1257" spans="1:1" x14ac:dyDescent="0.35">
      <c r="A1257" s="178"/>
    </row>
    <row r="1258" spans="1:1" x14ac:dyDescent="0.35">
      <c r="A1258" s="178"/>
    </row>
    <row r="1259" spans="1:1" x14ac:dyDescent="0.35">
      <c r="A1259" s="178"/>
    </row>
    <row r="1260" spans="1:1" x14ac:dyDescent="0.35">
      <c r="A1260" s="178"/>
    </row>
    <row r="1261" spans="1:1" x14ac:dyDescent="0.35">
      <c r="A1261" s="178"/>
    </row>
    <row r="1262" spans="1:1" x14ac:dyDescent="0.35">
      <c r="A1262" s="178"/>
    </row>
    <row r="1263" spans="1:1" x14ac:dyDescent="0.35">
      <c r="A1263" s="178"/>
    </row>
    <row r="1264" spans="1:1" x14ac:dyDescent="0.35">
      <c r="A1264" s="178"/>
    </row>
    <row r="1265" spans="1:1" x14ac:dyDescent="0.35">
      <c r="A1265" s="178"/>
    </row>
    <row r="1266" spans="1:1" x14ac:dyDescent="0.35">
      <c r="A1266" s="178"/>
    </row>
    <row r="1267" spans="1:1" x14ac:dyDescent="0.35">
      <c r="A1267" s="178"/>
    </row>
    <row r="1268" spans="1:1" x14ac:dyDescent="0.35">
      <c r="A1268" s="178"/>
    </row>
    <row r="1269" spans="1:1" x14ac:dyDescent="0.35">
      <c r="A1269" s="178"/>
    </row>
    <row r="1270" spans="1:1" x14ac:dyDescent="0.35">
      <c r="A1270" s="178"/>
    </row>
    <row r="1271" spans="1:1" x14ac:dyDescent="0.35">
      <c r="A1271" s="178"/>
    </row>
    <row r="1272" spans="1:1" x14ac:dyDescent="0.35">
      <c r="A1272" s="178"/>
    </row>
    <row r="1273" spans="1:1" x14ac:dyDescent="0.35">
      <c r="A1273" s="178"/>
    </row>
    <row r="1274" spans="1:1" x14ac:dyDescent="0.35">
      <c r="A1274" s="178"/>
    </row>
    <row r="1275" spans="1:1" x14ac:dyDescent="0.35">
      <c r="A1275" s="178"/>
    </row>
    <row r="1276" spans="1:1" x14ac:dyDescent="0.35">
      <c r="A1276" s="178"/>
    </row>
    <row r="1277" spans="1:1" x14ac:dyDescent="0.35">
      <c r="A1277" s="178"/>
    </row>
    <row r="1278" spans="1:1" x14ac:dyDescent="0.35">
      <c r="A1278" s="178"/>
    </row>
    <row r="1279" spans="1:1" x14ac:dyDescent="0.35">
      <c r="A1279" s="178"/>
    </row>
    <row r="1280" spans="1:1" x14ac:dyDescent="0.35">
      <c r="A1280" s="178"/>
    </row>
    <row r="1281" spans="1:1" x14ac:dyDescent="0.35">
      <c r="A1281" s="178"/>
    </row>
    <row r="1282" spans="1:1" x14ac:dyDescent="0.35">
      <c r="A1282" s="178"/>
    </row>
    <row r="1283" spans="1:1" x14ac:dyDescent="0.35">
      <c r="A1283" s="178"/>
    </row>
    <row r="1284" spans="1:1" x14ac:dyDescent="0.35">
      <c r="A1284" s="178"/>
    </row>
    <row r="1285" spans="1:1" x14ac:dyDescent="0.35">
      <c r="A1285" s="178"/>
    </row>
    <row r="1286" spans="1:1" x14ac:dyDescent="0.35">
      <c r="A1286" s="178"/>
    </row>
    <row r="1287" spans="1:1" x14ac:dyDescent="0.35">
      <c r="A1287" s="178"/>
    </row>
    <row r="1288" spans="1:1" x14ac:dyDescent="0.35">
      <c r="A1288" s="178"/>
    </row>
    <row r="1289" spans="1:1" x14ac:dyDescent="0.35">
      <c r="A1289" s="178"/>
    </row>
    <row r="1290" spans="1:1" x14ac:dyDescent="0.35">
      <c r="A1290" s="178"/>
    </row>
    <row r="1291" spans="1:1" x14ac:dyDescent="0.35">
      <c r="A1291" s="178"/>
    </row>
    <row r="1292" spans="1:1" x14ac:dyDescent="0.35">
      <c r="A1292" s="178"/>
    </row>
    <row r="1293" spans="1:1" x14ac:dyDescent="0.35">
      <c r="A1293" s="178"/>
    </row>
    <row r="1294" spans="1:1" x14ac:dyDescent="0.35">
      <c r="A1294" s="178"/>
    </row>
    <row r="1295" spans="1:1" x14ac:dyDescent="0.35">
      <c r="A1295" s="178"/>
    </row>
    <row r="1296" spans="1:1" x14ac:dyDescent="0.35">
      <c r="A1296" s="178"/>
    </row>
    <row r="1297" spans="1:1" x14ac:dyDescent="0.35">
      <c r="A1297" s="178"/>
    </row>
    <row r="1298" spans="1:1" x14ac:dyDescent="0.35">
      <c r="A1298" s="178"/>
    </row>
    <row r="1299" spans="1:1" x14ac:dyDescent="0.35">
      <c r="A1299" s="178"/>
    </row>
    <row r="1300" spans="1:1" x14ac:dyDescent="0.35">
      <c r="A1300" s="178"/>
    </row>
    <row r="1301" spans="1:1" x14ac:dyDescent="0.35">
      <c r="A1301" s="178"/>
    </row>
    <row r="1302" spans="1:1" x14ac:dyDescent="0.35">
      <c r="A1302" s="178"/>
    </row>
    <row r="1303" spans="1:1" x14ac:dyDescent="0.35">
      <c r="A1303" s="178"/>
    </row>
    <row r="1304" spans="1:1" x14ac:dyDescent="0.35">
      <c r="A1304" s="178"/>
    </row>
    <row r="1305" spans="1:1" x14ac:dyDescent="0.35">
      <c r="A1305" s="178"/>
    </row>
    <row r="1306" spans="1:1" x14ac:dyDescent="0.35">
      <c r="A1306" s="178"/>
    </row>
    <row r="1307" spans="1:1" x14ac:dyDescent="0.35">
      <c r="A1307" s="178"/>
    </row>
    <row r="1308" spans="1:1" x14ac:dyDescent="0.35">
      <c r="A1308" s="178"/>
    </row>
    <row r="1309" spans="1:1" x14ac:dyDescent="0.35">
      <c r="A1309" s="178"/>
    </row>
    <row r="1310" spans="1:1" x14ac:dyDescent="0.35">
      <c r="A1310" s="178"/>
    </row>
    <row r="1311" spans="1:1" x14ac:dyDescent="0.35">
      <c r="A1311" s="178"/>
    </row>
    <row r="1312" spans="1:1" x14ac:dyDescent="0.35">
      <c r="A1312" s="178"/>
    </row>
    <row r="1313" spans="1:1" x14ac:dyDescent="0.35">
      <c r="A1313" s="178"/>
    </row>
    <row r="1314" spans="1:1" x14ac:dyDescent="0.35">
      <c r="A1314" s="178"/>
    </row>
    <row r="1315" spans="1:1" x14ac:dyDescent="0.35">
      <c r="A1315" s="178"/>
    </row>
    <row r="1316" spans="1:1" x14ac:dyDescent="0.35">
      <c r="A1316" s="178"/>
    </row>
    <row r="1317" spans="1:1" x14ac:dyDescent="0.35">
      <c r="A1317" s="178"/>
    </row>
    <row r="1318" spans="1:1" x14ac:dyDescent="0.35">
      <c r="A1318" s="178"/>
    </row>
    <row r="1319" spans="1:1" x14ac:dyDescent="0.35">
      <c r="A1319" s="178"/>
    </row>
    <row r="1320" spans="1:1" x14ac:dyDescent="0.35">
      <c r="A1320" s="178"/>
    </row>
    <row r="1321" spans="1:1" x14ac:dyDescent="0.35">
      <c r="A1321" s="178"/>
    </row>
    <row r="1322" spans="1:1" x14ac:dyDescent="0.35">
      <c r="A1322" s="178"/>
    </row>
    <row r="1323" spans="1:1" x14ac:dyDescent="0.35">
      <c r="A1323" s="178"/>
    </row>
    <row r="1324" spans="1:1" x14ac:dyDescent="0.35">
      <c r="A1324" s="178"/>
    </row>
    <row r="1325" spans="1:1" x14ac:dyDescent="0.35">
      <c r="A1325" s="178"/>
    </row>
    <row r="1326" spans="1:1" x14ac:dyDescent="0.35">
      <c r="A1326" s="178"/>
    </row>
    <row r="1327" spans="1:1" x14ac:dyDescent="0.35">
      <c r="A1327" s="178"/>
    </row>
    <row r="1328" spans="1:1" x14ac:dyDescent="0.35">
      <c r="A1328" s="178"/>
    </row>
    <row r="1329" spans="1:1" x14ac:dyDescent="0.35">
      <c r="A1329" s="178"/>
    </row>
    <row r="1330" spans="1:1" x14ac:dyDescent="0.35">
      <c r="A1330" s="178"/>
    </row>
    <row r="1331" spans="1:1" x14ac:dyDescent="0.35">
      <c r="A1331" s="178"/>
    </row>
    <row r="1332" spans="1:1" x14ac:dyDescent="0.35">
      <c r="A1332" s="178"/>
    </row>
    <row r="1333" spans="1:1" x14ac:dyDescent="0.35">
      <c r="A1333" s="178"/>
    </row>
    <row r="1334" spans="1:1" x14ac:dyDescent="0.35">
      <c r="A1334" s="178"/>
    </row>
    <row r="1335" spans="1:1" x14ac:dyDescent="0.35">
      <c r="A1335" s="178"/>
    </row>
    <row r="1336" spans="1:1" x14ac:dyDescent="0.35">
      <c r="A1336" s="178"/>
    </row>
    <row r="1337" spans="1:1" x14ac:dyDescent="0.35">
      <c r="A1337" s="178"/>
    </row>
    <row r="1338" spans="1:1" x14ac:dyDescent="0.35">
      <c r="A1338" s="178"/>
    </row>
    <row r="1339" spans="1:1" x14ac:dyDescent="0.35">
      <c r="A1339" s="178"/>
    </row>
    <row r="1340" spans="1:1" x14ac:dyDescent="0.35">
      <c r="A1340" s="178"/>
    </row>
    <row r="1341" spans="1:1" x14ac:dyDescent="0.35">
      <c r="A1341" s="178"/>
    </row>
    <row r="1342" spans="1:1" x14ac:dyDescent="0.35">
      <c r="A1342" s="178"/>
    </row>
    <row r="1343" spans="1:1" x14ac:dyDescent="0.35">
      <c r="A1343" s="178"/>
    </row>
    <row r="1344" spans="1:1" x14ac:dyDescent="0.35">
      <c r="A1344" s="178"/>
    </row>
    <row r="1345" spans="1:1" x14ac:dyDescent="0.35">
      <c r="A1345" s="178"/>
    </row>
    <row r="1346" spans="1:1" x14ac:dyDescent="0.35">
      <c r="A1346" s="178"/>
    </row>
    <row r="1347" spans="1:1" x14ac:dyDescent="0.35">
      <c r="A1347" s="178"/>
    </row>
    <row r="1348" spans="1:1" x14ac:dyDescent="0.35">
      <c r="A1348" s="178"/>
    </row>
    <row r="1349" spans="1:1" x14ac:dyDescent="0.35">
      <c r="A1349" s="178"/>
    </row>
    <row r="1350" spans="1:1" x14ac:dyDescent="0.35">
      <c r="A1350" s="178"/>
    </row>
    <row r="1351" spans="1:1" x14ac:dyDescent="0.35">
      <c r="A1351" s="178"/>
    </row>
    <row r="1352" spans="1:1" x14ac:dyDescent="0.35">
      <c r="A1352" s="178"/>
    </row>
    <row r="1353" spans="1:1" x14ac:dyDescent="0.35">
      <c r="A1353" s="178"/>
    </row>
    <row r="1354" spans="1:1" x14ac:dyDescent="0.35">
      <c r="A1354" s="178"/>
    </row>
    <row r="1355" spans="1:1" x14ac:dyDescent="0.35">
      <c r="A1355" s="178"/>
    </row>
    <row r="1356" spans="1:1" x14ac:dyDescent="0.35">
      <c r="A1356" s="178"/>
    </row>
    <row r="1357" spans="1:1" x14ac:dyDescent="0.35">
      <c r="A1357" s="178"/>
    </row>
    <row r="1358" spans="1:1" x14ac:dyDescent="0.35">
      <c r="A1358" s="178"/>
    </row>
    <row r="1359" spans="1:1" x14ac:dyDescent="0.35">
      <c r="A1359" s="178"/>
    </row>
    <row r="1360" spans="1:1" x14ac:dyDescent="0.35">
      <c r="A1360" s="178"/>
    </row>
    <row r="1361" spans="1:1" x14ac:dyDescent="0.35">
      <c r="A1361" s="178"/>
    </row>
    <row r="1362" spans="1:1" x14ac:dyDescent="0.35">
      <c r="A1362" s="178"/>
    </row>
    <row r="1363" spans="1:1" x14ac:dyDescent="0.35">
      <c r="A1363" s="178"/>
    </row>
    <row r="1364" spans="1:1" x14ac:dyDescent="0.35">
      <c r="A1364" s="178"/>
    </row>
    <row r="1365" spans="1:1" x14ac:dyDescent="0.35">
      <c r="A1365" s="178"/>
    </row>
    <row r="1366" spans="1:1" x14ac:dyDescent="0.35">
      <c r="A1366" s="178"/>
    </row>
    <row r="1367" spans="1:1" x14ac:dyDescent="0.35">
      <c r="A1367" s="178"/>
    </row>
    <row r="1368" spans="1:1" x14ac:dyDescent="0.35">
      <c r="A1368" s="178"/>
    </row>
    <row r="1369" spans="1:1" x14ac:dyDescent="0.35">
      <c r="A1369" s="178"/>
    </row>
    <row r="1370" spans="1:1" x14ac:dyDescent="0.35">
      <c r="A1370" s="178"/>
    </row>
    <row r="1371" spans="1:1" x14ac:dyDescent="0.35">
      <c r="A1371" s="178"/>
    </row>
    <row r="1372" spans="1:1" x14ac:dyDescent="0.35">
      <c r="A1372" s="178"/>
    </row>
    <row r="1373" spans="1:1" x14ac:dyDescent="0.35">
      <c r="A1373" s="178"/>
    </row>
    <row r="1374" spans="1:1" x14ac:dyDescent="0.35">
      <c r="A1374" s="178"/>
    </row>
    <row r="1375" spans="1:1" x14ac:dyDescent="0.35">
      <c r="A1375" s="178"/>
    </row>
    <row r="1376" spans="1:1" x14ac:dyDescent="0.35">
      <c r="A1376" s="178"/>
    </row>
    <row r="1377" spans="1:1" x14ac:dyDescent="0.35">
      <c r="A1377" s="178"/>
    </row>
    <row r="1378" spans="1:1" x14ac:dyDescent="0.35">
      <c r="A1378" s="178"/>
    </row>
    <row r="1379" spans="1:1" x14ac:dyDescent="0.35">
      <c r="A1379" s="178"/>
    </row>
    <row r="1380" spans="1:1" x14ac:dyDescent="0.35">
      <c r="A1380" s="178"/>
    </row>
    <row r="1381" spans="1:1" x14ac:dyDescent="0.35">
      <c r="A1381" s="178"/>
    </row>
    <row r="1382" spans="1:1" x14ac:dyDescent="0.35">
      <c r="A1382" s="178"/>
    </row>
    <row r="1383" spans="1:1" x14ac:dyDescent="0.35">
      <c r="A1383" s="178"/>
    </row>
    <row r="1384" spans="1:1" x14ac:dyDescent="0.35">
      <c r="A1384" s="178"/>
    </row>
    <row r="1385" spans="1:1" x14ac:dyDescent="0.35">
      <c r="A1385" s="178"/>
    </row>
    <row r="1386" spans="1:1" x14ac:dyDescent="0.35">
      <c r="A1386" s="178"/>
    </row>
    <row r="1387" spans="1:1" x14ac:dyDescent="0.35">
      <c r="A1387" s="178"/>
    </row>
    <row r="1388" spans="1:1" x14ac:dyDescent="0.35">
      <c r="A1388" s="178"/>
    </row>
    <row r="1389" spans="1:1" x14ac:dyDescent="0.35">
      <c r="A1389" s="178"/>
    </row>
    <row r="1390" spans="1:1" x14ac:dyDescent="0.35">
      <c r="A1390" s="178"/>
    </row>
    <row r="1391" spans="1:1" x14ac:dyDescent="0.35">
      <c r="A1391" s="178"/>
    </row>
    <row r="1392" spans="1:1" x14ac:dyDescent="0.35">
      <c r="A1392" s="178"/>
    </row>
    <row r="1393" spans="1:1" x14ac:dyDescent="0.35">
      <c r="A1393" s="178"/>
    </row>
    <row r="1394" spans="1:1" x14ac:dyDescent="0.35">
      <c r="A1394" s="178"/>
    </row>
    <row r="1395" spans="1:1" x14ac:dyDescent="0.35">
      <c r="A1395" s="178"/>
    </row>
    <row r="1396" spans="1:1" x14ac:dyDescent="0.35">
      <c r="A1396" s="178"/>
    </row>
    <row r="1397" spans="1:1" x14ac:dyDescent="0.35">
      <c r="A1397" s="178"/>
    </row>
    <row r="1398" spans="1:1" x14ac:dyDescent="0.35">
      <c r="A1398" s="178"/>
    </row>
    <row r="1399" spans="1:1" x14ac:dyDescent="0.35">
      <c r="A1399" s="178"/>
    </row>
    <row r="1400" spans="1:1" x14ac:dyDescent="0.35">
      <c r="A1400" s="178"/>
    </row>
    <row r="1401" spans="1:1" x14ac:dyDescent="0.35">
      <c r="A1401" s="178"/>
    </row>
    <row r="1402" spans="1:1" x14ac:dyDescent="0.35">
      <c r="A1402" s="178"/>
    </row>
    <row r="1403" spans="1:1" x14ac:dyDescent="0.35">
      <c r="A1403" s="178"/>
    </row>
    <row r="1404" spans="1:1" x14ac:dyDescent="0.35">
      <c r="A1404" s="178"/>
    </row>
    <row r="1405" spans="1:1" x14ac:dyDescent="0.35">
      <c r="A1405" s="178"/>
    </row>
    <row r="1406" spans="1:1" x14ac:dyDescent="0.35">
      <c r="A1406" s="178"/>
    </row>
    <row r="1407" spans="1:1" x14ac:dyDescent="0.35">
      <c r="A1407" s="178"/>
    </row>
    <row r="1408" spans="1:1" x14ac:dyDescent="0.35">
      <c r="A1408" s="178"/>
    </row>
    <row r="1409" spans="1:1" x14ac:dyDescent="0.35">
      <c r="A1409" s="178"/>
    </row>
    <row r="1410" spans="1:1" x14ac:dyDescent="0.35">
      <c r="A1410" s="178"/>
    </row>
    <row r="1411" spans="1:1" x14ac:dyDescent="0.35">
      <c r="A1411" s="178"/>
    </row>
    <row r="1412" spans="1:1" x14ac:dyDescent="0.35">
      <c r="A1412" s="178"/>
    </row>
    <row r="1413" spans="1:1" x14ac:dyDescent="0.35">
      <c r="A1413" s="178"/>
    </row>
    <row r="1414" spans="1:1" x14ac:dyDescent="0.35">
      <c r="A1414" s="178"/>
    </row>
    <row r="1415" spans="1:1" x14ac:dyDescent="0.35">
      <c r="A1415" s="178"/>
    </row>
    <row r="1416" spans="1:1" x14ac:dyDescent="0.35">
      <c r="A1416" s="178"/>
    </row>
    <row r="1417" spans="1:1" x14ac:dyDescent="0.35">
      <c r="A1417" s="178"/>
    </row>
    <row r="1418" spans="1:1" x14ac:dyDescent="0.35">
      <c r="A1418" s="178"/>
    </row>
    <row r="1419" spans="1:1" x14ac:dyDescent="0.35">
      <c r="A1419" s="178"/>
    </row>
    <row r="1420" spans="1:1" x14ac:dyDescent="0.35">
      <c r="A1420" s="178"/>
    </row>
    <row r="1421" spans="1:1" x14ac:dyDescent="0.35">
      <c r="A1421" s="178"/>
    </row>
    <row r="1422" spans="1:1" x14ac:dyDescent="0.35">
      <c r="A1422" s="178"/>
    </row>
    <row r="1423" spans="1:1" x14ac:dyDescent="0.35">
      <c r="A1423" s="178"/>
    </row>
    <row r="1424" spans="1:1" x14ac:dyDescent="0.35">
      <c r="A1424" s="178"/>
    </row>
    <row r="1425" spans="1:1" x14ac:dyDescent="0.35">
      <c r="A1425" s="178"/>
    </row>
    <row r="1426" spans="1:1" x14ac:dyDescent="0.35">
      <c r="A1426" s="178"/>
    </row>
    <row r="1427" spans="1:1" x14ac:dyDescent="0.35">
      <c r="A1427" s="223"/>
    </row>
    <row r="1428" spans="1:1" x14ac:dyDescent="0.35">
      <c r="A1428" s="178"/>
    </row>
    <row r="1429" spans="1:1" x14ac:dyDescent="0.35">
      <c r="A1429" s="178"/>
    </row>
    <row r="1430" spans="1:1" x14ac:dyDescent="0.35">
      <c r="A1430" s="178"/>
    </row>
    <row r="1431" spans="1:1" x14ac:dyDescent="0.35">
      <c r="A1431" s="178"/>
    </row>
    <row r="1432" spans="1:1" x14ac:dyDescent="0.35">
      <c r="A1432" s="178"/>
    </row>
    <row r="1433" spans="1:1" x14ac:dyDescent="0.35">
      <c r="A1433" s="178"/>
    </row>
    <row r="1434" spans="1:1" x14ac:dyDescent="0.35">
      <c r="A1434" s="178"/>
    </row>
    <row r="1435" spans="1:1" x14ac:dyDescent="0.35">
      <c r="A1435" s="178"/>
    </row>
    <row r="1436" spans="1:1" x14ac:dyDescent="0.35">
      <c r="A1436" s="178"/>
    </row>
    <row r="1437" spans="1:1" x14ac:dyDescent="0.35">
      <c r="A1437" s="178"/>
    </row>
    <row r="1438" spans="1:1" x14ac:dyDescent="0.35">
      <c r="A1438" s="178"/>
    </row>
    <row r="1439" spans="1:1" x14ac:dyDescent="0.35">
      <c r="A1439" s="178"/>
    </row>
    <row r="1440" spans="1:1" x14ac:dyDescent="0.35">
      <c r="A1440" s="178"/>
    </row>
    <row r="1441" spans="1:1" x14ac:dyDescent="0.35">
      <c r="A1441" s="178"/>
    </row>
    <row r="1442" spans="1:1" x14ac:dyDescent="0.35">
      <c r="A1442" s="178"/>
    </row>
    <row r="1443" spans="1:1" x14ac:dyDescent="0.35">
      <c r="A1443" s="178"/>
    </row>
    <row r="1444" spans="1:1" x14ac:dyDescent="0.35">
      <c r="A1444" s="178"/>
    </row>
    <row r="1445" spans="1:1" x14ac:dyDescent="0.35">
      <c r="A1445" s="178"/>
    </row>
    <row r="1446" spans="1:1" x14ac:dyDescent="0.35">
      <c r="A1446" s="178"/>
    </row>
    <row r="1447" spans="1:1" x14ac:dyDescent="0.35">
      <c r="A1447" s="178"/>
    </row>
    <row r="1448" spans="1:1" x14ac:dyDescent="0.35">
      <c r="A1448" s="178"/>
    </row>
    <row r="1449" spans="1:1" x14ac:dyDescent="0.35">
      <c r="A1449" s="178"/>
    </row>
    <row r="1450" spans="1:1" x14ac:dyDescent="0.35">
      <c r="A1450" s="178"/>
    </row>
    <row r="1451" spans="1:1" x14ac:dyDescent="0.35">
      <c r="A1451" s="178"/>
    </row>
    <row r="1452" spans="1:1" x14ac:dyDescent="0.35">
      <c r="A1452" s="178"/>
    </row>
    <row r="1453" spans="1:1" x14ac:dyDescent="0.35">
      <c r="A1453" s="178"/>
    </row>
    <row r="1454" spans="1:1" x14ac:dyDescent="0.35">
      <c r="A1454" s="178"/>
    </row>
    <row r="1455" spans="1:1" x14ac:dyDescent="0.35">
      <c r="A1455" s="178"/>
    </row>
    <row r="1456" spans="1:1" x14ac:dyDescent="0.35">
      <c r="A1456" s="178"/>
    </row>
    <row r="1457" spans="1:1" x14ac:dyDescent="0.35">
      <c r="A1457" s="178"/>
    </row>
    <row r="1458" spans="1:1" x14ac:dyDescent="0.35">
      <c r="A1458" s="178"/>
    </row>
    <row r="1459" spans="1:1" x14ac:dyDescent="0.35">
      <c r="A1459" s="178"/>
    </row>
    <row r="1460" spans="1:1" x14ac:dyDescent="0.35">
      <c r="A1460" s="178"/>
    </row>
    <row r="1461" spans="1:1" x14ac:dyDescent="0.35">
      <c r="A1461" s="178"/>
    </row>
    <row r="1462" spans="1:1" x14ac:dyDescent="0.35">
      <c r="A1462" s="178"/>
    </row>
    <row r="1463" spans="1:1" x14ac:dyDescent="0.35">
      <c r="A1463" s="178"/>
    </row>
    <row r="1464" spans="1:1" x14ac:dyDescent="0.35">
      <c r="A1464" s="178"/>
    </row>
    <row r="1465" spans="1:1" x14ac:dyDescent="0.35">
      <c r="A1465" s="178"/>
    </row>
    <row r="1466" spans="1:1" x14ac:dyDescent="0.35">
      <c r="A1466" s="178"/>
    </row>
    <row r="1467" spans="1:1" x14ac:dyDescent="0.35">
      <c r="A1467" s="178"/>
    </row>
    <row r="1468" spans="1:1" x14ac:dyDescent="0.35">
      <c r="A1468" s="178"/>
    </row>
    <row r="1469" spans="1:1" x14ac:dyDescent="0.35">
      <c r="A1469" s="178"/>
    </row>
    <row r="1470" spans="1:1" x14ac:dyDescent="0.35">
      <c r="A1470" s="178"/>
    </row>
    <row r="1471" spans="1:1" x14ac:dyDescent="0.35">
      <c r="A1471" s="178"/>
    </row>
    <row r="1472" spans="1:1" x14ac:dyDescent="0.35">
      <c r="A1472" s="178"/>
    </row>
    <row r="1473" spans="1:1" x14ac:dyDescent="0.35">
      <c r="A1473" s="178"/>
    </row>
    <row r="1474" spans="1:1" x14ac:dyDescent="0.35">
      <c r="A1474" s="178"/>
    </row>
    <row r="1475" spans="1:1" x14ac:dyDescent="0.35">
      <c r="A1475" s="178"/>
    </row>
    <row r="1476" spans="1:1" x14ac:dyDescent="0.35">
      <c r="A1476" s="178"/>
    </row>
    <row r="1477" spans="1:1" x14ac:dyDescent="0.35">
      <c r="A1477" s="178"/>
    </row>
    <row r="1478" spans="1:1" x14ac:dyDescent="0.35">
      <c r="A1478" s="178"/>
    </row>
    <row r="1479" spans="1:1" x14ac:dyDescent="0.35">
      <c r="A1479" s="178"/>
    </row>
    <row r="1480" spans="1:1" x14ac:dyDescent="0.35">
      <c r="A1480" s="178"/>
    </row>
    <row r="1481" spans="1:1" x14ac:dyDescent="0.35">
      <c r="A1481" s="178"/>
    </row>
    <row r="1482" spans="1:1" x14ac:dyDescent="0.35">
      <c r="A1482" s="178"/>
    </row>
    <row r="1483" spans="1:1" x14ac:dyDescent="0.35">
      <c r="A1483" s="178"/>
    </row>
    <row r="1484" spans="1:1" x14ac:dyDescent="0.35">
      <c r="A1484" s="178"/>
    </row>
    <row r="1485" spans="1:1" x14ac:dyDescent="0.35">
      <c r="A1485" s="178"/>
    </row>
    <row r="1486" spans="1:1" x14ac:dyDescent="0.35">
      <c r="A1486" s="178"/>
    </row>
    <row r="1487" spans="1:1" x14ac:dyDescent="0.35">
      <c r="A1487" s="178"/>
    </row>
    <row r="1488" spans="1:1" x14ac:dyDescent="0.35">
      <c r="A1488" s="178"/>
    </row>
    <row r="1489" spans="1:1" x14ac:dyDescent="0.35">
      <c r="A1489" s="178"/>
    </row>
    <row r="1490" spans="1:1" x14ac:dyDescent="0.35">
      <c r="A1490" s="178"/>
    </row>
    <row r="1491" spans="1:1" x14ac:dyDescent="0.35">
      <c r="A1491" s="178"/>
    </row>
    <row r="1492" spans="1:1" x14ac:dyDescent="0.35">
      <c r="A1492" s="178"/>
    </row>
    <row r="1493" spans="1:1" x14ac:dyDescent="0.35">
      <c r="A1493" s="178"/>
    </row>
    <row r="1494" spans="1:1" x14ac:dyDescent="0.35">
      <c r="A1494" s="178"/>
    </row>
    <row r="1495" spans="1:1" x14ac:dyDescent="0.35">
      <c r="A1495" s="178"/>
    </row>
    <row r="1496" spans="1:1" x14ac:dyDescent="0.35">
      <c r="A1496" s="178"/>
    </row>
    <row r="1497" spans="1:1" x14ac:dyDescent="0.35">
      <c r="A1497" s="178"/>
    </row>
    <row r="1498" spans="1:1" x14ac:dyDescent="0.35">
      <c r="A1498" s="178"/>
    </row>
    <row r="1499" spans="1:1" x14ac:dyDescent="0.35">
      <c r="A1499" s="178"/>
    </row>
    <row r="1500" spans="1:1" x14ac:dyDescent="0.35">
      <c r="A1500" s="178"/>
    </row>
    <row r="1501" spans="1:1" x14ac:dyDescent="0.35">
      <c r="A1501" s="178"/>
    </row>
    <row r="1502" spans="1:1" x14ac:dyDescent="0.35">
      <c r="A1502" s="178"/>
    </row>
    <row r="1503" spans="1:1" x14ac:dyDescent="0.35">
      <c r="A1503" s="178"/>
    </row>
    <row r="1504" spans="1:1" x14ac:dyDescent="0.35">
      <c r="A1504" s="178"/>
    </row>
    <row r="1505" spans="1:1" x14ac:dyDescent="0.35">
      <c r="A1505" s="178"/>
    </row>
    <row r="1506" spans="1:1" x14ac:dyDescent="0.35">
      <c r="A1506" s="178"/>
    </row>
    <row r="1507" spans="1:1" x14ac:dyDescent="0.35">
      <c r="A1507" s="178"/>
    </row>
    <row r="1508" spans="1:1" x14ac:dyDescent="0.35">
      <c r="A1508" s="178"/>
    </row>
    <row r="1509" spans="1:1" x14ac:dyDescent="0.35">
      <c r="A1509" s="178"/>
    </row>
    <row r="1510" spans="1:1" x14ac:dyDescent="0.35">
      <c r="A1510" s="178"/>
    </row>
    <row r="1511" spans="1:1" x14ac:dyDescent="0.35">
      <c r="A1511" s="178"/>
    </row>
    <row r="1512" spans="1:1" x14ac:dyDescent="0.35">
      <c r="A1512" s="178"/>
    </row>
    <row r="1513" spans="1:1" x14ac:dyDescent="0.35">
      <c r="A1513" s="178"/>
    </row>
    <row r="1514" spans="1:1" x14ac:dyDescent="0.35">
      <c r="A1514" s="178"/>
    </row>
    <row r="1515" spans="1:1" x14ac:dyDescent="0.35">
      <c r="A1515" s="178"/>
    </row>
    <row r="1516" spans="1:1" x14ac:dyDescent="0.35">
      <c r="A1516" s="178"/>
    </row>
    <row r="1517" spans="1:1" x14ac:dyDescent="0.35">
      <c r="A1517" s="178"/>
    </row>
    <row r="1518" spans="1:1" x14ac:dyDescent="0.35">
      <c r="A1518" s="178"/>
    </row>
    <row r="1519" spans="1:1" x14ac:dyDescent="0.35">
      <c r="A1519" s="178"/>
    </row>
  </sheetData>
  <sortState xmlns:xlrd2="http://schemas.microsoft.com/office/spreadsheetml/2017/richdata2" ref="A4:C1518">
    <sortCondition descending="1" ref="B4:B1518"/>
  </sortState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Monthly sheet </vt:lpstr>
      <vt:lpstr>Sheet1</vt:lpstr>
      <vt:lpstr>Sheet2</vt:lpstr>
      <vt:lpstr>Balance sheet </vt:lpstr>
      <vt:lpstr>Income Statement </vt:lpstr>
      <vt:lpstr>Year to date</vt:lpstr>
      <vt:lpstr>Debtors </vt:lpstr>
      <vt:lpstr>Suppliers </vt:lpstr>
      <vt:lpstr>Sales </vt:lpstr>
      <vt:lpstr>Invoices</vt:lpstr>
      <vt:lpstr>Stock </vt:lpstr>
      <vt:lpstr>Per Customer </vt:lpstr>
      <vt:lpstr>Hannitan</vt:lpstr>
      <vt:lpstr>FLW</vt:lpstr>
      <vt:lpstr>Customer for the year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Sannette</dc:creator>
  <cp:lastModifiedBy>Sannette Potgieter</cp:lastModifiedBy>
  <cp:lastPrinted>2026-04-01T13:38:24Z</cp:lastPrinted>
  <dcterms:created xsi:type="dcterms:W3CDTF">2015-08-14T09:28:44Z</dcterms:created>
  <dcterms:modified xsi:type="dcterms:W3CDTF">2026-05-08T11:05:35Z</dcterms:modified>
</cp:coreProperties>
</file>