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nette\Desktop\Work Folder\Companies\1. African Gameskin\Reports\MONTLY INFO DENZIL\2027\"/>
    </mc:Choice>
  </mc:AlternateContent>
  <xr:revisionPtr revIDLastSave="0" documentId="13_ncr:1_{5DCCB9C7-B0C9-4F06-B800-F30B8BB7722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nthly sheet " sheetId="14" r:id="rId1"/>
    <sheet name="Balance sheet " sheetId="1" r:id="rId2"/>
    <sheet name="Income Statement " sheetId="3" r:id="rId3"/>
    <sheet name="Year to date" sheetId="19" r:id="rId4"/>
    <sheet name="Debtors " sheetId="4" r:id="rId5"/>
    <sheet name="Suppliers " sheetId="6" r:id="rId6"/>
    <sheet name="Sales " sheetId="8" r:id="rId7"/>
    <sheet name="Invoices" sheetId="9" r:id="rId8"/>
    <sheet name="Stock " sheetId="11" r:id="rId9"/>
    <sheet name="Per Customer " sheetId="12" r:id="rId10"/>
    <sheet name="Hannitan" sheetId="20" r:id="rId11"/>
    <sheet name="FLW" sheetId="18" r:id="rId12"/>
    <sheet name="Customer for the year" sheetId="21" r:id="rId13"/>
  </sheets>
  <externalReferences>
    <externalReference r:id="rId14"/>
    <externalReference r:id="rId15"/>
    <externalReference r:id="rId16"/>
  </externalReferences>
  <definedNames>
    <definedName name="_xlnm._FilterDatabase" localSheetId="7" hidden="1">Invoices!$A$4:$G$1848</definedName>
    <definedName name="_xlnm._FilterDatabase" localSheetId="9" hidden="1">'Per Customer '!$A$3:$D$522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7" i="14" l="1"/>
  <c r="K46" i="14"/>
  <c r="K45" i="14"/>
  <c r="K44" i="14"/>
  <c r="M47" i="14"/>
  <c r="M46" i="14"/>
  <c r="M45" i="14"/>
  <c r="M39" i="14" l="1"/>
  <c r="L28" i="14" l="1"/>
  <c r="L31" i="14" l="1"/>
  <c r="H28" i="14"/>
  <c r="L14" i="14"/>
  <c r="L7" i="14"/>
  <c r="L6" i="14"/>
  <c r="H24" i="14"/>
  <c r="H23" i="14"/>
  <c r="H22" i="14"/>
  <c r="H21" i="14"/>
  <c r="H20" i="14"/>
  <c r="M37" i="14"/>
  <c r="L37" i="14"/>
  <c r="G8" i="14"/>
  <c r="G7" i="14"/>
  <c r="D49" i="20"/>
  <c r="B47" i="20"/>
  <c r="L36" i="14"/>
  <c r="M36" i="14" l="1"/>
  <c r="D26" i="18" l="1"/>
  <c r="L20" i="14"/>
  <c r="L22" i="14"/>
  <c r="L23" i="14"/>
  <c r="D27" i="20" l="1"/>
  <c r="D45" i="20" l="1"/>
  <c r="B45" i="20"/>
  <c r="G16" i="14"/>
  <c r="B26" i="18"/>
  <c r="G15" i="14" s="1"/>
  <c r="D11" i="14"/>
  <c r="C11" i="14"/>
  <c r="D47" i="20" l="1"/>
  <c r="G10" i="14"/>
  <c r="D28" i="18"/>
  <c r="D22" i="14"/>
  <c r="C40" i="8"/>
  <c r="B40" i="8"/>
  <c r="D47" i="14"/>
  <c r="C47" i="14"/>
  <c r="C22" i="14"/>
  <c r="M8" i="21" l="1"/>
  <c r="L9" i="21"/>
  <c r="L8" i="21"/>
  <c r="L30" i="14" l="1"/>
  <c r="L27" i="14"/>
  <c r="D7" i="14"/>
  <c r="D6" i="14"/>
  <c r="H29" i="14"/>
  <c r="C48" i="14" l="1"/>
  <c r="C36" i="14" s="1"/>
  <c r="M9" i="21"/>
  <c r="H36" i="14"/>
  <c r="L19" i="14" l="1"/>
  <c r="D48" i="14" l="1"/>
  <c r="C12" i="14" l="1"/>
  <c r="C13" i="14" l="1"/>
  <c r="L29" i="14" l="1"/>
  <c r="D13" i="14" l="1"/>
  <c r="G11" i="14"/>
  <c r="M31" i="14"/>
  <c r="M29" i="14"/>
  <c r="L32" i="14"/>
  <c r="M32" i="14" s="1"/>
  <c r="G17" i="14"/>
  <c r="C14" i="14" l="1"/>
  <c r="H31" i="14" l="1"/>
  <c r="H37" i="14" s="1"/>
  <c r="L15" i="14" l="1"/>
  <c r="D9" i="14" l="1"/>
  <c r="D42" i="14" s="1"/>
  <c r="D46" i="14" l="1"/>
  <c r="D49" i="14"/>
  <c r="L21" i="14"/>
  <c r="M23" i="14"/>
  <c r="H25" i="14"/>
  <c r="H34" i="14" s="1"/>
  <c r="L24" i="14" l="1"/>
  <c r="M24" i="14" s="1"/>
  <c r="M21" i="14"/>
  <c r="M40" i="14" l="1"/>
  <c r="H33" i="14" l="1"/>
  <c r="H40" i="14" s="1"/>
</calcChain>
</file>

<file path=xl/sharedStrings.xml><?xml version="1.0" encoding="utf-8"?>
<sst xmlns="http://schemas.openxmlformats.org/spreadsheetml/2006/main" count="7197" uniqueCount="3114">
  <si>
    <t>SALES</t>
  </si>
  <si>
    <t>COST OF SALES</t>
  </si>
  <si>
    <t>OTHER INCOME</t>
  </si>
  <si>
    <t>EXPENSES</t>
  </si>
  <si>
    <t>AFRICAN GAMESKIN GROUP (PTY) LTD</t>
  </si>
  <si>
    <t>PURCHASES</t>
  </si>
  <si>
    <t>BANK:</t>
  </si>
  <si>
    <t xml:space="preserve">TURNOVER </t>
  </si>
  <si>
    <t>HANNITAN - RECEIVED IN MONTH</t>
  </si>
  <si>
    <t>M2</t>
  </si>
  <si>
    <t>NEDBANK</t>
  </si>
  <si>
    <t>TURNOVER - EXPORTS</t>
  </si>
  <si>
    <t>VALUE EXCL VAT</t>
  </si>
  <si>
    <t>CFC</t>
  </si>
  <si>
    <t>LEATHER SOLD:</t>
  </si>
  <si>
    <t>AVERAGE SELLING PRICE:</t>
  </si>
  <si>
    <t>TURNOVER</t>
  </si>
  <si>
    <t>GROSS PROFIT</t>
  </si>
  <si>
    <t>NET PROFIT</t>
  </si>
  <si>
    <t xml:space="preserve">TOP 10 CUSTOMERS </t>
  </si>
  <si>
    <t>DM2</t>
  </si>
  <si>
    <t>VALUE</t>
  </si>
  <si>
    <t xml:space="preserve">AVERAGE PRICE </t>
  </si>
  <si>
    <t>CREDITORS AGING:</t>
  </si>
  <si>
    <t>CURRENT</t>
  </si>
  <si>
    <t>30DAYS</t>
  </si>
  <si>
    <t>60DAYS</t>
  </si>
  <si>
    <t>DEBTORS AGING AT END OF THE MONTH:</t>
  </si>
  <si>
    <t>STOCK</t>
  </si>
  <si>
    <t>DEBTORS</t>
  </si>
  <si>
    <t>90DAYS</t>
  </si>
  <si>
    <t xml:space="preserve">BANK </t>
  </si>
  <si>
    <t>120DAYS</t>
  </si>
  <si>
    <t>CREDITORS</t>
  </si>
  <si>
    <t>TOTAL STOCK:</t>
  </si>
  <si>
    <t>TOTAL CURRENT ASSETS:</t>
  </si>
  <si>
    <t>AVERAGE PURCHASE PRICE :</t>
  </si>
  <si>
    <t>LEATHER PURCHASED:</t>
  </si>
  <si>
    <t xml:space="preserve">INCOME STATEMENT YTD </t>
  </si>
  <si>
    <t>5% DISCOUNT</t>
  </si>
  <si>
    <t>JHB</t>
  </si>
  <si>
    <t>Durban</t>
  </si>
  <si>
    <t>FUSION LEATHER - RECEIVED IN MONTH</t>
  </si>
  <si>
    <t xml:space="preserve">SALES BREAKDOWN </t>
  </si>
  <si>
    <t xml:space="preserve">Total m2 sold </t>
  </si>
  <si>
    <t>LOAN ACCOUNTS</t>
  </si>
  <si>
    <t>AVERAGE PRICE</t>
  </si>
  <si>
    <t>TOTAL</t>
  </si>
  <si>
    <t>Cape Town</t>
  </si>
  <si>
    <t xml:space="preserve">JHB Branch </t>
  </si>
  <si>
    <t>Durban Branch</t>
  </si>
  <si>
    <t xml:space="preserve">Cape Town Branch </t>
  </si>
  <si>
    <t>Top 10 as % of total sales</t>
  </si>
  <si>
    <t>Hildene Inv</t>
  </si>
  <si>
    <t xml:space="preserve">Other </t>
  </si>
  <si>
    <t xml:space="preserve">Spolden Inv </t>
  </si>
  <si>
    <t>AFRICAN GAMESKIN GROUP (PTY) LTD  |  Prepared by:  African Gameskin</t>
  </si>
  <si>
    <t/>
  </si>
  <si>
    <t>Qty</t>
  </si>
  <si>
    <t>Total Selling</t>
  </si>
  <si>
    <t>Category : 000 - None</t>
  </si>
  <si>
    <t>Category : 001 - Gazelle</t>
  </si>
  <si>
    <t>Category : 002 - Woodland B JHB no print</t>
  </si>
  <si>
    <t>Category : 003 - Cape Buffalo</t>
  </si>
  <si>
    <t>Category : 004 - Classic Collection</t>
  </si>
  <si>
    <t>Category : 005 - Nappa Collection</t>
  </si>
  <si>
    <t>Category : 007 - Santos / Sorrento</t>
  </si>
  <si>
    <t>Category : 010 - Cow Suede Splits</t>
  </si>
  <si>
    <t>Category : 012 - Barcelona</t>
  </si>
  <si>
    <t>Category : 013 - Fusion Stock Lot</t>
  </si>
  <si>
    <t>Category : 015 - Navada</t>
  </si>
  <si>
    <t>Category : 016 - Nova</t>
  </si>
  <si>
    <t>Category : 017 - Woodland B with print</t>
  </si>
  <si>
    <t>Category : 018 - Impala</t>
  </si>
  <si>
    <t>Category : 019 - Oil Based</t>
  </si>
  <si>
    <t>Category : 020 - Daytona</t>
  </si>
  <si>
    <t>Category : 022 - Chicago</t>
  </si>
  <si>
    <t>Category : 024 - Vintage</t>
  </si>
  <si>
    <t>Category : 025 - Sanchez</t>
  </si>
  <si>
    <t>Category : 029 - Salvador</t>
  </si>
  <si>
    <t>Category : 030 - Sheraton</t>
  </si>
  <si>
    <t>Category : 033 - Cosmo</t>
  </si>
  <si>
    <t>Category : 034 - Veg Tan Leather</t>
  </si>
  <si>
    <t>Category : 036 - Diesel</t>
  </si>
  <si>
    <t>Category : 037 - Stock Lot</t>
  </si>
  <si>
    <t>Category : 038 - Texas</t>
  </si>
  <si>
    <t>Category : 039 - Etosha</t>
  </si>
  <si>
    <t>Category : 040 - Morocco</t>
  </si>
  <si>
    <t>Category : 045 - Enduro</t>
  </si>
  <si>
    <t>Category : 046 - Pista Walnut</t>
  </si>
  <si>
    <t>Category : 048 - Metalic</t>
  </si>
  <si>
    <t>Category : 050 - Eco Range</t>
  </si>
  <si>
    <t>Category : 051 - Antique</t>
  </si>
  <si>
    <t>GRAND TOTAL</t>
  </si>
  <si>
    <t>Category : 031 - Tuscan</t>
  </si>
  <si>
    <t>April 2026</t>
  </si>
  <si>
    <t>Category : 023 - Woodland B cricket print</t>
  </si>
  <si>
    <t>Average Selling Price:</t>
  </si>
  <si>
    <t>April 2025:  R312</t>
  </si>
  <si>
    <t>April 2026:  R324</t>
  </si>
  <si>
    <t>Ave Selling Price / m2</t>
  </si>
  <si>
    <t>Ave Purchase Price / m2</t>
  </si>
  <si>
    <t>Gross Profit / m2</t>
  </si>
  <si>
    <t>m2 sold</t>
  </si>
  <si>
    <t>Sales by Inventory Category 01/05/2026 to 31/05/2026</t>
  </si>
  <si>
    <t>Category : 049 - Candor</t>
  </si>
  <si>
    <t>DATE: MAY 2026</t>
  </si>
  <si>
    <t>May 2026</t>
  </si>
  <si>
    <t>STOCK - May 2026</t>
  </si>
  <si>
    <t>INCOME STATEMENT MAY 2026</t>
  </si>
  <si>
    <t>Purchase Items per Supplier : 01/05/2026 to 31/05/2026</t>
  </si>
  <si>
    <t>Unit Cost</t>
  </si>
  <si>
    <t>Total</t>
  </si>
  <si>
    <t>Supplier : HAN001 - HANNITAN LEATHER CC</t>
  </si>
  <si>
    <t>Item : ANT002 - ANTIQUE BLACK</t>
  </si>
  <si>
    <t>Item : ANT003 - ANTIQUE CHOCOLATE</t>
  </si>
  <si>
    <t>Item : ANT004 - ANTIQUE TOBACCO</t>
  </si>
  <si>
    <t>Item : BWO001 - WOODLAND B PRINT SPICE</t>
  </si>
  <si>
    <t>Item : BWO002 - WOODLAND B PRINT TAN</t>
  </si>
  <si>
    <t>Item : BWO003 - WOODLAND B PRINT BROWN</t>
  </si>
  <si>
    <t>Item : CAP003 - CAPE BUFFALO BUTTERSCOTCH</t>
  </si>
  <si>
    <t>Item : CAP009 - CAPE BUFFALO RUST</t>
  </si>
  <si>
    <t>Item : CAS001 - CASTROL TOFFEE</t>
  </si>
  <si>
    <t>Item : CAS003 - CASTROL BLACK</t>
  </si>
  <si>
    <t>Item : CAS005 - CASTROL DENIM</t>
  </si>
  <si>
    <t>Item : CAS006 - CASTROL TOBACCO</t>
  </si>
  <si>
    <t>Item : CAS007 - CASTROL COCOA MILLED</t>
  </si>
  <si>
    <t>Item : DAY006 - DAYTONA TAN</t>
  </si>
  <si>
    <t>Item : DIE001 - DIESEL BROWN</t>
  </si>
  <si>
    <t>Item : DIE018 - DIESEL TOBACCO</t>
  </si>
  <si>
    <t>Item : ETO001 - ETOSHA RUST</t>
  </si>
  <si>
    <t>Item : ETO002 - ETOSHA PECAN</t>
  </si>
  <si>
    <t>Item : ETO003 - ETOSHA CHESTNUT</t>
  </si>
  <si>
    <t>Item : IMP004 - IMPALA BLACK</t>
  </si>
  <si>
    <t>Item : MOR004 - MOROCCO STRAW</t>
  </si>
  <si>
    <t>Item : NAP010 - BALLET NAPPA SIDES NUDE</t>
  </si>
  <si>
    <t>Item : NAV001 - NAVADA CERISE</t>
  </si>
  <si>
    <t>Item : NAV004 - NAVADA BLACK</t>
  </si>
  <si>
    <t>Item : NAV006 - NAVADA BROWN</t>
  </si>
  <si>
    <t>Item : NOV003 - NOVA BROWN</t>
  </si>
  <si>
    <t>Item : PUL010 - CLASSIC MUSTARD</t>
  </si>
  <si>
    <t>Item : SAN006 - SANTOS COTTON WHITE</t>
  </si>
  <si>
    <t>Item : SAN010 - SANTOS ICE WHITE</t>
  </si>
  <si>
    <t>Item : SAN012 - SANTOS AQUA</t>
  </si>
  <si>
    <t>Item : SAN013 - SANTOS BASIL</t>
  </si>
  <si>
    <t>Item : SAN015 - SANTOS COFFEE</t>
  </si>
  <si>
    <t>Item : SAN016 - SANTOS LIQUORICE</t>
  </si>
  <si>
    <t>Item : SAN017 - SANTOS PAPRIKA</t>
  </si>
  <si>
    <t>Item : SOR001 - SORRENTO BLACK</t>
  </si>
  <si>
    <t>Item : SOR011 - SORRENTO COFFEE</t>
  </si>
  <si>
    <t>Item : URB010 - URBAN HAZELNUT</t>
  </si>
  <si>
    <t>Item : VIN003 - VINTAGE BLACK</t>
  </si>
  <si>
    <t>Item : WLS002 - WOODLAND TAN B</t>
  </si>
  <si>
    <t>Total for Supplier : HAN001 - HANNITAN LEATHER CC</t>
  </si>
  <si>
    <t>Supplier : TAN001 - FUSION LEATHER WORLD</t>
  </si>
  <si>
    <t>Item : CAN032 - CANDOR BONE WHITE</t>
  </si>
  <si>
    <t>Item : COW001 - COW SUEDE SPLITS CHOC</t>
  </si>
  <si>
    <t>Item : COW010 - COW SUEDE SPLITS DUSTY BLUE</t>
  </si>
  <si>
    <t>Item : COW011 - COW SUEDE TAN SUB: 1.6/1.8mm</t>
  </si>
  <si>
    <t>Item : ECO008 - ECO TAN</t>
  </si>
  <si>
    <t>Item : HAV001 - HAVANA PLUS WALNUT</t>
  </si>
  <si>
    <t>Item : HAV004 - HAVANA PLUS PLUS WALNUT</t>
  </si>
  <si>
    <t>Item : PIT001 - PITSTOP CIGAR</t>
  </si>
  <si>
    <t>Item : ROS002 - ROSY NAPPA BLACK</t>
  </si>
  <si>
    <t>Item : SAL007 - SALVADOR DARK CHOC</t>
  </si>
  <si>
    <t>Item : TEX004 - TEXAS HAZELNUT</t>
  </si>
  <si>
    <t>Item : TEX005 - TEXAS BLACK</t>
  </si>
  <si>
    <t>Item : TEX012 - TEXAS PLUS BLACK</t>
  </si>
  <si>
    <t>Item : TEX018 - TEXAS MOSS</t>
  </si>
  <si>
    <t>Item : TEX027 - TEXAS CAPRI</t>
  </si>
  <si>
    <t>Item : TEX030 - TEXAS TOFFEE</t>
  </si>
  <si>
    <t>Item : TUS002 - BARCELONA TAN</t>
  </si>
  <si>
    <t>Item : TUS004 - BARCELONA BLACK</t>
  </si>
  <si>
    <t>Item : TUS007 - BARCELONA TOFFEE</t>
  </si>
  <si>
    <t>Item : VEG006 - VEG NATURAL SIDES 2.0/2.2mm</t>
  </si>
  <si>
    <t>Total for Supplier : TAN001 - FUSION LEATHER WORLD</t>
  </si>
  <si>
    <t>Sales by Customer Code 01/05/2026 to 31/05/2026</t>
  </si>
  <si>
    <t>INS011 - INSPIRE RENTALS PTY LTD</t>
  </si>
  <si>
    <t>JUL003 - JULIANA DESIGNS (PTY) LTD</t>
  </si>
  <si>
    <t>ALW002 - ALWAYS AROUND (PTY) LTD T/A BEESDAM</t>
  </si>
  <si>
    <t>BOO002 - BOOT &amp; RALLY (PTY) (LTD)</t>
  </si>
  <si>
    <t>LEA04 - LEATHER DIRECT (Pty) Ltd</t>
  </si>
  <si>
    <t>GAT003 - GATES 2 AFRICA - MIKE</t>
  </si>
  <si>
    <t>INY011 - INYATHI LOUNGE (PTY) LTD</t>
  </si>
  <si>
    <t>ROW002 - ROWDY INTERNATIONAL (Pty) Ltd</t>
  </si>
  <si>
    <t>JAL001 - JALAD AFRICA PTY LTD</t>
  </si>
  <si>
    <t>FAT004 - FF CLOTHING GROUP CC</t>
  </si>
  <si>
    <t>PDJ001 - PDJ COLLECTIVE (PTY) LTD</t>
  </si>
  <si>
    <t>CAP003 - CAPE KNIFE CUTTING CC</t>
  </si>
  <si>
    <t>PAN001 - PANGA PANGA FURNITURE</t>
  </si>
  <si>
    <t>EST001 - ESTHE'  LEATHER SHOES</t>
  </si>
  <si>
    <t>POR003 - PORTSIDE</t>
  </si>
  <si>
    <t>LMA001 - LEATHER MASTER</t>
  </si>
  <si>
    <t>ELS001 - EL SOLE HOLDINGS PTY LTD T/A EL SOLE</t>
  </si>
  <si>
    <t>KZN001 - KZN FASTNERS (PTY) LTD</t>
  </si>
  <si>
    <t>ZAP001 - ZAPPHIRE UPHOLSTERY</t>
  </si>
  <si>
    <t>LEA03 - LEATHER DIRECT  (Pty) Ltd</t>
  </si>
  <si>
    <t>AFI001 - AFIKA PROMOTIONS</t>
  </si>
  <si>
    <t>VER001 - VERMONT LEATHER</t>
  </si>
  <si>
    <t>OLL001 - OLLI AND ROSE (PTY) LTD</t>
  </si>
  <si>
    <t>HIG001 - HIGH THORN</t>
  </si>
  <si>
    <t>CA001 - CASH CUSTOMERS</t>
  </si>
  <si>
    <t>PRO015 - PROJECT DYAD</t>
  </si>
  <si>
    <t>ISL002 - ISLAND HOUSE TRADING 53 (Pty) Ltd t/a</t>
  </si>
  <si>
    <t>JOU001 - JOURNEY TRADERS (PTY) LTD</t>
  </si>
  <si>
    <t>GRA002 - GRANTS TRUE LEATHER</t>
  </si>
  <si>
    <t>SHE020 - SHERENO PRINTERS</t>
  </si>
  <si>
    <t>LUB001 - LUBAN FURNITURE CC</t>
  </si>
  <si>
    <t>FIO001 - FSP COLLECTION</t>
  </si>
  <si>
    <t>SIL001 - THE SOFA WORX</t>
  </si>
  <si>
    <t>CASH - CASH CUSTOMER</t>
  </si>
  <si>
    <t>JUS001 - JUST SOFAS</t>
  </si>
  <si>
    <t>GWO001 - G-WORX THREE CC</t>
  </si>
  <si>
    <t>THE051 - THE GREAT BREAK (pty) LTD</t>
  </si>
  <si>
    <t>LUK002 - LUK 4X4 ACCESSORIES PTY LTD</t>
  </si>
  <si>
    <t>THE030 - THE OLDFANGLED LEATHER CO</t>
  </si>
  <si>
    <t>SIG002 - WAKEFIELD ENTERPRISES (PTY) LTD</t>
  </si>
  <si>
    <t>MOO008 - MOOO SHOES HANDCRAFTED LEATHER GOODS</t>
  </si>
  <si>
    <t>S2Z001 - S2ZERO PTY LTD</t>
  </si>
  <si>
    <t>BOS010 - BOSVELD CANVAS AND LEATHER</t>
  </si>
  <si>
    <t>JAY001 - JAYS UPHOLSTERS</t>
  </si>
  <si>
    <t>VER005 - VERSE STUDIO (Pty) Ltd T/A VERSE</t>
  </si>
  <si>
    <t>DON009 - DONKEY LONG TONG (PTY) LTD</t>
  </si>
  <si>
    <t>STR006 - STRAYZ</t>
  </si>
  <si>
    <t>SAL008 - SALSA FOOTWEAR</t>
  </si>
  <si>
    <t>WOR007 - WORSHOND VELLIES</t>
  </si>
  <si>
    <t>INS009 - IN STEP BOOTS</t>
  </si>
  <si>
    <t>JOY001 - JOY HOLDINGS 123 PTY</t>
  </si>
  <si>
    <t>CUR009 - CURLICUE PTY LTD</t>
  </si>
  <si>
    <t>WUN001 - WUNDERS FINE FURNISHINGS</t>
  </si>
  <si>
    <t>TAN001 - FUSION LEATHER WORLD (PTY) LTD</t>
  </si>
  <si>
    <t>KNA002 - KNAP SAK (PTY) LTD</t>
  </si>
  <si>
    <t>VAN020 - VAN DER SPUY STOFFEERDERS (PTY) LTD</t>
  </si>
  <si>
    <t>LOV002 - LOVE LEATHER SA (PTY) LTD</t>
  </si>
  <si>
    <t>LEA028 - LEATHERWIZE (PTY) LTD</t>
  </si>
  <si>
    <t>FFUN01 - THE FURNITURE FUNDI</t>
  </si>
  <si>
    <t>SKI003 - SKINS FABRICATION (PTY) LTD</t>
  </si>
  <si>
    <t>LED003 - BUMMEL SHOES</t>
  </si>
  <si>
    <t>MOD002 - MODART (PTY) LTD</t>
  </si>
  <si>
    <t>THA003 - CARLA ASHTON T/A THANDANA BAGS</t>
  </si>
  <si>
    <t>SAD001 - SADDLER BELTS &amp; LEATHERCRAFT</t>
  </si>
  <si>
    <t>SME001 - SMERILLI DESIGN MANUFACTURING (PTY) LTD</t>
  </si>
  <si>
    <t>ASW001 - ASW LEATHER &amp; KITCHEN FUNITURE</t>
  </si>
  <si>
    <t>JOI001 - THE JOINERY FASHION CONCEPTS (Pty) Ltd</t>
  </si>
  <si>
    <t>NAT004 - NATURALIS</t>
  </si>
  <si>
    <t>BAR004 - BARNO (PTY) LTD</t>
  </si>
  <si>
    <t>LIG003 - LIGHOUS@MENLO</t>
  </si>
  <si>
    <t>GYP001 - LOUISE LEGGATT T/A GYPSEY LOU</t>
  </si>
  <si>
    <t>COM013 - COMFORT ZONE</t>
  </si>
  <si>
    <t>TRE014 - TREND BESPOKE (PTY) LTD</t>
  </si>
  <si>
    <t>THE031 - THE LEATHER SHOPPE</t>
  </si>
  <si>
    <t>TOM003 - SILVERTREE TRIMS STUDIO PTY LTD</t>
  </si>
  <si>
    <t>LON003 - LONE LEATHERS (PTY) LTD</t>
  </si>
  <si>
    <t>ESM005 - ESME CURTAIN MNF</t>
  </si>
  <si>
    <t>MAR051 - MARQUERITE SCHUTTE T/A EM'S MARKETS</t>
  </si>
  <si>
    <t>LEA033 - LEATHER CONNECTION ( NAMIBIA )</t>
  </si>
  <si>
    <t>BBG001 - BBAGZZ SECURITY</t>
  </si>
  <si>
    <t>RUS001 - RUSTIC LOVE</t>
  </si>
  <si>
    <t>ARR002 - QUIVER TRUST T/A ARROW LEATHER GOODS</t>
  </si>
  <si>
    <t>FRA005 - FRANCO C SADDLERY</t>
  </si>
  <si>
    <t>DEE001 - DEEP BLUE ENTERPRISES</t>
  </si>
  <si>
    <t>PSE001 - ILIFA DEVELOPMENTS (PTY) LTD</t>
  </si>
  <si>
    <t>KIN002 - King Kong Leather and Cellular CC</t>
  </si>
  <si>
    <t>THE018 - THE GRAND LIVING</t>
  </si>
  <si>
    <t>BUL001 - BULLISH DESIGNS (PTY) LTD</t>
  </si>
  <si>
    <t>LAB003 - LABARINT INTERIORS (PTY) LTD</t>
  </si>
  <si>
    <t>DME001 - DE MEILLON ENTERPRISE PTY LTD</t>
  </si>
  <si>
    <t>CEC006 - CECIL NURSE A DIV BIDVEST OFFICE (PTY) L</t>
  </si>
  <si>
    <t>IKA001 - IKHAYA AFRICA</t>
  </si>
  <si>
    <t>CAP028 - CAPE MASAI LEATHER ART AND CRAFT T/A</t>
  </si>
  <si>
    <t>KIT001 - KITH &amp; KIN DESIGN</t>
  </si>
  <si>
    <t>LLM001 - LL MANUFACTURING</t>
  </si>
  <si>
    <t>COO002 - COOL BAGS</t>
  </si>
  <si>
    <t>BON002 - BON MARSHAL</t>
  </si>
  <si>
    <t>SPL001 - SPLITTING IMAGE TAXIDERMY</t>
  </si>
  <si>
    <t>RGM001 - RGM FURNITURE MANUFACTURES</t>
  </si>
  <si>
    <t>PER007 - BOVINE LEATHER</t>
  </si>
  <si>
    <t>NMB001 - NMB FURNITURE PTY (LTD)</t>
  </si>
  <si>
    <t>OLD007 - OLD TO NEW</t>
  </si>
  <si>
    <t>KUR001 - KURGAN KENANI LEATHER PTY LTD</t>
  </si>
  <si>
    <t>LIN04 - LINEAR CONCEPTS PTY LTD</t>
  </si>
  <si>
    <t>OAK002 - OAK LEATHER</t>
  </si>
  <si>
    <t>COU001 - COUCH POTATO</t>
  </si>
  <si>
    <t>NAS005 - NASHMART UPHOLSTERY</t>
  </si>
  <si>
    <t>TOP009 - TOPMAN LEATHERS</t>
  </si>
  <si>
    <t>JOU004 - JOUBERT FURNITURE</t>
  </si>
  <si>
    <t>UGF001 - U &amp; G FABRICS</t>
  </si>
  <si>
    <t>COO001 - HOT SHEET MANUFACTURING CC T/A COOCH</t>
  </si>
  <si>
    <t>WHA001 - WHATNOT NATURAL FABRICS CC</t>
  </si>
  <si>
    <t>UMH001 - UMHLALI UPHOLSTERS</t>
  </si>
  <si>
    <t>BEN005 - BENZE UPHOLSTERY</t>
  </si>
  <si>
    <t>ASH004 - ASHOK NARSAI INTERIORS</t>
  </si>
  <si>
    <t>MAZ002 - LEATHER CONNECTIONS</t>
  </si>
  <si>
    <t>EAS004 - STEVENSON T/A INTERNATIONAL WHOLESALERS</t>
  </si>
  <si>
    <t>DYN002 - DYNAMIC DESIGN UPHOLSTERY</t>
  </si>
  <si>
    <t>DOU002 - DOUBLE BARREL CC</t>
  </si>
  <si>
    <t>CAR021 - CARLO UPHOLSTERY CC</t>
  </si>
  <si>
    <t>HOP001 - HOPEWELL FOOTWEAR</t>
  </si>
  <si>
    <t>BLU011 - BLUE SERIF</t>
  </si>
  <si>
    <t>HOF002 - HOFFMANN FURNITURE</t>
  </si>
  <si>
    <t>JOR001 - BOLTON FOOTWEAR (PTY) LTD</t>
  </si>
  <si>
    <t>PAR004 - PARANAO FOOTWEAR</t>
  </si>
  <si>
    <t>MEZ001 - MEZZANINE</t>
  </si>
  <si>
    <t>HOU060 - HOUT EN ZOUT</t>
  </si>
  <si>
    <t>VIN008 - VINI'S UPHOLSTERY</t>
  </si>
  <si>
    <t>H&amp;T001 - H &amp; T FURNITURE BY DESIGN</t>
  </si>
  <si>
    <t>MIS002 - MISCELLANIA (PTY) LTD</t>
  </si>
  <si>
    <t>DIE001 - LEERMEESTER LEATHER FACTORY CC</t>
  </si>
  <si>
    <t>AUV001 - AUVERGNE</t>
  </si>
  <si>
    <t>DES042 - DESIGN LINES COUCH MANUFACTURE</t>
  </si>
  <si>
    <t>MEM006 - MEM DECOR DESIGNS</t>
  </si>
  <si>
    <t>LEE001 - LEE CUSTOM FURNITURES</t>
  </si>
  <si>
    <t>FOA002 - FOAM FLEX</t>
  </si>
  <si>
    <t>CAM003 - CAMPBELL ARMOURY (PTY) LTD</t>
  </si>
  <si>
    <t>ERG001 - ERGO FORM FURNITURE INNOVATION</t>
  </si>
  <si>
    <t>ABM002 - ABM UPHOLSTERERS</t>
  </si>
  <si>
    <t>COM006 - COMBRINK CREATIVE DESIGNS</t>
  </si>
  <si>
    <t>TEP001 - TEPLOV (PTY) LTD T/A TEPLOV BALLET SHOES</t>
  </si>
  <si>
    <t>SOF010 - SOFA DIVINE</t>
  </si>
  <si>
    <t>SAN006 - SANNA LEATHER</t>
  </si>
  <si>
    <t>ILOV00 - I LOVE UPHOLSTERY</t>
  </si>
  <si>
    <t>INT030 - INTERNATIONAL COMMODOTIES PTY LTD</t>
  </si>
  <si>
    <t>ZER002 - ZERA LEATHER  (NAMIBIA)</t>
  </si>
  <si>
    <t>EXP001 - EXPERT UPHOLSTERY</t>
  </si>
  <si>
    <t>KER021 - KERF HANDSTITCHED</t>
  </si>
  <si>
    <t>THE053 - THEMBA MAPHUKI T/A LEATHER DESIGNS</t>
  </si>
  <si>
    <t>RAG002 - RAGS TO RICHES UPHOLSTERERS</t>
  </si>
  <si>
    <t>HAN009 - THE HANDWORK HUB PTY LTD</t>
  </si>
  <si>
    <t>BRE003 - BRESAN FOOTWEAR (PTY) LTD</t>
  </si>
  <si>
    <t>HEL002 - HELLO QUALITY (PTY) LTD</t>
  </si>
  <si>
    <t>VIN006 - VINTAGE UPHOLSTERY</t>
  </si>
  <si>
    <t>NIC005 - NICHE LEATHERWARE COLLECTION</t>
  </si>
  <si>
    <t>UVA011 - UVAMI GUN ACCESSORIES CC</t>
  </si>
  <si>
    <t>GJ001 - GJ LAMPRECHT</t>
  </si>
  <si>
    <t>SA002 - SA LEATHER COMPANY</t>
  </si>
  <si>
    <t>LHS001 - LHSA T/A LUXE</t>
  </si>
  <si>
    <t>CHA044 - CHARLOTTE &amp; CO</t>
  </si>
  <si>
    <t>LEO007 - LEON ENGELBRECHT DESIGN (NAMIBIA)</t>
  </si>
  <si>
    <t>LEA030 - PARIS MANUFACTURING (PTY) LTD</t>
  </si>
  <si>
    <t>CEN015 - AAJKARAN ENTERPRISES (PTY) LTD</t>
  </si>
  <si>
    <t>COU015 - COUNTER POINT FURNISHERS (PTY) LTD</t>
  </si>
  <si>
    <t>EVO001 - EVOTECH TRADING</t>
  </si>
  <si>
    <t>MBD001 - MB DESIGN</t>
  </si>
  <si>
    <t>PIT002 - PITSO UPHOLSTERY</t>
  </si>
  <si>
    <t>JIK001 - JIKA TECHNOLOGIES</t>
  </si>
  <si>
    <t>PAP001 - THE PAPERY PTY LTD</t>
  </si>
  <si>
    <t>COV021 - COVERFRESH UPHOLSTERY</t>
  </si>
  <si>
    <t>INT026 - INTERIOR HOME CONCEPTS - EMPANGENI</t>
  </si>
  <si>
    <t>OLI008 - OLIVE COFFEE BEANS PTY LTD</t>
  </si>
  <si>
    <t>HAW002 - HAWE VAN HOOP</t>
  </si>
  <si>
    <t>KZN002 - KZN LEATHER EXPERTS - OVERPORT</t>
  </si>
  <si>
    <t>NIC012 - NICHE BOARD PRODUCTIONS T/A AT URBAN ART</t>
  </si>
  <si>
    <t>CHA030 - LIVING GREEN MOVEMENT</t>
  </si>
  <si>
    <t>MET01 - METRO LIFESTYLE CENTRE MONTANA</t>
  </si>
  <si>
    <t>LUL021 - LULLU &amp; ME</t>
  </si>
  <si>
    <t>SOET01 - SOETWATER LEERWERKE</t>
  </si>
  <si>
    <t>ADD001 - ALL AFRICAN DESIGNS AND DECOR</t>
  </si>
  <si>
    <t>EGG001 - EGG DESIGNS CC</t>
  </si>
  <si>
    <t>NEW001 - NEW CASTLE UPHOLSTERS</t>
  </si>
  <si>
    <t>STA012 - STADVELD LEERPRODUKTE</t>
  </si>
  <si>
    <t>LIL004 - LILI LEATHER</t>
  </si>
  <si>
    <t>GEN010 - GENEVIEVE CHASE INTERIOR DESIGN PTY LTD</t>
  </si>
  <si>
    <t>ALD003 - ALDORA MANUFACTURES</t>
  </si>
  <si>
    <t>LEI001 - LEISURE LOUNGE</t>
  </si>
  <si>
    <t>JAN015 - BLOSSOMS CAPE TOWN</t>
  </si>
  <si>
    <t>ILA003 - ILANA MALAN</t>
  </si>
  <si>
    <t>MOF002 - MOF MARKETING CC</t>
  </si>
  <si>
    <t>RET002 - FINECAST PTY T/A RETROFITBOSS</t>
  </si>
  <si>
    <t>DIV005 - DIVINE DESIGN</t>
  </si>
  <si>
    <t>ARC013 - ARCADIA DESIGNZ</t>
  </si>
  <si>
    <t>KAR002 - KARRIEM U</t>
  </si>
  <si>
    <t>KIT002 - KITTY'S GENUINE LEATHER BOUTIQUE</t>
  </si>
  <si>
    <t>KNY - KNYSNA FOAM &amp; EMMA JAYNE INTERIORS</t>
  </si>
  <si>
    <t>ZAL001 - ZALUKI SHOES</t>
  </si>
  <si>
    <t>LAS002 - LASER CANDY T/A LOOI LEATHER</t>
  </si>
  <si>
    <t>PHX001 - PHX.BUILT</t>
  </si>
  <si>
    <t>SHS001 - SHS OFFICE FURNITURE</t>
  </si>
  <si>
    <t>SOL005 - SOLES FOR AFRICA CC T/A BOET &amp; BETTY</t>
  </si>
  <si>
    <t>NSW001 - NSW LEATHER CO (PTY) LTD</t>
  </si>
  <si>
    <t>FIL015 - TAU LEATHER SOUTH AFRICA (PTY) LTD</t>
  </si>
  <si>
    <t>DUP002 - DUPSTEEL PTY LTD</t>
  </si>
  <si>
    <t>BAO002 - BAO-BAGS</t>
  </si>
  <si>
    <t>MAR050 - MARIUS POTGIETER</t>
  </si>
  <si>
    <t>COV001 - COVER CRAFT UPHOLSTERERS</t>
  </si>
  <si>
    <t>MEB001 - MEBALA (PTY) LTD</t>
  </si>
  <si>
    <t>SLE002 - SLEEPING COUCH &amp; SOFA MANUFACTURERS</t>
  </si>
  <si>
    <t>PREB00 - PRETORIUS BROS LEATHER WORKS</t>
  </si>
  <si>
    <t>UPH012 - UPHOLSTERY PERFECTIONIST</t>
  </si>
  <si>
    <t>TEF001 - TE FRAAI DIENA</t>
  </si>
  <si>
    <t>DAN008 - DANIEL'S SHOE MANUFACTURNING</t>
  </si>
  <si>
    <t>SOT001 - SOTRAN TRADING 57 CC</t>
  </si>
  <si>
    <t>IBR001 - ISAACARE HEALTH</t>
  </si>
  <si>
    <t>BLA010 - BLACKLINE</t>
  </si>
  <si>
    <t>RET021 - RETRO CRAFT (PTY) LTD</t>
  </si>
  <si>
    <t>TEB003 - TEBOGO KEKANA</t>
  </si>
  <si>
    <t>CAP004 - CAPE SEATING MANUFACTURERS CC</t>
  </si>
  <si>
    <t>SAZ001 - SAZIWA AFRICA</t>
  </si>
  <si>
    <t>URB008 - URBAN UPHOLSTERY SOLUTIONS (PTY)LTD</t>
  </si>
  <si>
    <t>GAM003 - GAMETAN</t>
  </si>
  <si>
    <t>TUL002 - TULIPS &amp; TEA BABY BOUTIQUE</t>
  </si>
  <si>
    <t>ALW010 - ALWYN ESTERHUIZEN</t>
  </si>
  <si>
    <t>VAN001 - S. Van der Scyff Uph</t>
  </si>
  <si>
    <t>BOK002 - BOKSBURG UPHOLSTERY</t>
  </si>
  <si>
    <t>PAT001 - PATRICK UPHOLSTERY</t>
  </si>
  <si>
    <t>SEA003 - SEADOONE SHOES</t>
  </si>
  <si>
    <t>HNA001 - HNA</t>
  </si>
  <si>
    <t>BEG001 - BEGIN WITH END IN MIND INTERIORS</t>
  </si>
  <si>
    <t>HOL004 - HOLSTER CO T/A SOJOURN</t>
  </si>
  <si>
    <t>WIL020 - WILLEBOK LEATHER</t>
  </si>
  <si>
    <t>LIN008 - LINDLEY &amp; CO</t>
  </si>
  <si>
    <t>BRA013 - BRANDO LEATHER GOODS (PTY) LTD</t>
  </si>
  <si>
    <t>COM011 - COMPONO PTY LTD</t>
  </si>
  <si>
    <t>THF001 - THERONS FOAM CRAFT CC</t>
  </si>
  <si>
    <t>YEL002 - YELLOW DUCK</t>
  </si>
  <si>
    <t>WLF001 - EARTH 2 FEET SHOES</t>
  </si>
  <si>
    <t>SKI002 - SKINNY HANDCRAFTED LEATHER</t>
  </si>
  <si>
    <t>UPH025 - UPHOLSTERY BOYZ</t>
  </si>
  <si>
    <t>LEG005 - LEGACI STUDIOS</t>
  </si>
  <si>
    <t>SMI002 - SMITHCO LEATHER</t>
  </si>
  <si>
    <t>SWE006 - SWEEPWINKEL (PTY) LTD</t>
  </si>
  <si>
    <t>ALE003 - ALEXIOU LEATHER COUCHES</t>
  </si>
  <si>
    <t>ANJ001 - ANOEK</t>
  </si>
  <si>
    <t>EQU003 - EQUESTRIAN FOOTWEAR HOLDINGS PTY</t>
  </si>
  <si>
    <t>DIAZ01 - DIAZ DESIGN</t>
  </si>
  <si>
    <t>HAN00 - HANDFORD LEATHERS</t>
  </si>
  <si>
    <t>CES021 - C’est La Vie Design and Create (Pty) Ltd</t>
  </si>
  <si>
    <t>COL009 - COLLARO MANUFACTURING</t>
  </si>
  <si>
    <t>REN003 - RENE VD MERWE</t>
  </si>
  <si>
    <t>FOR010 - FOREVER URBAN LIVING</t>
  </si>
  <si>
    <t>LEZ004 - LEZMIN 3219  t/a DESIGN WISE</t>
  </si>
  <si>
    <t>MIS001 - MISSIBABA</t>
  </si>
  <si>
    <t>MAG008 - MAGGIE M</t>
  </si>
  <si>
    <t>PRS001 - PR SHOES - PIETERMARITZBURG</t>
  </si>
  <si>
    <t>PM006 - PM UPHOLSTERY</t>
  </si>
  <si>
    <t>FOA001 - FOAM CUT TO SIZE</t>
  </si>
  <si>
    <t>BE001 - BE Interiors</t>
  </si>
  <si>
    <t>GOM001 - F. GOMES UPHOLSTERS</t>
  </si>
  <si>
    <t>ROW001 - ROWLEY&amp;HUGHES</t>
  </si>
  <si>
    <t>LEA053 - LEATHER CO</t>
  </si>
  <si>
    <t>MAG021 - MAGAUTA DESIGNS AND PROJECTS PTY LTD</t>
  </si>
  <si>
    <t>YOU006 - YOUNG INTERIOR</t>
  </si>
  <si>
    <t>AARD01 - AARD BRAND</t>
  </si>
  <si>
    <t>MUS002 - MUSA UPHOLSTERY - CLAIRMONT</t>
  </si>
  <si>
    <t>OST001 - OSTRICH &amp; LEATHER TRADING</t>
  </si>
  <si>
    <t>INTE02 - INTERWOVEN DECOR FABRICS (PTY) LTD</t>
  </si>
  <si>
    <t>OGU001 - OGUN OUTFITTERS</t>
  </si>
  <si>
    <t>UPH011 - UPHOLSTERY LEGENDS</t>
  </si>
  <si>
    <t>GRO021 - GRONDPAD VELLIES</t>
  </si>
  <si>
    <t>MAR000 - MAREE MEUBELS</t>
  </si>
  <si>
    <t>HOB001 - HOBNOB MANUFACTURING (Pty) Ltd</t>
  </si>
  <si>
    <t>RIN004 - RINA ENSLIN SPORTSWEAR</t>
  </si>
  <si>
    <t>JAI001 - J' AI DU</t>
  </si>
  <si>
    <t>TRE013 - TRENERY DESIGNER FURNITURE</t>
  </si>
  <si>
    <t>SEB001 - SEBOSETH STUDIO PTY LTD</t>
  </si>
  <si>
    <t>OKI001 - OKI LEATHERGOODS</t>
  </si>
  <si>
    <t>RAC002 - RAY'S LEATHER CREATIONS</t>
  </si>
  <si>
    <t>SIT003 - COMPANY &amp; GOOD</t>
  </si>
  <si>
    <t>RUS003 - RUSIKE</t>
  </si>
  <si>
    <t>CIK001 - CIKO SHOES (PTY) LTD</t>
  </si>
  <si>
    <t>SCH004 - SCHMIDT'S SKRYNWERKE (EDMS.) BPK</t>
  </si>
  <si>
    <t>SEB011 - SEBOGODI HOUSE OF LEATHER</t>
  </si>
  <si>
    <t>ELE002 - TWINKEL SHOE INDUSTRIES CC T/A</t>
  </si>
  <si>
    <t>MER006 - MERCIA VILJOEN</t>
  </si>
  <si>
    <t>BUC001 - BUCKLE LEATHERWEAR</t>
  </si>
  <si>
    <t>MAR037 - MARKS LEATHER</t>
  </si>
  <si>
    <t>BAR003 - E BARONOS LEATHER MANUFACTURERS CC</t>
  </si>
  <si>
    <t>CRE007 - CREATIVE LEATHER GOODS</t>
  </si>
  <si>
    <t>UDO001 - VALOYI Africa (Pty) Ltd</t>
  </si>
  <si>
    <t>SOM006 - SOMETHING ELSE GEORGE JHB</t>
  </si>
  <si>
    <t>LEG021 - LEGEND TROPHIES TAXIDERMY</t>
  </si>
  <si>
    <t>BOS008 - BOSVARK</t>
  </si>
  <si>
    <t>LEW001 - LEWIS AND MADGE</t>
  </si>
  <si>
    <t>ISA007 - ISABELLA'S</t>
  </si>
  <si>
    <t>THE04 - THE DS FACTORY</t>
  </si>
  <si>
    <t>ATH002 - A2HR COSMETIC SOLUTIONS (PTY) LTD</t>
  </si>
  <si>
    <t>LIL005 - LILO LEATHER</t>
  </si>
  <si>
    <t>NRH01 - NORTH HAMPTON LEATHER</t>
  </si>
  <si>
    <t>MAC007 - MACTAVISH CLOTHING</t>
  </si>
  <si>
    <t>PHE001 - PHELAN LEATHERWORKS</t>
  </si>
  <si>
    <t>LIY001 - LIYAAN LEATHERS</t>
  </si>
  <si>
    <t>BEL016 - BELEGRA</t>
  </si>
  <si>
    <t>CAS003 - CASAMENTO</t>
  </si>
  <si>
    <t>BLU004 - AMBI &amp; CO t/a BLUEBERRY BLUSH</t>
  </si>
  <si>
    <t>NGU004 - NGUNI UPHOLSTERY</t>
  </si>
  <si>
    <t>CON011 - CONLIE LEATHER CC</t>
  </si>
  <si>
    <t>KOF001 - KOFFIE LEATHER</t>
  </si>
  <si>
    <t>ZIP001 - BIG SKY TRADING 449BK</t>
  </si>
  <si>
    <t>MYS001 - MYSTIC TRIBE</t>
  </si>
  <si>
    <t>CAN003 - CANDICE KESSLER LIFESTYLE CONSOLTING</t>
  </si>
  <si>
    <t>CLA012 - CLASS A UPHOLSTERY</t>
  </si>
  <si>
    <t>NGA001 - NG AUTO TRIMMERS</t>
  </si>
  <si>
    <t>SYM002 - SYMPHONY OF LEATHER</t>
  </si>
  <si>
    <t>IND012 - INDEC GROUP PTY LTD</t>
  </si>
  <si>
    <t>GLE004 - HARKER MOTOR TRIMMERS</t>
  </si>
  <si>
    <t>HAD002 - HADASSAH INTERIORS (PTY) LTD</t>
  </si>
  <si>
    <t>LAV007 - LA VITA DESIGNS</t>
  </si>
  <si>
    <t>CLA06 - KANDASWAMI INVESTMENTS CC T/A CLASSIC IN</t>
  </si>
  <si>
    <t>MOSS01 - MOSS SHOP</t>
  </si>
  <si>
    <t>CRA003 - CRAFTI MIKI</t>
  </si>
  <si>
    <t>BRI012 - BRIAN TRIMMING SERVICE</t>
  </si>
  <si>
    <t>COL008 - COLUMN INTERIOR STUDIO</t>
  </si>
  <si>
    <t>COW002 - COWHIDE CONCEPTS</t>
  </si>
  <si>
    <t>SYL001 - SYLAR DESIGNS</t>
  </si>
  <si>
    <t>MKL001 - McFarlane &amp; Joseph t/a MKLA AFRICA</t>
  </si>
  <si>
    <t>CAT007 - CATTLE &amp; CO LEATHER</t>
  </si>
  <si>
    <t>INN004 - INNOVATION FACTORY</t>
  </si>
  <si>
    <t>DCD001 - DC DESIGN STUDIOS</t>
  </si>
  <si>
    <t>SOU011 - SOUTHERN GUILD COLLECTIBLE DESIGN</t>
  </si>
  <si>
    <t>HAD001 - HADEDA JAG &amp; SKIET BAADJIES</t>
  </si>
  <si>
    <t>SAG002 - A.WILSON T/A BOKMAKIERIE</t>
  </si>
  <si>
    <t>LEA093 - THE HANDMADE LEATHER STUDIO C/O JODY DEN</t>
  </si>
  <si>
    <t>ARN001 - ARNOLD SHOES</t>
  </si>
  <si>
    <t>BEL020 - BELLE AME DE DIEU</t>
  </si>
  <si>
    <t>GRO006 - THE GROOM &amp; CO</t>
  </si>
  <si>
    <t>CAP017 - CAPE COBRA (PTY) LTD</t>
  </si>
  <si>
    <t>ZAB001 - ZABELLAS GROUP OF COMPANIES (Pty) LTD</t>
  </si>
  <si>
    <t>BOS003 - BOSSAK</t>
  </si>
  <si>
    <t>TSO003 - TSOKA</t>
  </si>
  <si>
    <t>MAJ001 - MAJOR JOHN</t>
  </si>
  <si>
    <t>DIO001 - DIOMANDE</t>
  </si>
  <si>
    <t>MOO007 - LIANNE MOORGAS DESIGN</t>
  </si>
  <si>
    <t>GER010 - GERIDA DE GROOT</t>
  </si>
  <si>
    <t>LAR003 - LARISSA FERIS</t>
  </si>
  <si>
    <t>TEN003 - TEN FEET SHOES PTY (LTD)</t>
  </si>
  <si>
    <t>VAL002 - VALERIE DOMINGUEZ</t>
  </si>
  <si>
    <t>TIM008 - TIMELESS LEATHER</t>
  </si>
  <si>
    <t>NKA001 - NKANYISO SHOES</t>
  </si>
  <si>
    <t>REF004 - REFORMED LEATHER</t>
  </si>
  <si>
    <t>BUR008 - BURGER LEATHER PRODUCTS</t>
  </si>
  <si>
    <t>LAZ006 - LAZARUS LEATHER</t>
  </si>
  <si>
    <t>BRA021 - BRANDIT LEATHER CREATION</t>
  </si>
  <si>
    <t>TRI020 - TRINITY DESIGNS (IGALAJI BOYS INVESTMENT</t>
  </si>
  <si>
    <t>BLU012 - BLU HORIZON</t>
  </si>
  <si>
    <t>WYS001 - Wyskraal Investments PTY Ltd</t>
  </si>
  <si>
    <t>DAN004 - DANCEWELL SHOES</t>
  </si>
  <si>
    <t>HID021 - HIDE &amp; STITCH</t>
  </si>
  <si>
    <t>LEA065 - LEATHER ONE</t>
  </si>
  <si>
    <t>STE016 - STEPHANIE CROSSLANDT/A YELLOW BRICK LEAT</t>
  </si>
  <si>
    <t>CRA010 - CRAWLERS</t>
  </si>
  <si>
    <t>THE045 - THE STELLA CLIP (PTY) LTD</t>
  </si>
  <si>
    <t>PIT001 - PITTA-PATTA</t>
  </si>
  <si>
    <t>MAG015 - MAGRITTHA DE KLERK</t>
  </si>
  <si>
    <t>NOV021 - NOVEL &amp; CO</t>
  </si>
  <si>
    <t>SWE001 - SWEMMER UPHOLSTERY</t>
  </si>
  <si>
    <t>PET015 - PETER'S UPHOLSTERY</t>
  </si>
  <si>
    <t>KOM002 - KOMMAWEER  UPHOLSTERERS KNYSNA</t>
  </si>
  <si>
    <t>CYP002 - CYPHER CRAFTS</t>
  </si>
  <si>
    <t>PLA012 - PLATVOET VELLIES CEDERBERGE</t>
  </si>
  <si>
    <t>AND007 - ANDI'S BAGS</t>
  </si>
  <si>
    <t>WIN004 - STITCHD</t>
  </si>
  <si>
    <t>TAG001 - TAGS BY ELYSIAN</t>
  </si>
  <si>
    <t>MAG007 - MAGNOLIAN DESIGN</t>
  </si>
  <si>
    <t>AFO002 - AFRO COMFORT</t>
  </si>
  <si>
    <t>ANG009 - ANGEL HEARTS</t>
  </si>
  <si>
    <t>MID003 - MIDRAND AUTO TRIMMERS</t>
  </si>
  <si>
    <t>HOU012 - HOUNDSTOOTH  APPAREL</t>
  </si>
  <si>
    <t>MYW001 - MYWORLD PTY LTD</t>
  </si>
  <si>
    <t>ZUL004 - ZULFA</t>
  </si>
  <si>
    <t>LON002 - LONKIE LEATHER</t>
  </si>
  <si>
    <t>YOU003 - YOU ME &amp; THREE</t>
  </si>
  <si>
    <t>CAP03 - CAPRIVI LUXURY SAFARI GEAR</t>
  </si>
  <si>
    <t>PAM003 - PAMA LEATHER</t>
  </si>
  <si>
    <t>CAZ001 - CAZCO RE-UPHOLSTERY &amp; NEW FURNITURE</t>
  </si>
  <si>
    <t>CRU002 - CRUZ FOOTWEAR</t>
  </si>
  <si>
    <t>WOG001 - WOGAH LEATHER CRAFTERS</t>
  </si>
  <si>
    <t>PRO030 - PRONTO LABOUR TEAM</t>
  </si>
  <si>
    <t>STY008 - STYLE 2 FUNK t/a CORPORATE STYLING</t>
  </si>
  <si>
    <t>KLE004 - MOOI NE</t>
  </si>
  <si>
    <t>SAV003 - SAVIOR BRAND CO. (Pty) Ltd</t>
  </si>
  <si>
    <t>ELI009 - LIELA'S ZEAL</t>
  </si>
  <si>
    <t>JAR006 - IMVUSA TRADING 451 (PTY) LTD T/A JARMAN</t>
  </si>
  <si>
    <t>MBS021 - M &amp; B SOLUTIONS</t>
  </si>
  <si>
    <t>DEY001 - DEYZI</t>
  </si>
  <si>
    <t>MAG001 - MAGDA'S LEATHER</t>
  </si>
  <si>
    <t>WIL008 - WILLOW TREE</t>
  </si>
  <si>
    <t>DES026 - DESIGN PARTNERSHIP RETAIL</t>
  </si>
  <si>
    <t>HOM01 - HOMECRAFT</t>
  </si>
  <si>
    <t>APT003 - CLEARWATER CURTAINS AND BLINDS</t>
  </si>
  <si>
    <t>MEA002 - MEAGAN VAN RENSBURG</t>
  </si>
  <si>
    <t>RIK001 - RIKA SMIT t/a RED CHERRY DESIGNS</t>
  </si>
  <si>
    <t>VER009 - VERWEY CANVAS</t>
  </si>
  <si>
    <t>MRA002 - MRABARABA LL0308 DENIM</t>
  </si>
  <si>
    <t>COA003 - COME AGAIN HOLDINGS</t>
  </si>
  <si>
    <t>COB002 - COBBLER BOX</t>
  </si>
  <si>
    <t>THE03 - THE WILD THINGS</t>
  </si>
  <si>
    <t>WAL004 - WALKING WOOD Pty Ltd</t>
  </si>
  <si>
    <t>LOO001 - LOOM &amp; HIDE (PTY) Ltd</t>
  </si>
  <si>
    <t>MOH003 - MOH AUTOMATIVE INTERIOR SOLUTIONS</t>
  </si>
  <si>
    <t>STU008 - STUARTS JOINERY</t>
  </si>
  <si>
    <t>BAR019 - BARLETT &amp; DUNSTER FABRIC</t>
  </si>
  <si>
    <t>LEF001 - H. LEFFLER &amp; SON (PTY) LTD</t>
  </si>
  <si>
    <t>BEC002 - BECK ERNST LIVING</t>
  </si>
  <si>
    <t>KOB003 - KOBUS DU TOIT</t>
  </si>
  <si>
    <t>WAN002 - WANDERER HANDCRAFTED</t>
  </si>
  <si>
    <t>BLA009 - BLAKCRAFT</t>
  </si>
  <si>
    <t>BSE001 - B SEATED (PTY) LTD</t>
  </si>
  <si>
    <t>MM006 - GOLF CART ZONE (PTY) LTD</t>
  </si>
  <si>
    <t>MAI002 - MAISTER CT</t>
  </si>
  <si>
    <t>LUN006 - LUNGAR R SA PTY LTD</t>
  </si>
  <si>
    <t>SGB001 - SGB SHOE MANUFACTURING</t>
  </si>
  <si>
    <t>MER001 - MERVIN'S DECOR</t>
  </si>
  <si>
    <t>IET001 - Ietsie vir Bebe</t>
  </si>
  <si>
    <t>BEL023 - BELGERY COLLECTION</t>
  </si>
  <si>
    <t>CC001 - CC LEATHER</t>
  </si>
  <si>
    <t>KAM005 - KAMP EN LEER DOKTER</t>
  </si>
  <si>
    <t>MEY001 - MEYER &amp; FERREIRA STIKLAND CC</t>
  </si>
  <si>
    <t>NAA001 - NAAK COLLECTION PTY LTD T/A NAAK</t>
  </si>
  <si>
    <t>FOR009 - FORSHORE SPORT PTY LTD</t>
  </si>
  <si>
    <t>TAN008 - TAN-RU LEATHER</t>
  </si>
  <si>
    <t>LEG003 - LEGENDARY GOLF</t>
  </si>
  <si>
    <t>THE028 - THE URBANATIVE</t>
  </si>
  <si>
    <t>UKU021 - UKUTHANDA GAME LODGE</t>
  </si>
  <si>
    <t>WEN001 - WENDY M</t>
  </si>
  <si>
    <t>GOL003 - GOLD UPHOLSTERY</t>
  </si>
  <si>
    <t>TRI016 - TRIMWISE T/A LEATHER &amp; STYLE</t>
  </si>
  <si>
    <t>PHI008 - PHILUS DESIGN</t>
  </si>
  <si>
    <t>TOD001 - TODAYS SPACE (PTY) LTD</t>
  </si>
  <si>
    <t>LAV003 - LAVISH LEATHER</t>
  </si>
  <si>
    <t>MAL009 - MALUBA</t>
  </si>
  <si>
    <t>HOU013 - HOUT STREET DESIGN STUDIOS</t>
  </si>
  <si>
    <t>SWE002 - SWEET PEAS</t>
  </si>
  <si>
    <t>AMA016 - AMAZING LEATHER</t>
  </si>
  <si>
    <t>KEN003 - KENYON COLLECTIVE</t>
  </si>
  <si>
    <t>FUR006 - FURNITURE FACTORY SHOP</t>
  </si>
  <si>
    <t>AMO001 - AMOS JONES LEATHER</t>
  </si>
  <si>
    <t>DRA002 - DRAGONFLY MARKETING 101 (Pty) Ltd</t>
  </si>
  <si>
    <t>ONE005 - ONE OF EACH</t>
  </si>
  <si>
    <t>NUV021 - NUVEX FINANCIAL SOLUTIONS</t>
  </si>
  <si>
    <t>SFE001 - SF EXCLUSIVE</t>
  </si>
  <si>
    <t>ITF001 - IN TOUCH FURNITURE</t>
  </si>
  <si>
    <t>NOL006 - NOLENE BRAMLEY</t>
  </si>
  <si>
    <t>RED001 - REDEMPTION FINE HANDCRAFTED LEATHER</t>
  </si>
  <si>
    <t>ELL001 - JAN ELLIS</t>
  </si>
  <si>
    <t>FAB006 - SANTAS FABRIC</t>
  </si>
  <si>
    <t>CKK001 - CK.K</t>
  </si>
  <si>
    <t>CAP30 - CAPSULE STUDIO</t>
  </si>
  <si>
    <t>AFR016 - AFRICAN SELECTIVES</t>
  </si>
  <si>
    <t>SKY002 - SKY &amp; EDEN</t>
  </si>
  <si>
    <t>SAS018 - SASOL</t>
  </si>
  <si>
    <t>ACR010 - ARCANI FIN DIENSTE</t>
  </si>
  <si>
    <t>ATA001 - AT ART LEATHER</t>
  </si>
  <si>
    <t>DAN016 - DANÉ</t>
  </si>
  <si>
    <t>TEN020 - TENTUTU</t>
  </si>
  <si>
    <t>INN002 - INNOVATIVE FOOTWEAR</t>
  </si>
  <si>
    <t>KAY010 - Kayrin International</t>
  </si>
  <si>
    <t>DES01 - THE SOMMELIER CAFE CC T/A DESIGN UNIQUE</t>
  </si>
  <si>
    <t>PEL001 - P.E LEATHER</t>
  </si>
  <si>
    <t>HAM005 - HAMBA JEANS PTY LTD</t>
  </si>
  <si>
    <t>HER005 - FLETCH &amp; CO</t>
  </si>
  <si>
    <t>BLA007 - BLACKCRAFT BESPOKE CREATIONS</t>
  </si>
  <si>
    <t>MIG001 - MIGHTY HAND</t>
  </si>
  <si>
    <t>LEM009 - LEMY UPHOLSTERER</t>
  </si>
  <si>
    <t>NUB001 - NUBRAID pty</t>
  </si>
  <si>
    <t>WES006 - WESTLIFE UPHOLSTERERS (PTY) LTD</t>
  </si>
  <si>
    <t>CAL004 - CALABASH LEATHER</t>
  </si>
  <si>
    <t>LAD001 - LADY BEE BEE</t>
  </si>
  <si>
    <t>OUT010 - OUTBACK LEATHER</t>
  </si>
  <si>
    <t>DOU005 - DOUBLEPURPLE</t>
  </si>
  <si>
    <t>CHO001 - CHOMMIES CAPE TOWN PTY LTD</t>
  </si>
  <si>
    <t>FIN012 - FINE TWINE LEATHER GOODS</t>
  </si>
  <si>
    <t>STO015 - STONED LEATHER CREATIONS</t>
  </si>
  <si>
    <t>CRA020 - CARLHORNS LEATHER</t>
  </si>
  <si>
    <t>STY021 - STYLE ARCHITECTS</t>
  </si>
  <si>
    <t>BAM002 - INTUITIVE BAMBAZONKE PTY LTD</t>
  </si>
  <si>
    <t>NOL001 - THE WOODEN LAMP T/A NOLDEN BROS</t>
  </si>
  <si>
    <t>SIR005 - SIRTAR HOLDINGS</t>
  </si>
  <si>
    <t>MAN020 - MANTSHOLO CREATIONS PTY LTD</t>
  </si>
  <si>
    <t>NIN002 - NINASKEP PTY LTD.</t>
  </si>
  <si>
    <t>SER009 - CEPATTI (PTY) LTD</t>
  </si>
  <si>
    <t>BIA004 - BIANI HANDCRAFTED</t>
  </si>
  <si>
    <t>ELA004 - EL-ADRI LEATHER - PIETERMARTIZBURG</t>
  </si>
  <si>
    <t>HAP002 - HAPPY SOLES</t>
  </si>
  <si>
    <t>KAK009 - KAKIEBOS HOLDINGS (PTY) LTD</t>
  </si>
  <si>
    <t>AFR031 - AFRICAN GAME BAGS - DURBAN</t>
  </si>
  <si>
    <t>ALE007 - ALEC SHOES - RICHARDS BAY</t>
  </si>
  <si>
    <t>DEV009 - DEVON CASTLE PTY LTD</t>
  </si>
  <si>
    <t>INT020 - INTERIOR KING</t>
  </si>
  <si>
    <t>IZE001 - IZEMBA TRADING 107CC</t>
  </si>
  <si>
    <t>JOE005 - JOE-JOB UPHOLSTERY CRAFT</t>
  </si>
  <si>
    <t>KAT020 - KATE SUNLEY</t>
  </si>
  <si>
    <t>MEU001 - MEUBEL &amp; MOTOR STOFFEERDERS</t>
  </si>
  <si>
    <t>KAR005 - YOUNG INTERIORS</t>
  </si>
  <si>
    <t>SEV002 - SEVENS DESIGNS PTY LTD</t>
  </si>
  <si>
    <t>SMA011 - SMART SYSTEMS SOLUTIONS</t>
  </si>
  <si>
    <t>WYN001 - WYNE LEATHER BAGS</t>
  </si>
  <si>
    <t>BAB001 - BABY COUTURE (PTY) LTD</t>
  </si>
  <si>
    <t>FEC001 - FECHTERS FURNITURE MNF (PTY) LTD</t>
  </si>
  <si>
    <t>HEY001 - HEY SUGA</t>
  </si>
  <si>
    <t>BCI001 - BC INGRIM</t>
  </si>
  <si>
    <t>COW003 - COWIE JOINERY</t>
  </si>
  <si>
    <t>CUR005 - CURTAINS UP</t>
  </si>
  <si>
    <t>EMP002 - Emporium Collection International</t>
  </si>
  <si>
    <t>MSJ001 - MSJ UPHOLSTERY</t>
  </si>
  <si>
    <t>VUN001 - VUNA FURNITURE &amp; UPHOLSTERY PMB</t>
  </si>
  <si>
    <t>LUU001 - LUUKS STUDIO (PTY) LTD</t>
  </si>
  <si>
    <t>WOO009 - WORKSTATION OFFICE FURNITURE</t>
  </si>
  <si>
    <t>NAP001 - NAPOLEON MARKETING (PTY) LTD</t>
  </si>
  <si>
    <t>Sales Journal for period 01/05/2026 to 31/05/2026</t>
  </si>
  <si>
    <t>Customer</t>
  </si>
  <si>
    <t>Document</t>
  </si>
  <si>
    <t>Date</t>
  </si>
  <si>
    <t>Order</t>
  </si>
  <si>
    <t>Exclusive</t>
  </si>
  <si>
    <t>Tax</t>
  </si>
  <si>
    <t>Inclusive</t>
  </si>
  <si>
    <t>EVO001</t>
  </si>
  <si>
    <t>Credit Note : CR10590</t>
  </si>
  <si>
    <t>04/05/2026</t>
  </si>
  <si>
    <t>INW48399</t>
  </si>
  <si>
    <t>MER001</t>
  </si>
  <si>
    <t>Credit Note : CR10591</t>
  </si>
  <si>
    <t>INW49752</t>
  </si>
  <si>
    <t>FEC001</t>
  </si>
  <si>
    <t>Credit Note : CR10592</t>
  </si>
  <si>
    <t>INW47017</t>
  </si>
  <si>
    <t>ZAB001</t>
  </si>
  <si>
    <t>Credit Note : CR10593</t>
  </si>
  <si>
    <t>INW49556</t>
  </si>
  <si>
    <t>COW003</t>
  </si>
  <si>
    <t>Credit Note : CR10594</t>
  </si>
  <si>
    <t>MAZ002</t>
  </si>
  <si>
    <t>Credit Note : CR10595</t>
  </si>
  <si>
    <t>05/05/2026</t>
  </si>
  <si>
    <t>INW49717</t>
  </si>
  <si>
    <t>Credit Note : CR10596</t>
  </si>
  <si>
    <t>INW49732</t>
  </si>
  <si>
    <t>TOP009</t>
  </si>
  <si>
    <t>Credit Note : CR10597</t>
  </si>
  <si>
    <t>Credit Note : CR10598</t>
  </si>
  <si>
    <t>06/05/2026</t>
  </si>
  <si>
    <t>INW49112</t>
  </si>
  <si>
    <t>PHE001</t>
  </si>
  <si>
    <t>Credit Note : CR10599</t>
  </si>
  <si>
    <t>VARIOUS</t>
  </si>
  <si>
    <t>CAT007</t>
  </si>
  <si>
    <t>Credit Note : CR10600</t>
  </si>
  <si>
    <t>INW49637</t>
  </si>
  <si>
    <t>AFI001</t>
  </si>
  <si>
    <t>Credit Note : CR10601</t>
  </si>
  <si>
    <t>07/05/2026</t>
  </si>
  <si>
    <t>INW49589</t>
  </si>
  <si>
    <t>PDJ001</t>
  </si>
  <si>
    <t>Credit Note : CR10602</t>
  </si>
  <si>
    <t>INW49512</t>
  </si>
  <si>
    <t>MSJ001</t>
  </si>
  <si>
    <t>Credit Note : CR10603</t>
  </si>
  <si>
    <t>CAP003</t>
  </si>
  <si>
    <t>Credit Note : CR10604</t>
  </si>
  <si>
    <t>08/05/2026</t>
  </si>
  <si>
    <t>INW49820</t>
  </si>
  <si>
    <t>CASH</t>
  </si>
  <si>
    <t>Credit Note : CR10605</t>
  </si>
  <si>
    <t>INW49778</t>
  </si>
  <si>
    <t>Credit Note : CR10606</t>
  </si>
  <si>
    <t>INW49973</t>
  </si>
  <si>
    <t>MAG001</t>
  </si>
  <si>
    <t>Credit Note : CR10607</t>
  </si>
  <si>
    <t>INW48107</t>
  </si>
  <si>
    <t>BLA009</t>
  </si>
  <si>
    <t>Credit Note : CR10608</t>
  </si>
  <si>
    <t>UNMATCH</t>
  </si>
  <si>
    <t>LON003</t>
  </si>
  <si>
    <t>Credit Note : CR10609</t>
  </si>
  <si>
    <t>11/05/2026</t>
  </si>
  <si>
    <t>INW49829</t>
  </si>
  <si>
    <t>WOO009</t>
  </si>
  <si>
    <t>Credit Note : CR10610</t>
  </si>
  <si>
    <t>INW48600</t>
  </si>
  <si>
    <t>HEY001</t>
  </si>
  <si>
    <t>Credit Note : CR10611</t>
  </si>
  <si>
    <t>INW48519</t>
  </si>
  <si>
    <t>HAD002</t>
  </si>
  <si>
    <t>Credit Note : CR10612</t>
  </si>
  <si>
    <t>INW50076</t>
  </si>
  <si>
    <t>HEL002</t>
  </si>
  <si>
    <t>Credit Note : CR10613</t>
  </si>
  <si>
    <t>12/05/2026</t>
  </si>
  <si>
    <t>INW50028</t>
  </si>
  <si>
    <t>SME001</t>
  </si>
  <si>
    <t>Credit Note : CR10614</t>
  </si>
  <si>
    <t>INW49828</t>
  </si>
  <si>
    <t>MOO008</t>
  </si>
  <si>
    <t>Credit Note : CR10615</t>
  </si>
  <si>
    <t>INW49648</t>
  </si>
  <si>
    <t>Credit Note : CR10616</t>
  </si>
  <si>
    <t>INW50133</t>
  </si>
  <si>
    <t>CEN015</t>
  </si>
  <si>
    <t>Credit Note : CR10617</t>
  </si>
  <si>
    <t>INW50182</t>
  </si>
  <si>
    <t>INY011</t>
  </si>
  <si>
    <t>Credit Note : CR10618</t>
  </si>
  <si>
    <t>13/05/2026</t>
  </si>
  <si>
    <t>INW50155</t>
  </si>
  <si>
    <t>INS011</t>
  </si>
  <si>
    <t>Credit Note : CR10619</t>
  </si>
  <si>
    <t>SKI003</t>
  </si>
  <si>
    <t>Credit Note : CR10620</t>
  </si>
  <si>
    <t>VER005</t>
  </si>
  <si>
    <t>Credit Note : CR10621</t>
  </si>
  <si>
    <t>BBG001</t>
  </si>
  <si>
    <t>Credit Note : CR10622</t>
  </si>
  <si>
    <t>INW50136</t>
  </si>
  <si>
    <t>JOI001</t>
  </si>
  <si>
    <t>Credit Note : CR10623</t>
  </si>
  <si>
    <t>INW50053</t>
  </si>
  <si>
    <t>POR003</t>
  </si>
  <si>
    <t>Credit Note : CR10624</t>
  </si>
  <si>
    <t>14/05/2026</t>
  </si>
  <si>
    <t>INW49701</t>
  </si>
  <si>
    <t>LEA030</t>
  </si>
  <si>
    <t>Credit Note : CR10625</t>
  </si>
  <si>
    <t>CUR009</t>
  </si>
  <si>
    <t>Credit Note : CR10626</t>
  </si>
  <si>
    <t>INW48970</t>
  </si>
  <si>
    <t>Credit Note : CR10627</t>
  </si>
  <si>
    <t>INW49348</t>
  </si>
  <si>
    <t>Credit Note : CR10628</t>
  </si>
  <si>
    <t>INW50153</t>
  </si>
  <si>
    <t>MAR050</t>
  </si>
  <si>
    <t>Credit Note : CR10629</t>
  </si>
  <si>
    <t>INW50333</t>
  </si>
  <si>
    <t>GAT003</t>
  </si>
  <si>
    <t>Credit Note : CR10630</t>
  </si>
  <si>
    <t>15/05/2026</t>
  </si>
  <si>
    <t>INW50293</t>
  </si>
  <si>
    <t>FIO001</t>
  </si>
  <si>
    <t>Credit Note : CR10631</t>
  </si>
  <si>
    <t>INW50312</t>
  </si>
  <si>
    <t>BAR003</t>
  </si>
  <si>
    <t>Credit Note : CR10632</t>
  </si>
  <si>
    <t>KER021</t>
  </si>
  <si>
    <t>Credit Note : CR10636</t>
  </si>
  <si>
    <t>INW49947</t>
  </si>
  <si>
    <t>BCI001</t>
  </si>
  <si>
    <t>Credit Note : CR10637</t>
  </si>
  <si>
    <t>Credit Note : CR10638</t>
  </si>
  <si>
    <t>WYN001</t>
  </si>
  <si>
    <t>Credit Note : CR10639</t>
  </si>
  <si>
    <t>INW49770</t>
  </si>
  <si>
    <t>VAN020</t>
  </si>
  <si>
    <t>Credit Note : CR10640</t>
  </si>
  <si>
    <t>INW50142</t>
  </si>
  <si>
    <t>LIY001</t>
  </si>
  <si>
    <t>Credit Note : CR10641</t>
  </si>
  <si>
    <t>INW49982</t>
  </si>
  <si>
    <t>CUR005</t>
  </si>
  <si>
    <t>Credit Note : CR10642</t>
  </si>
  <si>
    <t>18/05/2026</t>
  </si>
  <si>
    <t>INW47525</t>
  </si>
  <si>
    <t>AFR031</t>
  </si>
  <si>
    <t>Credit Note : CR10643</t>
  </si>
  <si>
    <t>INW46655</t>
  </si>
  <si>
    <t>BAR019</t>
  </si>
  <si>
    <t>Credit Note : CR10644</t>
  </si>
  <si>
    <t>INW50358</t>
  </si>
  <si>
    <t>Credit Note : CR10645</t>
  </si>
  <si>
    <t>19/05/2026</t>
  </si>
  <si>
    <t>SMA011</t>
  </si>
  <si>
    <t>Credit Note : CR10646</t>
  </si>
  <si>
    <t>INW50389</t>
  </si>
  <si>
    <t>JUL003</t>
  </si>
  <si>
    <t>Credit Note : CR10647</t>
  </si>
  <si>
    <t>OST001</t>
  </si>
  <si>
    <t>Credit Note : CR10648</t>
  </si>
  <si>
    <t>20/05/2026</t>
  </si>
  <si>
    <t>INW50190</t>
  </si>
  <si>
    <t>Credit Note : CR10649</t>
  </si>
  <si>
    <t>VUN001</t>
  </si>
  <si>
    <t>Credit Note : CR10650</t>
  </si>
  <si>
    <t>INW38377</t>
  </si>
  <si>
    <t>BRE003</t>
  </si>
  <si>
    <t>Credit Note : CR10652</t>
  </si>
  <si>
    <t>INW49821</t>
  </si>
  <si>
    <t>LEG005</t>
  </si>
  <si>
    <t>Credit Note : CR10653</t>
  </si>
  <si>
    <t>INW50482</t>
  </si>
  <si>
    <t>Credit Note : CR10654</t>
  </si>
  <si>
    <t>21/05/2026</t>
  </si>
  <si>
    <t>INW50538</t>
  </si>
  <si>
    <t>TAG001</t>
  </si>
  <si>
    <t>Credit Note : CR10655</t>
  </si>
  <si>
    <t>INW50551</t>
  </si>
  <si>
    <t>ELE002</t>
  </si>
  <si>
    <t>Credit Note : CR10656</t>
  </si>
  <si>
    <t>INW50549</t>
  </si>
  <si>
    <t>EXP001</t>
  </si>
  <si>
    <t>Credit Note : CR10657</t>
  </si>
  <si>
    <t>22/05/2026</t>
  </si>
  <si>
    <t>INW50239</t>
  </si>
  <si>
    <t>NAP001</t>
  </si>
  <si>
    <t>Credit Note : CR10658</t>
  </si>
  <si>
    <t>INW46785</t>
  </si>
  <si>
    <t>MAR000</t>
  </si>
  <si>
    <t>Credit Note : CR10659</t>
  </si>
  <si>
    <t>INW50562</t>
  </si>
  <si>
    <t>LUB001</t>
  </si>
  <si>
    <t>Credit Note : CR10660</t>
  </si>
  <si>
    <t>INW49946</t>
  </si>
  <si>
    <t>KAR005</t>
  </si>
  <si>
    <t>Credit Note : CR10661</t>
  </si>
  <si>
    <t>INW50486</t>
  </si>
  <si>
    <t>Credit Note : CR10662</t>
  </si>
  <si>
    <t>25/05/2026</t>
  </si>
  <si>
    <t>INW50528</t>
  </si>
  <si>
    <t>LIN04</t>
  </si>
  <si>
    <t>Credit Note : CR10663</t>
  </si>
  <si>
    <t>INW50650</t>
  </si>
  <si>
    <t>HOB001</t>
  </si>
  <si>
    <t>Credit Note : CR10664</t>
  </si>
  <si>
    <t>INW48999</t>
  </si>
  <si>
    <t>EMP002</t>
  </si>
  <si>
    <t>Credit Note : CR10665</t>
  </si>
  <si>
    <t>INW48915</t>
  </si>
  <si>
    <t>HOL004</t>
  </si>
  <si>
    <t>Credit Note : CR10666</t>
  </si>
  <si>
    <t>26/05/2026</t>
  </si>
  <si>
    <t>INW50566</t>
  </si>
  <si>
    <t>ABM002</t>
  </si>
  <si>
    <t>Credit Note : CR10667</t>
  </si>
  <si>
    <t>INW50415</t>
  </si>
  <si>
    <t>CAS003</t>
  </si>
  <si>
    <t>Credit Note : CR10668</t>
  </si>
  <si>
    <t>INW50442</t>
  </si>
  <si>
    <t>Credit Note : CR10669</t>
  </si>
  <si>
    <t>INW50313</t>
  </si>
  <si>
    <t>SMI002</t>
  </si>
  <si>
    <t>Credit Note : CR10670</t>
  </si>
  <si>
    <t>27/05/2026</t>
  </si>
  <si>
    <t>INW50786</t>
  </si>
  <si>
    <t>WUN001</t>
  </si>
  <si>
    <t>Credit Note : CR10671</t>
  </si>
  <si>
    <t>INW49885</t>
  </si>
  <si>
    <t>LEA03</t>
  </si>
  <si>
    <t>Credit Note : CR10672</t>
  </si>
  <si>
    <t>INW50013</t>
  </si>
  <si>
    <t>Credit Note : CR10673</t>
  </si>
  <si>
    <t>INW50774</t>
  </si>
  <si>
    <t>Credit Note : CR10674</t>
  </si>
  <si>
    <t>INW50847</t>
  </si>
  <si>
    <t>BOS010</t>
  </si>
  <si>
    <t>Credit Note : CR10675</t>
  </si>
  <si>
    <t>28/05/2026</t>
  </si>
  <si>
    <t>INW50743</t>
  </si>
  <si>
    <t>SEV002</t>
  </si>
  <si>
    <t>Credit Note : CR10676</t>
  </si>
  <si>
    <t>INW49535</t>
  </si>
  <si>
    <t>Credit Note : CR10677</t>
  </si>
  <si>
    <t>INW50760</t>
  </si>
  <si>
    <t>Credit Note : CR10678</t>
  </si>
  <si>
    <t>INW50114</t>
  </si>
  <si>
    <t>Credit Note : CR10679</t>
  </si>
  <si>
    <t>INW50923</t>
  </si>
  <si>
    <t>BAB001</t>
  </si>
  <si>
    <t>Credit Note : CR10680</t>
  </si>
  <si>
    <t>29/05/2026</t>
  </si>
  <si>
    <t>INW49649</t>
  </si>
  <si>
    <t>Credit Note : CR10681</t>
  </si>
  <si>
    <t>INW50771</t>
  </si>
  <si>
    <t>HAD001</t>
  </si>
  <si>
    <t>Credit Note : CR10682</t>
  </si>
  <si>
    <t>INW50953</t>
  </si>
  <si>
    <t>OLL001</t>
  </si>
  <si>
    <t>Credit Note : CR10685</t>
  </si>
  <si>
    <t>INW49103</t>
  </si>
  <si>
    <t>LUU001</t>
  </si>
  <si>
    <t>Credit Note : CR10687</t>
  </si>
  <si>
    <t>INW49049</t>
  </si>
  <si>
    <t>Credit Note : CR10688</t>
  </si>
  <si>
    <t>INW50845</t>
  </si>
  <si>
    <t>YOU006</t>
  </si>
  <si>
    <t>Credit Note : CR10689</t>
  </si>
  <si>
    <t>Tax Invoice : INW49594</t>
  </si>
  <si>
    <t>01/05/2026</t>
  </si>
  <si>
    <t>Tax Invoice : INW49642</t>
  </si>
  <si>
    <t>Tax Invoice : INW49648</t>
  </si>
  <si>
    <t>GRA002</t>
  </si>
  <si>
    <t>Tax Invoice : INW49663</t>
  </si>
  <si>
    <t>ELS001</t>
  </si>
  <si>
    <t>Tax Invoice : INW49688</t>
  </si>
  <si>
    <t>Tax Invoice : INW49698</t>
  </si>
  <si>
    <t>KUDA</t>
  </si>
  <si>
    <t>Tax Invoice : INW49699</t>
  </si>
  <si>
    <t>PO#74072</t>
  </si>
  <si>
    <t>DES026</t>
  </si>
  <si>
    <t>Tax Invoice : INW49700</t>
  </si>
  <si>
    <t>PO # 109527</t>
  </si>
  <si>
    <t>Tax Invoice : INW49701</t>
  </si>
  <si>
    <t>ATT: LORRAINE</t>
  </si>
  <si>
    <t>CA001</t>
  </si>
  <si>
    <t>Tax Invoice : INW49703</t>
  </si>
  <si>
    <t>STR006</t>
  </si>
  <si>
    <t>Tax Invoice : INW49704</t>
  </si>
  <si>
    <t>ATT: KEITH</t>
  </si>
  <si>
    <t>Tax Invoice : INW49705</t>
  </si>
  <si>
    <t>Tax Invoice : INW49706</t>
  </si>
  <si>
    <t>Tax Invoice : INW49707</t>
  </si>
  <si>
    <t>PO#AGGENHEYS</t>
  </si>
  <si>
    <t>BAR004</t>
  </si>
  <si>
    <t>Tax Invoice : INW49708</t>
  </si>
  <si>
    <t>PO#CHANTAL</t>
  </si>
  <si>
    <t>SAL008</t>
  </si>
  <si>
    <t>Tax Invoice : INW49709</t>
  </si>
  <si>
    <t>ATT: KOSHEEK</t>
  </si>
  <si>
    <t>HOP001</t>
  </si>
  <si>
    <t>Tax Invoice : INW49710</t>
  </si>
  <si>
    <t>PO: 15845</t>
  </si>
  <si>
    <t>PAP001</t>
  </si>
  <si>
    <t>Tax Invoice : INW49711</t>
  </si>
  <si>
    <t>ATT: CYNTHIA</t>
  </si>
  <si>
    <t>Tax Invoice : INW49712</t>
  </si>
  <si>
    <t>SOL005</t>
  </si>
  <si>
    <t>Tax Invoice : INW49713</t>
  </si>
  <si>
    <t>ATT: BLAKE</t>
  </si>
  <si>
    <t>Tax Invoice : INW49714</t>
  </si>
  <si>
    <t>Tax Invoice : INW49715</t>
  </si>
  <si>
    <t>REF - INW49671</t>
  </si>
  <si>
    <t>Tax Invoice : INW49716</t>
  </si>
  <si>
    <t>PO:LB260429-2</t>
  </si>
  <si>
    <t>Tax Invoice : INW49717</t>
  </si>
  <si>
    <t>Tax Invoice : INW49718</t>
  </si>
  <si>
    <t>EGG001</t>
  </si>
  <si>
    <t>Tax Invoice : INW49720</t>
  </si>
  <si>
    <t>ATT: BRYAN</t>
  </si>
  <si>
    <t>ALD003</t>
  </si>
  <si>
    <t>Tax Invoice : INW49721</t>
  </si>
  <si>
    <t>ATT: BRANDON</t>
  </si>
  <si>
    <t>CRA010</t>
  </si>
  <si>
    <t>Tax Invoice : INW49722</t>
  </si>
  <si>
    <t>BLA010</t>
  </si>
  <si>
    <t>Tax Invoice : INW49723</t>
  </si>
  <si>
    <t>TIGHTLINE</t>
  </si>
  <si>
    <t>Tax Invoice : INW49724</t>
  </si>
  <si>
    <t>IKA001</t>
  </si>
  <si>
    <t>Tax Invoice : INW49725</t>
  </si>
  <si>
    <t>Tax Invoice : INW49726</t>
  </si>
  <si>
    <t>Tax Invoice : INW49727</t>
  </si>
  <si>
    <t>Tax Invoice : INW49728</t>
  </si>
  <si>
    <t>SIL001</t>
  </si>
  <si>
    <t>Tax Invoice : INW49729</t>
  </si>
  <si>
    <t>BOO002</t>
  </si>
  <si>
    <t>Tax Invoice : INW49730</t>
  </si>
  <si>
    <t>BSE001</t>
  </si>
  <si>
    <t>Tax Invoice : INW49731</t>
  </si>
  <si>
    <t>PO#MAY003</t>
  </si>
  <si>
    <t>Tax Invoice : INW49732</t>
  </si>
  <si>
    <t>JOU001</t>
  </si>
  <si>
    <t>Tax Invoice : INW49733</t>
  </si>
  <si>
    <t>KIN002</t>
  </si>
  <si>
    <t>Tax Invoice : INW49734</t>
  </si>
  <si>
    <t>SAD001</t>
  </si>
  <si>
    <t>Tax Invoice : INW49735</t>
  </si>
  <si>
    <t>PO: 022021</t>
  </si>
  <si>
    <t>FIN012</t>
  </si>
  <si>
    <t>Tax Invoice : INW49736</t>
  </si>
  <si>
    <t>ATT: ADRIEL</t>
  </si>
  <si>
    <t>Tax Invoice : INW49737</t>
  </si>
  <si>
    <t>ADD001</t>
  </si>
  <si>
    <t>Tax Invoice : INW49738</t>
  </si>
  <si>
    <t>JOU004</t>
  </si>
  <si>
    <t>Tax Invoice : INW49739</t>
  </si>
  <si>
    <t>Tax Invoice : INW49740</t>
  </si>
  <si>
    <t>JAR006</t>
  </si>
  <si>
    <t>Tax Invoice : INW49741</t>
  </si>
  <si>
    <t>PO#JOF27526</t>
  </si>
  <si>
    <t>LEM009</t>
  </si>
  <si>
    <t>Tax Invoice : INW49742</t>
  </si>
  <si>
    <t>LHS001</t>
  </si>
  <si>
    <t>Tax Invoice : INW49743</t>
  </si>
  <si>
    <t>HIG001</t>
  </si>
  <si>
    <t>Tax Invoice : INW49744</t>
  </si>
  <si>
    <t>KNA002</t>
  </si>
  <si>
    <t>Tax Invoice : INW49745</t>
  </si>
  <si>
    <t>Tax Invoice : INW49746</t>
  </si>
  <si>
    <t>ELL001</t>
  </si>
  <si>
    <t>Tax Invoice : INW49747</t>
  </si>
  <si>
    <t>ZAP001</t>
  </si>
  <si>
    <t>Tax Invoice : INW49748</t>
  </si>
  <si>
    <t>Tax Invoice : INW49749</t>
  </si>
  <si>
    <t>RENEE STREICHER</t>
  </si>
  <si>
    <t>Tax Invoice : INW49750</t>
  </si>
  <si>
    <t>Tax Invoice : INW49751</t>
  </si>
  <si>
    <t>POD08672</t>
  </si>
  <si>
    <t>Tax Invoice : INW49752</t>
  </si>
  <si>
    <t>GWO001</t>
  </si>
  <si>
    <t>Tax Invoice : INW49753</t>
  </si>
  <si>
    <t>NAT004</t>
  </si>
  <si>
    <t>Tax Invoice : INW49754</t>
  </si>
  <si>
    <t>PO#JUDD DESIGN</t>
  </si>
  <si>
    <t>Tax Invoice : INW49755</t>
  </si>
  <si>
    <t>STA012</t>
  </si>
  <si>
    <t>Tax Invoice : INW49756</t>
  </si>
  <si>
    <t>Tax Invoice : INW49757</t>
  </si>
  <si>
    <t>JESSICA</t>
  </si>
  <si>
    <t>GRO021</t>
  </si>
  <si>
    <t>Tax Invoice : INW49758</t>
  </si>
  <si>
    <t>JAL001</t>
  </si>
  <si>
    <t>Tax Invoice : INW49759</t>
  </si>
  <si>
    <t>DYN002</t>
  </si>
  <si>
    <t>Tax Invoice : INW49760</t>
  </si>
  <si>
    <t>THE031</t>
  </si>
  <si>
    <t>Tax Invoice : INW49761</t>
  </si>
  <si>
    <t>SHOWROOM SKINS</t>
  </si>
  <si>
    <t>WOR007</t>
  </si>
  <si>
    <t>Tax Invoice : INW49762</t>
  </si>
  <si>
    <t>LED003</t>
  </si>
  <si>
    <t>Tax Invoice : INW49763</t>
  </si>
  <si>
    <t>WHA001</t>
  </si>
  <si>
    <t>Tax Invoice : INW49764</t>
  </si>
  <si>
    <t>STU008</t>
  </si>
  <si>
    <t>Tax Invoice : INW49765</t>
  </si>
  <si>
    <t>REN003</t>
  </si>
  <si>
    <t>Tax Invoice : INW49766</t>
  </si>
  <si>
    <t>Tax Invoice : INW49767</t>
  </si>
  <si>
    <t>DCD001</t>
  </si>
  <si>
    <t>Tax Invoice : INW49768</t>
  </si>
  <si>
    <t>Tax Invoice : INW49769</t>
  </si>
  <si>
    <t>Tax Invoice : INW49770</t>
  </si>
  <si>
    <t>ATT: WYNE</t>
  </si>
  <si>
    <t>BRI012</t>
  </si>
  <si>
    <t>Tax Invoice : INW49771</t>
  </si>
  <si>
    <t>FAT004</t>
  </si>
  <si>
    <t>Tax Invoice : INW49772</t>
  </si>
  <si>
    <t>OKI001</t>
  </si>
  <si>
    <t>Tax Invoice : INW49773</t>
  </si>
  <si>
    <t>IBR001</t>
  </si>
  <si>
    <t>Tax Invoice : INW49774</t>
  </si>
  <si>
    <t>UVA011</t>
  </si>
  <si>
    <t>Tax Invoice : INW49775</t>
  </si>
  <si>
    <t>Tax Invoice : INW49776</t>
  </si>
  <si>
    <t>Tax Invoice : INW49777</t>
  </si>
  <si>
    <t>Tax Invoice : INW49778</t>
  </si>
  <si>
    <t>AUV001</t>
  </si>
  <si>
    <t>Tax Invoice : INW49779</t>
  </si>
  <si>
    <t>ISL002</t>
  </si>
  <si>
    <t>Tax Invoice : INW49780</t>
  </si>
  <si>
    <t>TEB003</t>
  </si>
  <si>
    <t>Tax Invoice : INW49781</t>
  </si>
  <si>
    <t>Tax Invoice : INW49782</t>
  </si>
  <si>
    <t>INS009</t>
  </si>
  <si>
    <t>Tax Invoice : INW49783</t>
  </si>
  <si>
    <t>GYP001</t>
  </si>
  <si>
    <t>Tax Invoice : INW49784</t>
  </si>
  <si>
    <t>AARD01</t>
  </si>
  <si>
    <t>Tax Invoice : INW49785</t>
  </si>
  <si>
    <t>Tax Invoice : INW49786</t>
  </si>
  <si>
    <t>PO#SANDALENE</t>
  </si>
  <si>
    <t>KLE004</t>
  </si>
  <si>
    <t>Tax Invoice : INW49787</t>
  </si>
  <si>
    <t>Tax Invoice : INW49788</t>
  </si>
  <si>
    <t>Tax Invoice : INW49789</t>
  </si>
  <si>
    <t>BEN005</t>
  </si>
  <si>
    <t>Tax Invoice : INW49790</t>
  </si>
  <si>
    <t>ATT: NESH</t>
  </si>
  <si>
    <t>SEA003</t>
  </si>
  <si>
    <t>Tax Invoice : INW49791</t>
  </si>
  <si>
    <t>ATT: ADAM</t>
  </si>
  <si>
    <t>Tax Invoice : INW49792</t>
  </si>
  <si>
    <t>LIG003</t>
  </si>
  <si>
    <t>Tax Invoice : INW49793</t>
  </si>
  <si>
    <t>MIS002</t>
  </si>
  <si>
    <t>Tax Invoice : INW49794</t>
  </si>
  <si>
    <t>Tax Invoice : INW49795</t>
  </si>
  <si>
    <t>YEL002</t>
  </si>
  <si>
    <t>Tax Invoice : INW49796</t>
  </si>
  <si>
    <t>Tax Invoice : INW49797</t>
  </si>
  <si>
    <t>Tax Invoice : INW49798</t>
  </si>
  <si>
    <t>FRANCISCA</t>
  </si>
  <si>
    <t>Tax Invoice : INW49799</t>
  </si>
  <si>
    <t>LAS002</t>
  </si>
  <si>
    <t>Tax Invoice : INW49800</t>
  </si>
  <si>
    <t>BEL016</t>
  </si>
  <si>
    <t>Tax Invoice : INW49801</t>
  </si>
  <si>
    <t>Tax Invoice : INW49802</t>
  </si>
  <si>
    <t>Tax Invoice : INW49803</t>
  </si>
  <si>
    <t>SGB001</t>
  </si>
  <si>
    <t>Tax Invoice : INW49804</t>
  </si>
  <si>
    <t>MAG008</t>
  </si>
  <si>
    <t>Tax Invoice : INW49805</t>
  </si>
  <si>
    <t>Tax Invoice : INW49806</t>
  </si>
  <si>
    <t>OLI008</t>
  </si>
  <si>
    <t>Tax Invoice : INW49807</t>
  </si>
  <si>
    <t>ALW010</t>
  </si>
  <si>
    <t>Tax Invoice : INW49808</t>
  </si>
  <si>
    <t>WLF001</t>
  </si>
  <si>
    <t>Tax Invoice : INW49809</t>
  </si>
  <si>
    <t>Tax Invoice : INW49810</t>
  </si>
  <si>
    <t>Tax Invoice : INW49811</t>
  </si>
  <si>
    <t>Tax Invoice : INW49812</t>
  </si>
  <si>
    <t>LAD001</t>
  </si>
  <si>
    <t>Tax Invoice : INW49813</t>
  </si>
  <si>
    <t>Tax Invoice : INW49814</t>
  </si>
  <si>
    <t>Tax Invoice : INW49815</t>
  </si>
  <si>
    <t>MAR051</t>
  </si>
  <si>
    <t>Tax Invoice : INW49816</t>
  </si>
  <si>
    <t>ARR002</t>
  </si>
  <si>
    <t>Tax Invoice : INW49817</t>
  </si>
  <si>
    <t>Tax Invoice : INW49818</t>
  </si>
  <si>
    <t>ATT: FAT FRANK</t>
  </si>
  <si>
    <t>Tax Invoice : INW49819</t>
  </si>
  <si>
    <t>Tax Invoice : INW49820</t>
  </si>
  <si>
    <t>Tax Invoice : INW49821</t>
  </si>
  <si>
    <t>ATT: MICHELLE</t>
  </si>
  <si>
    <t>PREB00</t>
  </si>
  <si>
    <t>Tax Invoice : INW49822</t>
  </si>
  <si>
    <t>VAN001</t>
  </si>
  <si>
    <t>Tax Invoice : INW49823</t>
  </si>
  <si>
    <t>NIC005</t>
  </si>
  <si>
    <t>Tax Invoice : INW49824</t>
  </si>
  <si>
    <t>LIL005</t>
  </si>
  <si>
    <t>Tax Invoice : INW49825</t>
  </si>
  <si>
    <t>Tax Invoice : INW49826</t>
  </si>
  <si>
    <t>Tax Invoice : INW49827</t>
  </si>
  <si>
    <t>Tax Invoice : INW49828</t>
  </si>
  <si>
    <t>Tax Invoice : INW49829</t>
  </si>
  <si>
    <t>THA003</t>
  </si>
  <si>
    <t>Tax Invoice : INW49830</t>
  </si>
  <si>
    <t>PO: 3204 &amp; PO: 3207</t>
  </si>
  <si>
    <t>PAR004</t>
  </si>
  <si>
    <t>Tax Invoice : INW49831</t>
  </si>
  <si>
    <t>ASW001</t>
  </si>
  <si>
    <t>Tax Invoice : INW49832</t>
  </si>
  <si>
    <t>Tax Invoice : INW49833</t>
  </si>
  <si>
    <t>UPH025</t>
  </si>
  <si>
    <t>Tax Invoice : INW49834</t>
  </si>
  <si>
    <t>ATT: RICHARD</t>
  </si>
  <si>
    <t>RAC002</t>
  </si>
  <si>
    <t>Tax Invoice : INW49835</t>
  </si>
  <si>
    <t>BOS003</t>
  </si>
  <si>
    <t>Tax Invoice : INW49836</t>
  </si>
  <si>
    <t>ESM005</t>
  </si>
  <si>
    <t>Tax Invoice : INW49837</t>
  </si>
  <si>
    <t>JAY001</t>
  </si>
  <si>
    <t>Tax Invoice : INW49838</t>
  </si>
  <si>
    <t>ATT: VEEZ</t>
  </si>
  <si>
    <t>Tax Invoice : INW49839</t>
  </si>
  <si>
    <t>Tax Invoice : INW49840</t>
  </si>
  <si>
    <t>LEW001</t>
  </si>
  <si>
    <t>Tax Invoice : INW49841</t>
  </si>
  <si>
    <t>Tax Invoice : INW49842</t>
  </si>
  <si>
    <t>PO: 15862</t>
  </si>
  <si>
    <t>Tax Invoice : INW49843</t>
  </si>
  <si>
    <t>Tax Invoice : INW49844</t>
  </si>
  <si>
    <t>Tax Invoice : INW49845</t>
  </si>
  <si>
    <t>Tax Invoice : INW49846</t>
  </si>
  <si>
    <t>AND007</t>
  </si>
  <si>
    <t>Tax Invoice : INW49847</t>
  </si>
  <si>
    <t>LAZ006</t>
  </si>
  <si>
    <t>Tax Invoice : INW49848</t>
  </si>
  <si>
    <t>TSO003</t>
  </si>
  <si>
    <t>Tax Invoice : INW49849</t>
  </si>
  <si>
    <t>Tax Invoice : INW49850</t>
  </si>
  <si>
    <t>NEW001</t>
  </si>
  <si>
    <t>Tax Invoice : INW49851</t>
  </si>
  <si>
    <t>Tax Invoice : INW49852</t>
  </si>
  <si>
    <t>VER001</t>
  </si>
  <si>
    <t>Tax Invoice : INW49853</t>
  </si>
  <si>
    <t>VIN006</t>
  </si>
  <si>
    <t>Tax Invoice : INW49854</t>
  </si>
  <si>
    <t>THE053</t>
  </si>
  <si>
    <t>Tax Invoice : INW49855</t>
  </si>
  <si>
    <t>Tax Invoice : INW49856</t>
  </si>
  <si>
    <t>THE030</t>
  </si>
  <si>
    <t>Tax Invoice : INW49857</t>
  </si>
  <si>
    <t>THF001</t>
  </si>
  <si>
    <t>Tax Invoice : INW49858</t>
  </si>
  <si>
    <t>SAN006</t>
  </si>
  <si>
    <t>Tax Invoice : INW49859</t>
  </si>
  <si>
    <t>POD08685</t>
  </si>
  <si>
    <t>Tax Invoice : INW49860</t>
  </si>
  <si>
    <t>Tax Invoice : INW49861</t>
  </si>
  <si>
    <t>DN272/48</t>
  </si>
  <si>
    <t>Tax Invoice : INW49862</t>
  </si>
  <si>
    <t>SHS001</t>
  </si>
  <si>
    <t>Tax Invoice : INW49863</t>
  </si>
  <si>
    <t>CAM003</t>
  </si>
  <si>
    <t>Tax Invoice : INW49864</t>
  </si>
  <si>
    <t>POD08541</t>
  </si>
  <si>
    <t>Tax Invoice : INW49865</t>
  </si>
  <si>
    <t>POD08547</t>
  </si>
  <si>
    <t>Tax Invoice : INW49866</t>
  </si>
  <si>
    <t>POD08591</t>
  </si>
  <si>
    <t>Tax Invoice : INW49867</t>
  </si>
  <si>
    <t>POD08618</t>
  </si>
  <si>
    <t>CAN003</t>
  </si>
  <si>
    <t>Tax Invoice : INW49868</t>
  </si>
  <si>
    <t>Tax Invoice : INW49869</t>
  </si>
  <si>
    <t>BOS008</t>
  </si>
  <si>
    <t>Tax Invoice : INW49870</t>
  </si>
  <si>
    <t>Tax Invoice : INW49871</t>
  </si>
  <si>
    <t>PO#96195</t>
  </si>
  <si>
    <t>MOD002</t>
  </si>
  <si>
    <t>Tax Invoice : INW49872</t>
  </si>
  <si>
    <t>PO#3082</t>
  </si>
  <si>
    <t>Tax Invoice : INW49873</t>
  </si>
  <si>
    <t>ATT: MIDLANDS COBBLER</t>
  </si>
  <si>
    <t>CRE007</t>
  </si>
  <si>
    <t>Tax Invoice : INW49874</t>
  </si>
  <si>
    <t>ATT: ROWAN</t>
  </si>
  <si>
    <t>Tax Invoice : INW49875</t>
  </si>
  <si>
    <t>Tax Invoice : INW49876</t>
  </si>
  <si>
    <t>ATT: DESHNEE</t>
  </si>
  <si>
    <t>WIL008</t>
  </si>
  <si>
    <t>Tax Invoice : INW49877</t>
  </si>
  <si>
    <t>KUR001</t>
  </si>
  <si>
    <t>Tax Invoice : INW49878</t>
  </si>
  <si>
    <t>SIG002</t>
  </si>
  <si>
    <t>Tax Invoice : INW49879</t>
  </si>
  <si>
    <t>DAN004</t>
  </si>
  <si>
    <t>Tax Invoice : INW49880</t>
  </si>
  <si>
    <t>ATT: SHARON</t>
  </si>
  <si>
    <t>Tax Invoice : INW49881</t>
  </si>
  <si>
    <t>Tax Invoice : INW49882</t>
  </si>
  <si>
    <t>PAN001</t>
  </si>
  <si>
    <t>Tax Invoice : INW49883</t>
  </si>
  <si>
    <t>Tax Invoice : INW49884</t>
  </si>
  <si>
    <t>Tax Invoice : INW49885</t>
  </si>
  <si>
    <t>PO#36064</t>
  </si>
  <si>
    <t>ZUL004</t>
  </si>
  <si>
    <t>Tax Invoice : INW49886</t>
  </si>
  <si>
    <t>NIN002</t>
  </si>
  <si>
    <t>Tax Invoice : INW49887</t>
  </si>
  <si>
    <t>DIO001</t>
  </si>
  <si>
    <t>Tax Invoice : INW49888</t>
  </si>
  <si>
    <t>Tax Invoice : INW49889</t>
  </si>
  <si>
    <t>ALBERTUS WOLMARANS</t>
  </si>
  <si>
    <t>RGM001</t>
  </si>
  <si>
    <t>Tax Invoice : INW49890</t>
  </si>
  <si>
    <t>ATT: ISIAH</t>
  </si>
  <si>
    <t>Tax Invoice : INW49891</t>
  </si>
  <si>
    <t>LIN008</t>
  </si>
  <si>
    <t>Tax Invoice : INW49892</t>
  </si>
  <si>
    <t>PO: THOMPSON</t>
  </si>
  <si>
    <t>DES042</t>
  </si>
  <si>
    <t>Tax Invoice : INW49893</t>
  </si>
  <si>
    <t>DOU002</t>
  </si>
  <si>
    <t>Tax Invoice : INW49894</t>
  </si>
  <si>
    <t>Tax Invoice : INW49895</t>
  </si>
  <si>
    <t>LLM001</t>
  </si>
  <si>
    <t>Tax Invoice : INW49896</t>
  </si>
  <si>
    <t>ATT: LLOYD</t>
  </si>
  <si>
    <t>SKY002</t>
  </si>
  <si>
    <t>Tax Invoice : INW49897</t>
  </si>
  <si>
    <t>PRO015</t>
  </si>
  <si>
    <t>Tax Invoice : INW49898</t>
  </si>
  <si>
    <t>RUS003</t>
  </si>
  <si>
    <t>Tax Invoice : INW49899</t>
  </si>
  <si>
    <t>LEA028</t>
  </si>
  <si>
    <t>Tax Invoice : INW49900</t>
  </si>
  <si>
    <t>IZE001</t>
  </si>
  <si>
    <t>Tax Invoice : INW49901</t>
  </si>
  <si>
    <t>TOM003</t>
  </si>
  <si>
    <t>Tax Invoice : INW49902</t>
  </si>
  <si>
    <t>LEA065</t>
  </si>
  <si>
    <t>Tax Invoice : INW49903</t>
  </si>
  <si>
    <t>MEY001</t>
  </si>
  <si>
    <t>Tax Invoice : INW49904</t>
  </si>
  <si>
    <t>Tax Invoice : INW49905</t>
  </si>
  <si>
    <t>HOU060</t>
  </si>
  <si>
    <t>Tax Invoice : INW49906</t>
  </si>
  <si>
    <t>OAK002</t>
  </si>
  <si>
    <t>Tax Invoice : INW49907</t>
  </si>
  <si>
    <t>Tax Invoice : INW49908</t>
  </si>
  <si>
    <t>COM013</t>
  </si>
  <si>
    <t>Tax Invoice : INW49909</t>
  </si>
  <si>
    <t>MAG007</t>
  </si>
  <si>
    <t>Tax Invoice : INW49910</t>
  </si>
  <si>
    <t>LEZ004</t>
  </si>
  <si>
    <t>Tax Invoice : INW49911</t>
  </si>
  <si>
    <t>PIT001</t>
  </si>
  <si>
    <t>Tax Invoice : INW49912</t>
  </si>
  <si>
    <t>Tax Invoice : INW49913</t>
  </si>
  <si>
    <t>Tax Invoice : INW49914</t>
  </si>
  <si>
    <t>Tax Invoice : INW49915</t>
  </si>
  <si>
    <t>OLD007</t>
  </si>
  <si>
    <t>Tax Invoice : INW49916</t>
  </si>
  <si>
    <t>Tax Invoice : INW49917</t>
  </si>
  <si>
    <t>ATT: SONJA VAN DYK</t>
  </si>
  <si>
    <t>EAS004</t>
  </si>
  <si>
    <t>Tax Invoice : INW49918</t>
  </si>
  <si>
    <t>Tax Invoice : INW49919</t>
  </si>
  <si>
    <t>Tax Invoice : INW49920</t>
  </si>
  <si>
    <t>GEN010</t>
  </si>
  <si>
    <t>Tax Invoice : INW49921</t>
  </si>
  <si>
    <t>MID003</t>
  </si>
  <si>
    <t>Tax Invoice : INW49922</t>
  </si>
  <si>
    <t>SAS018</t>
  </si>
  <si>
    <t>Tax Invoice : INW49923</t>
  </si>
  <si>
    <t>HER005</t>
  </si>
  <si>
    <t>Tax Invoice : INW49924</t>
  </si>
  <si>
    <t>THE051</t>
  </si>
  <si>
    <t>Tax Invoice : INW49925</t>
  </si>
  <si>
    <t>EST001</t>
  </si>
  <si>
    <t>Tax Invoice : INW49926</t>
  </si>
  <si>
    <t>TRI016</t>
  </si>
  <si>
    <t>Tax Invoice : INW49927</t>
  </si>
  <si>
    <t>ATT; DAVE</t>
  </si>
  <si>
    <t>Tax Invoice : INW49928</t>
  </si>
  <si>
    <t>H&amp;T001</t>
  </si>
  <si>
    <t>Tax Invoice : INW49929</t>
  </si>
  <si>
    <t>PO#VAN NIEKERK / TRANS</t>
  </si>
  <si>
    <t>Tax Invoice : INW49930</t>
  </si>
  <si>
    <t>SWE001</t>
  </si>
  <si>
    <t>Tax Invoice : INW49931</t>
  </si>
  <si>
    <t>JIK001</t>
  </si>
  <si>
    <t>Tax Invoice : INW49932</t>
  </si>
  <si>
    <t>SFE001</t>
  </si>
  <si>
    <t>Tax Invoice : INW49933</t>
  </si>
  <si>
    <t>LUL021</t>
  </si>
  <si>
    <t>Tax Invoice : INW49934</t>
  </si>
  <si>
    <t>Tax Invoice : INW49935</t>
  </si>
  <si>
    <t>Tax Invoice : INW49936</t>
  </si>
  <si>
    <t>Tax Invoice : INW49937</t>
  </si>
  <si>
    <t>Tax Invoice : INW49938</t>
  </si>
  <si>
    <t>Tax Invoice : INW49939</t>
  </si>
  <si>
    <t>GOM001</t>
  </si>
  <si>
    <t>Tax Invoice : INW49940</t>
  </si>
  <si>
    <t>AMO001</t>
  </si>
  <si>
    <t>Tax Invoice : INW49941</t>
  </si>
  <si>
    <t>Tax Invoice : INW49942</t>
  </si>
  <si>
    <t>POD08691</t>
  </si>
  <si>
    <t>PIT002</t>
  </si>
  <si>
    <t>Tax Invoice : INW49943</t>
  </si>
  <si>
    <t>ATT: YASSEN</t>
  </si>
  <si>
    <t>LEA093</t>
  </si>
  <si>
    <t>Tax Invoice : INW49944</t>
  </si>
  <si>
    <t>ATT: JODY</t>
  </si>
  <si>
    <t>Tax Invoice : INW49945</t>
  </si>
  <si>
    <t>Tax Invoice : INW49946</t>
  </si>
  <si>
    <t>PO: LB260429-2</t>
  </si>
  <si>
    <t>Tax Invoice : INW49947</t>
  </si>
  <si>
    <t>NUV021</t>
  </si>
  <si>
    <t>Tax Invoice : INW49948</t>
  </si>
  <si>
    <t>RAG002</t>
  </si>
  <si>
    <t>Tax Invoice : INW49949</t>
  </si>
  <si>
    <t>LEA04</t>
  </si>
  <si>
    <t>Tax Invoice : INW49950</t>
  </si>
  <si>
    <t>PO#K3X3+K2X3</t>
  </si>
  <si>
    <t>Tax Invoice : INW49951</t>
  </si>
  <si>
    <t>Tax Invoice : INW49952</t>
  </si>
  <si>
    <t>Tax Invoice : INW49953</t>
  </si>
  <si>
    <t>CAP028</t>
  </si>
  <si>
    <t>Tax Invoice : INW49954</t>
  </si>
  <si>
    <t>THE045</t>
  </si>
  <si>
    <t>Tax Invoice : INW49955</t>
  </si>
  <si>
    <t>Tax Invoice : INW49956</t>
  </si>
  <si>
    <t>MER006</t>
  </si>
  <si>
    <t>Tax Invoice : INW49957</t>
  </si>
  <si>
    <t>Tax Invoice : INW49958</t>
  </si>
  <si>
    <t>POD08692</t>
  </si>
  <si>
    <t>Tax Invoice : INW49959</t>
  </si>
  <si>
    <t>Tax Invoice : INW49960</t>
  </si>
  <si>
    <t>PO#19571</t>
  </si>
  <si>
    <t>HAM005</t>
  </si>
  <si>
    <t>Tax Invoice : INW49962</t>
  </si>
  <si>
    <t>Tax Invoice : INW49963</t>
  </si>
  <si>
    <t>Tax Invoice : INW49964</t>
  </si>
  <si>
    <t>Tax Invoice : INW49965</t>
  </si>
  <si>
    <t>Tax Invoice : INW49966</t>
  </si>
  <si>
    <t>ELTON</t>
  </si>
  <si>
    <t>KAK009</t>
  </si>
  <si>
    <t>Tax Invoice : INW49967</t>
  </si>
  <si>
    <t>Tax Invoice : INW49968</t>
  </si>
  <si>
    <t>Tax Invoice : INW49969</t>
  </si>
  <si>
    <t>Tax Invoice : INW49970</t>
  </si>
  <si>
    <t>LUK002</t>
  </si>
  <si>
    <t>Tax Invoice : INW49971</t>
  </si>
  <si>
    <t>NIC012</t>
  </si>
  <si>
    <t>Tax Invoice : INW49972</t>
  </si>
  <si>
    <t>Tax Invoice : INW49973</t>
  </si>
  <si>
    <t>Tax Invoice : INW49974</t>
  </si>
  <si>
    <t>Tax Invoice : INW49975</t>
  </si>
  <si>
    <t>PO#AGGENEYS</t>
  </si>
  <si>
    <t>Tax Invoice : INW49976</t>
  </si>
  <si>
    <t>CRA003</t>
  </si>
  <si>
    <t>Tax Invoice : INW49977</t>
  </si>
  <si>
    <t>RUS001</t>
  </si>
  <si>
    <t>Tax Invoice : INW49978</t>
  </si>
  <si>
    <t>NUB001</t>
  </si>
  <si>
    <t>Tax Invoice : INW49979</t>
  </si>
  <si>
    <t>Tax Invoice : INW49980</t>
  </si>
  <si>
    <t>Tax Invoice : INW49981</t>
  </si>
  <si>
    <t>Tax Invoice : INW49982</t>
  </si>
  <si>
    <t>ATT: NADIA</t>
  </si>
  <si>
    <t>Tax Invoice : INW49983</t>
  </si>
  <si>
    <t>Tax Invoice : INW49984</t>
  </si>
  <si>
    <t>Tax Invoice : INW49985</t>
  </si>
  <si>
    <t>Tax Invoice : INW49986</t>
  </si>
  <si>
    <t>GOL003</t>
  </si>
  <si>
    <t>Tax Invoice : INW49987</t>
  </si>
  <si>
    <t>COO001</t>
  </si>
  <si>
    <t>Tax Invoice : INW49988</t>
  </si>
  <si>
    <t>PHI008</t>
  </si>
  <si>
    <t>Tax Invoice : INW49989</t>
  </si>
  <si>
    <t>Tax Invoice : INW49990</t>
  </si>
  <si>
    <t>TRE014</t>
  </si>
  <si>
    <t>Tax Invoice : INW49991</t>
  </si>
  <si>
    <t>BAO002</t>
  </si>
  <si>
    <t>Tax Invoice : INW49992</t>
  </si>
  <si>
    <t>ATT; BIANCE</t>
  </si>
  <si>
    <t>LEO007</t>
  </si>
  <si>
    <t>Tax Invoice : INW49993</t>
  </si>
  <si>
    <t>COMM INV: 906/2026</t>
  </si>
  <si>
    <t>DIE001</t>
  </si>
  <si>
    <t>Tax Invoice : INW49994</t>
  </si>
  <si>
    <t>COMM INV: 907/2026</t>
  </si>
  <si>
    <t>LEA033</t>
  </si>
  <si>
    <t>Tax Invoice : INW49995</t>
  </si>
  <si>
    <t>COMM INV: 905/2026</t>
  </si>
  <si>
    <t>Tax Invoice : INW49996</t>
  </si>
  <si>
    <t>Tax Invoice : INW49997</t>
  </si>
  <si>
    <t>ALW002</t>
  </si>
  <si>
    <t>Tax Invoice : INW49998</t>
  </si>
  <si>
    <t>Tax Invoice : INW49999</t>
  </si>
  <si>
    <t>BEC002</t>
  </si>
  <si>
    <t>Tax Invoice : INW50000</t>
  </si>
  <si>
    <t>GLBE01 GRISLEY</t>
  </si>
  <si>
    <t>Tax Invoice : INW50001</t>
  </si>
  <si>
    <t>PO#K2X4+K3X4</t>
  </si>
  <si>
    <t>Tax Invoice : INW50002</t>
  </si>
  <si>
    <t>PO#3099</t>
  </si>
  <si>
    <t>Tax Invoice : INW50003</t>
  </si>
  <si>
    <t>Tax Invoice : INW50004</t>
  </si>
  <si>
    <t>Tax Invoice : INW50005</t>
  </si>
  <si>
    <t>MM006</t>
  </si>
  <si>
    <t>Tax Invoice : INW50006</t>
  </si>
  <si>
    <t>Tax Invoice : INW50007</t>
  </si>
  <si>
    <t>GUMEDE MAIN BIC</t>
  </si>
  <si>
    <t>DAN016</t>
  </si>
  <si>
    <t>Tax Invoice : INW50008</t>
  </si>
  <si>
    <t>NOL006</t>
  </si>
  <si>
    <t>Tax Invoice : INW50009</t>
  </si>
  <si>
    <t>JUS001</t>
  </si>
  <si>
    <t>Tax Invoice : INW50010</t>
  </si>
  <si>
    <t>PO#106738</t>
  </si>
  <si>
    <t>Tax Invoice : INW50011</t>
  </si>
  <si>
    <t>EQU003</t>
  </si>
  <si>
    <t>Tax Invoice : INW50012</t>
  </si>
  <si>
    <t>Tax Invoice : INW50013</t>
  </si>
  <si>
    <t>CKK001</t>
  </si>
  <si>
    <t>Tax Invoice : INW50014</t>
  </si>
  <si>
    <t>COO002</t>
  </si>
  <si>
    <t>Tax Invoice : INW50015</t>
  </si>
  <si>
    <t>ATT: STEVE</t>
  </si>
  <si>
    <t>LOV002</t>
  </si>
  <si>
    <t>Tax Invoice : INW50016</t>
  </si>
  <si>
    <t>Tax Invoice : INW50017</t>
  </si>
  <si>
    <t>Tax Invoice : INW50018</t>
  </si>
  <si>
    <t>VARIOUS ORDERS</t>
  </si>
  <si>
    <t>Tax Invoice : INW50019</t>
  </si>
  <si>
    <t>ATT: EL-ADRI</t>
  </si>
  <si>
    <t>MEB001</t>
  </si>
  <si>
    <t>Tax Invoice : INW50020</t>
  </si>
  <si>
    <t>ATH002</t>
  </si>
  <si>
    <t>Tax Invoice : INW50021</t>
  </si>
  <si>
    <t>Tax Invoice : INW50022</t>
  </si>
  <si>
    <t>Tax Invoice : INW50023</t>
  </si>
  <si>
    <t>Tax Invoice : INW50024</t>
  </si>
  <si>
    <t>Tax Invoice : INW50025</t>
  </si>
  <si>
    <t>POD08679</t>
  </si>
  <si>
    <t>NKA001</t>
  </si>
  <si>
    <t>Tax Invoice : INW50026</t>
  </si>
  <si>
    <t>ATT: NKANYISO</t>
  </si>
  <si>
    <t>Tax Invoice : INW50027</t>
  </si>
  <si>
    <t>Tax Invoice : INW50028</t>
  </si>
  <si>
    <t>UPH012</t>
  </si>
  <si>
    <t>Tax Invoice : INW50029</t>
  </si>
  <si>
    <t>Tax Invoice : INW50030</t>
  </si>
  <si>
    <t>REF: INW49778</t>
  </si>
  <si>
    <t>HAN009</t>
  </si>
  <si>
    <t>Tax Invoice : INW50031</t>
  </si>
  <si>
    <t>Tax Invoice : INW50032</t>
  </si>
  <si>
    <t>Tax Invoice : INW50033</t>
  </si>
  <si>
    <t>Tax Invoice : INW50034</t>
  </si>
  <si>
    <t>ANJ001</t>
  </si>
  <si>
    <t>Tax Invoice : INW50035</t>
  </si>
  <si>
    <t>Tax Invoice : INW50036</t>
  </si>
  <si>
    <t>Tax Invoice : INW50037</t>
  </si>
  <si>
    <t>SCH004</t>
  </si>
  <si>
    <t>Tax Invoice : INW50038</t>
  </si>
  <si>
    <t>SYM002</t>
  </si>
  <si>
    <t>Tax Invoice : INW50039</t>
  </si>
  <si>
    <t>Tax Invoice : INW50040</t>
  </si>
  <si>
    <t>REF004</t>
  </si>
  <si>
    <t>Tax Invoice : INW50041</t>
  </si>
  <si>
    <t>Tax Invoice : INW50042</t>
  </si>
  <si>
    <t>Tax Invoice : INW50043</t>
  </si>
  <si>
    <t>ACR010</t>
  </si>
  <si>
    <t>Tax Invoice : INW50044</t>
  </si>
  <si>
    <t>CHA030</t>
  </si>
  <si>
    <t>Tax Invoice : INW50045</t>
  </si>
  <si>
    <t>Tax Invoice : INW50046</t>
  </si>
  <si>
    <t>SEB001</t>
  </si>
  <si>
    <t>Tax Invoice : INW50047</t>
  </si>
  <si>
    <t>Tax Invoice : INW50048</t>
  </si>
  <si>
    <t>EMIL</t>
  </si>
  <si>
    <t>Tax Invoice : INW50049</t>
  </si>
  <si>
    <t>Tax Invoice : INW50050</t>
  </si>
  <si>
    <t>Tax Invoice : INW50051</t>
  </si>
  <si>
    <t>TEP001</t>
  </si>
  <si>
    <t>Tax Invoice : INW50052</t>
  </si>
  <si>
    <t>Tax Invoice : INW50053</t>
  </si>
  <si>
    <t>HOM01</t>
  </si>
  <si>
    <t>Tax Invoice : INW50054</t>
  </si>
  <si>
    <t>Tax Invoice : INW50055</t>
  </si>
  <si>
    <t>TEF001</t>
  </si>
  <si>
    <t>Tax Invoice : INW50056</t>
  </si>
  <si>
    <t>Tax Invoice : INW50057</t>
  </si>
  <si>
    <t>Tax Invoice : INW50058</t>
  </si>
  <si>
    <t>MYS001</t>
  </si>
  <si>
    <t>Tax Invoice : INW50059</t>
  </si>
  <si>
    <t>COA003</t>
  </si>
  <si>
    <t>Tax Invoice : INW50060</t>
  </si>
  <si>
    <t>SWE006</t>
  </si>
  <si>
    <t>Tax Invoice : INW50061</t>
  </si>
  <si>
    <t>DIV005</t>
  </si>
  <si>
    <t>Tax Invoice : INW50062</t>
  </si>
  <si>
    <t>SER009</t>
  </si>
  <si>
    <t>Tax Invoice : INW50063</t>
  </si>
  <si>
    <t>Tax Invoice : INW50064</t>
  </si>
  <si>
    <t>Tax Invoice : INW50065</t>
  </si>
  <si>
    <t>THE018</t>
  </si>
  <si>
    <t>Tax Invoice : INW50066</t>
  </si>
  <si>
    <t>2253 NOMONDE</t>
  </si>
  <si>
    <t>CRA020</t>
  </si>
  <si>
    <t>Tax Invoice : INW50067</t>
  </si>
  <si>
    <t>Tax Invoice : INW50068</t>
  </si>
  <si>
    <t>Tax Invoice : INW50069</t>
  </si>
  <si>
    <t>Tax Invoice : INW50070</t>
  </si>
  <si>
    <t>Tax Invoice : INW50071</t>
  </si>
  <si>
    <t>ROW002</t>
  </si>
  <si>
    <t>Tax Invoice : INW50072</t>
  </si>
  <si>
    <t>PO#10304</t>
  </si>
  <si>
    <t>Tax Invoice : INW50073</t>
  </si>
  <si>
    <t>POD08687</t>
  </si>
  <si>
    <t>Tax Invoice : INW50074</t>
  </si>
  <si>
    <t>ALE007</t>
  </si>
  <si>
    <t>Tax Invoice : INW50075</t>
  </si>
  <si>
    <t>ATT: ALEC</t>
  </si>
  <si>
    <t>Tax Invoice : INW50076</t>
  </si>
  <si>
    <t>Tax Invoice : INW50077</t>
  </si>
  <si>
    <t>Tax Invoice : INW50078</t>
  </si>
  <si>
    <t>POD08695</t>
  </si>
  <si>
    <t>Tax Invoice : INW50079</t>
  </si>
  <si>
    <t>TEN003</t>
  </si>
  <si>
    <t>Tax Invoice : INW50080</t>
  </si>
  <si>
    <t>ATT: CLARE</t>
  </si>
  <si>
    <t>Tax Invoice : INW50081</t>
  </si>
  <si>
    <t>Tax Invoice : INW50082</t>
  </si>
  <si>
    <t>ARN001</t>
  </si>
  <si>
    <t>Tax Invoice : INW50083</t>
  </si>
  <si>
    <t>HAN00</t>
  </si>
  <si>
    <t>Tax Invoice : INW50084</t>
  </si>
  <si>
    <t>Tax Invoice : INW50085</t>
  </si>
  <si>
    <t>SAZ001</t>
  </si>
  <si>
    <t>Tax Invoice : INW50086</t>
  </si>
  <si>
    <t>DES01</t>
  </si>
  <si>
    <t>Tax Invoice : INW50087</t>
  </si>
  <si>
    <t>Tax Invoice : INW50088</t>
  </si>
  <si>
    <t>Tax Invoice : INW50089</t>
  </si>
  <si>
    <t>PSE001</t>
  </si>
  <si>
    <t>Tax Invoice : INW50090</t>
  </si>
  <si>
    <t>VARIOUS DN</t>
  </si>
  <si>
    <t>FIL015</t>
  </si>
  <si>
    <t>Tax Invoice : INW50091</t>
  </si>
  <si>
    <t>Tax Invoice : INW50092</t>
  </si>
  <si>
    <t>Tax Invoice : INW50093</t>
  </si>
  <si>
    <t>Tax Invoice : INW50094</t>
  </si>
  <si>
    <t>OUT010</t>
  </si>
  <si>
    <t>Tax Invoice : INW50095</t>
  </si>
  <si>
    <t>PM006</t>
  </si>
  <si>
    <t>Tax Invoice : INW50096</t>
  </si>
  <si>
    <t>GER010</t>
  </si>
  <si>
    <t>Tax Invoice : INW50097</t>
  </si>
  <si>
    <t>KZN002</t>
  </si>
  <si>
    <t>Tax Invoice : INW50098</t>
  </si>
  <si>
    <t>ATT: JERRY</t>
  </si>
  <si>
    <t>Tax Invoice : INW50099</t>
  </si>
  <si>
    <t>ATT: NINA</t>
  </si>
  <si>
    <t>Tax Invoice : INW50100</t>
  </si>
  <si>
    <t>Tax Invoice : INW50101</t>
  </si>
  <si>
    <t>Tax Invoice : INW50102</t>
  </si>
  <si>
    <t>Tax Invoice : INW50103</t>
  </si>
  <si>
    <t>Tax Invoice : INW50104</t>
  </si>
  <si>
    <t>Tax Invoice : INW50105</t>
  </si>
  <si>
    <t>Tax Invoice : INW50106</t>
  </si>
  <si>
    <t>Tax Invoice : INW50107</t>
  </si>
  <si>
    <t>Tax Invoice : INW50108</t>
  </si>
  <si>
    <t>KEN003</t>
  </si>
  <si>
    <t>Tax Invoice : INW50109</t>
  </si>
  <si>
    <t>Tax Invoice : INW50110</t>
  </si>
  <si>
    <t>CHAPANDUKA</t>
  </si>
  <si>
    <t>Tax Invoice : INW50111</t>
  </si>
  <si>
    <t>PO# 38073</t>
  </si>
  <si>
    <t>Tax Invoice : INW50112</t>
  </si>
  <si>
    <t>Tax Invoice : INW50113</t>
  </si>
  <si>
    <t>Tax Invoice : INW50114</t>
  </si>
  <si>
    <t>Tax Invoice : INW50115</t>
  </si>
  <si>
    <t>POD08477</t>
  </si>
  <si>
    <t>Tax Invoice : INW50116</t>
  </si>
  <si>
    <t>Tax Invoice : INW50117</t>
  </si>
  <si>
    <t>Tax Invoice : INW50118</t>
  </si>
  <si>
    <t>REF: INW50076</t>
  </si>
  <si>
    <t>SOET01</t>
  </si>
  <si>
    <t>Tax Invoice : INW50119</t>
  </si>
  <si>
    <t>RET002</t>
  </si>
  <si>
    <t>Tax Invoice : INW50120</t>
  </si>
  <si>
    <t>Tax Invoice : INW50121</t>
  </si>
  <si>
    <t>Tax Invoice : INW50122</t>
  </si>
  <si>
    <t>Tax Invoice : INW50123</t>
  </si>
  <si>
    <t>POD08681</t>
  </si>
  <si>
    <t>CHA044</t>
  </si>
  <si>
    <t>Tax Invoice : INW50124</t>
  </si>
  <si>
    <t>Tax Invoice : INW50125</t>
  </si>
  <si>
    <t>Tax Invoice : INW50126</t>
  </si>
  <si>
    <t>MOH003</t>
  </si>
  <si>
    <t>Tax Invoice : INW50127</t>
  </si>
  <si>
    <t>ATT: MOH</t>
  </si>
  <si>
    <t>Tax Invoice : INW50128</t>
  </si>
  <si>
    <t>ATT:JENNIFER</t>
  </si>
  <si>
    <t>Tax Invoice : INW50129</t>
  </si>
  <si>
    <t>UGF001</t>
  </si>
  <si>
    <t>Tax Invoice : INW50130</t>
  </si>
  <si>
    <t>PO: 0023226</t>
  </si>
  <si>
    <t>Tax Invoice : INW50131</t>
  </si>
  <si>
    <t>Tax Invoice : INW50132</t>
  </si>
  <si>
    <t>Tax Invoice : INW50133</t>
  </si>
  <si>
    <t>Tax Invoice : INW50134</t>
  </si>
  <si>
    <t>HOU012</t>
  </si>
  <si>
    <t>Tax Invoice : INW50135</t>
  </si>
  <si>
    <t>ATT:KELLY</t>
  </si>
  <si>
    <t>Tax Invoice : INW50136</t>
  </si>
  <si>
    <t>KAY010</t>
  </si>
  <si>
    <t>Tax Invoice : INW50137</t>
  </si>
  <si>
    <t>HOU013</t>
  </si>
  <si>
    <t>Tax Invoice : INW50138</t>
  </si>
  <si>
    <t>Tax Invoice : INW50139</t>
  </si>
  <si>
    <t>SOU011</t>
  </si>
  <si>
    <t>Tax Invoice : INW50140</t>
  </si>
  <si>
    <t>PO# 5845</t>
  </si>
  <si>
    <t>Tax Invoice : INW50141</t>
  </si>
  <si>
    <t>Tax Invoice : INW50142</t>
  </si>
  <si>
    <t>PO#101604</t>
  </si>
  <si>
    <t>S2Z001</t>
  </si>
  <si>
    <t>Tax Invoice : INW50143</t>
  </si>
  <si>
    <t>DOU005</t>
  </si>
  <si>
    <t>Tax Invoice : INW50144</t>
  </si>
  <si>
    <t>ASH004</t>
  </si>
  <si>
    <t>Tax Invoice : INW50145</t>
  </si>
  <si>
    <t>Tax Invoice : INW50146</t>
  </si>
  <si>
    <t>Tax Invoice : INW50147</t>
  </si>
  <si>
    <t>PO#101606-MEV HAUMAN</t>
  </si>
  <si>
    <t>FRA005</t>
  </si>
  <si>
    <t>Tax Invoice : INW50148</t>
  </si>
  <si>
    <t>ATT:ANDRE</t>
  </si>
  <si>
    <t>Tax Invoice : INW50149</t>
  </si>
  <si>
    <t>SOF010</t>
  </si>
  <si>
    <t>Tax Invoice : INW50150</t>
  </si>
  <si>
    <t>Tax Invoice : INW50151</t>
  </si>
  <si>
    <t>Tax Invoice : INW50152</t>
  </si>
  <si>
    <t>Tax Invoice : INW50153</t>
  </si>
  <si>
    <t>Tax Invoice : INW50154</t>
  </si>
  <si>
    <t>Tax Invoice : INW50155</t>
  </si>
  <si>
    <t>Tax Invoice : INW50156</t>
  </si>
  <si>
    <t>Tax Invoice : INW50157</t>
  </si>
  <si>
    <t>DRA002</t>
  </si>
  <si>
    <t>Tax Invoice : INW50158</t>
  </si>
  <si>
    <t>WES006</t>
  </si>
  <si>
    <t>Tax Invoice : INW50159</t>
  </si>
  <si>
    <t>LAB003</t>
  </si>
  <si>
    <t>Tax Invoice : INW50160</t>
  </si>
  <si>
    <t>WAL004</t>
  </si>
  <si>
    <t>Tax Invoice : INW50161</t>
  </si>
  <si>
    <t>Tax Invoice : INW50162</t>
  </si>
  <si>
    <t>Tax Invoice : INW50163</t>
  </si>
  <si>
    <t>MBD001</t>
  </si>
  <si>
    <t>Tax Invoice : INW50164</t>
  </si>
  <si>
    <t>Tax Invoice : INW50165</t>
  </si>
  <si>
    <t>POD08680</t>
  </si>
  <si>
    <t>PEL001</t>
  </si>
  <si>
    <t>Tax Invoice : INW50166</t>
  </si>
  <si>
    <t>POD08678</t>
  </si>
  <si>
    <t>Tax Invoice : INW50167</t>
  </si>
  <si>
    <t>MUS002</t>
  </si>
  <si>
    <t>Tax Invoice : INW50168</t>
  </si>
  <si>
    <t>ATT: MUSA</t>
  </si>
  <si>
    <t>Tax Invoice : INW50169</t>
  </si>
  <si>
    <t>PRS001</t>
  </si>
  <si>
    <t>Tax Invoice : INW50170</t>
  </si>
  <si>
    <t>ATT: PREM</t>
  </si>
  <si>
    <t>Tax Invoice : INW50171</t>
  </si>
  <si>
    <t>Tax Invoice : INW50172</t>
  </si>
  <si>
    <t>Tax Invoice : INW50173</t>
  </si>
  <si>
    <t>BLU011</t>
  </si>
  <si>
    <t>Tax Invoice : INW50174</t>
  </si>
  <si>
    <t>Tax Invoice : INW50175</t>
  </si>
  <si>
    <t>Tax Invoice : INW50176</t>
  </si>
  <si>
    <t>BEL020</t>
  </si>
  <si>
    <t>Tax Invoice : INW50177</t>
  </si>
  <si>
    <t>ALE003</t>
  </si>
  <si>
    <t>Tax Invoice : INW50178</t>
  </si>
  <si>
    <t>Tax Invoice : INW50179</t>
  </si>
  <si>
    <t>Tax Invoice : INW50180</t>
  </si>
  <si>
    <t>Tax Invoice : INW50181</t>
  </si>
  <si>
    <t>Tax Invoice : INW50182</t>
  </si>
  <si>
    <t>HID021</t>
  </si>
  <si>
    <t>Tax Invoice : INW50183</t>
  </si>
  <si>
    <t>Tax Invoice : INW50184</t>
  </si>
  <si>
    <t>LUN006</t>
  </si>
  <si>
    <t>Tax Invoice : INW50185</t>
  </si>
  <si>
    <t>URB008</t>
  </si>
  <si>
    <t>Tax Invoice : INW50186</t>
  </si>
  <si>
    <t>Tax Invoice : INW50187</t>
  </si>
  <si>
    <t>Tax Invoice : INW50188</t>
  </si>
  <si>
    <t>POD08701</t>
  </si>
  <si>
    <t>LEG021</t>
  </si>
  <si>
    <t>Tax Invoice : INW50189</t>
  </si>
  <si>
    <t>Tax Invoice : INW50190</t>
  </si>
  <si>
    <t>Tax Invoice : INW50191</t>
  </si>
  <si>
    <t>BE001</t>
  </si>
  <si>
    <t>Tax Invoice : INW50192</t>
  </si>
  <si>
    <t>BOK002</t>
  </si>
  <si>
    <t>Tax Invoice : INW50193</t>
  </si>
  <si>
    <t>Tax Invoice : INW50194</t>
  </si>
  <si>
    <t>Tax Invoice : INW50195</t>
  </si>
  <si>
    <t>Tax Invoice : INW50196</t>
  </si>
  <si>
    <t>Tax Invoice : INW50197</t>
  </si>
  <si>
    <t>Tax Invoice : INW50198</t>
  </si>
  <si>
    <t>Tax Invoice : INW50199</t>
  </si>
  <si>
    <t>Tax Invoice : INW50200</t>
  </si>
  <si>
    <t>Tax Invoice : INW50201</t>
  </si>
  <si>
    <t>NOL001</t>
  </si>
  <si>
    <t>Tax Invoice : INW50202</t>
  </si>
  <si>
    <t>ATT: MATTHEW</t>
  </si>
  <si>
    <t>Tax Invoice : INW50203</t>
  </si>
  <si>
    <t>GRO006</t>
  </si>
  <si>
    <t>Tax Invoice : INW50204</t>
  </si>
  <si>
    <t>TRI020</t>
  </si>
  <si>
    <t>Tax Invoice : INW50205</t>
  </si>
  <si>
    <t>ATT: MADIE/JOEL</t>
  </si>
  <si>
    <t>Tax Invoice : INW50206</t>
  </si>
  <si>
    <t>HNA001</t>
  </si>
  <si>
    <t>Tax Invoice : INW50207</t>
  </si>
  <si>
    <t>Tax Invoice : INW50208</t>
  </si>
  <si>
    <t>Tax Invoice : INW50209</t>
  </si>
  <si>
    <t>Tax Invoice : INW50210</t>
  </si>
  <si>
    <t>ATT: SANDILE</t>
  </si>
  <si>
    <t>Tax Invoice : INW50211</t>
  </si>
  <si>
    <t>SHE020</t>
  </si>
  <si>
    <t>Tax Invoice : INW50212</t>
  </si>
  <si>
    <t>PO# 74829</t>
  </si>
  <si>
    <t>TAN001</t>
  </si>
  <si>
    <t>Tax Invoice : INW50213</t>
  </si>
  <si>
    <t>INSURANCE - MAY</t>
  </si>
  <si>
    <t>Tax Invoice : INW50214</t>
  </si>
  <si>
    <t>CEC006</t>
  </si>
  <si>
    <t>Tax Invoice : INW50215</t>
  </si>
  <si>
    <t>PO#@ 38093</t>
  </si>
  <si>
    <t>Tax Invoice : INW50216</t>
  </si>
  <si>
    <t>Tax Invoice : INW50217</t>
  </si>
  <si>
    <t>Tax Invoice : INW50218</t>
  </si>
  <si>
    <t>Tax Invoice : INW50219</t>
  </si>
  <si>
    <t>PO#K3+K2X1+A3X4</t>
  </si>
  <si>
    <t>ROW001</t>
  </si>
  <si>
    <t>Tax Invoice : INW50220</t>
  </si>
  <si>
    <t>PO#3716</t>
  </si>
  <si>
    <t>CHO001</t>
  </si>
  <si>
    <t>Tax Invoice : INW50221</t>
  </si>
  <si>
    <t>Tax Invoice : INW50222</t>
  </si>
  <si>
    <t>Tax Invoice : INW50223</t>
  </si>
  <si>
    <t>Tax Invoice : INW50224</t>
  </si>
  <si>
    <t>Tax Invoice : INW50225</t>
  </si>
  <si>
    <t>Tax Invoice : INW50226</t>
  </si>
  <si>
    <t>Tax Invoice : INW50227</t>
  </si>
  <si>
    <t>Tax Invoice : INW50228</t>
  </si>
  <si>
    <t>DON009</t>
  </si>
  <si>
    <t>Tax Invoice : INW50229</t>
  </si>
  <si>
    <t>PO#26/05/206</t>
  </si>
  <si>
    <t>NMB001</t>
  </si>
  <si>
    <t>Tax Invoice : INW50230</t>
  </si>
  <si>
    <t>Tax Invoice : INW50231</t>
  </si>
  <si>
    <t>KZN001</t>
  </si>
  <si>
    <t>Tax Invoice : INW50232</t>
  </si>
  <si>
    <t>ATT: ANWAR</t>
  </si>
  <si>
    <t>MAJ001</t>
  </si>
  <si>
    <t>Tax Invoice : INW50233</t>
  </si>
  <si>
    <t>LEE001</t>
  </si>
  <si>
    <t>Tax Invoice : INW50234</t>
  </si>
  <si>
    <t>Tax Invoice : INW50235</t>
  </si>
  <si>
    <t>Tax Invoice : INW50236</t>
  </si>
  <si>
    <t>KAM005</t>
  </si>
  <si>
    <t>Tax Invoice : INW50237</t>
  </si>
  <si>
    <t>Tax Invoice : INW50238</t>
  </si>
  <si>
    <t>Tax Invoice : INW50239</t>
  </si>
  <si>
    <t>FFUN01</t>
  </si>
  <si>
    <t>Tax Invoice : INW50241</t>
  </si>
  <si>
    <t>Tax Invoice : INW50244</t>
  </si>
  <si>
    <t>Tax Invoice : INW50245</t>
  </si>
  <si>
    <t>GLE004</t>
  </si>
  <si>
    <t>Tax Invoice : INW50246</t>
  </si>
  <si>
    <t>TAN008</t>
  </si>
  <si>
    <t>Tax Invoice : INW50247</t>
  </si>
  <si>
    <t>INN004</t>
  </si>
  <si>
    <t>Tax Invoice : INW50248</t>
  </si>
  <si>
    <t>Tax Invoice : INW50249</t>
  </si>
  <si>
    <t>INT030</t>
  </si>
  <si>
    <t>Tax Invoice : INW50250</t>
  </si>
  <si>
    <t>Tax Invoice : INW50251</t>
  </si>
  <si>
    <t>Tax Invoice : INW50252</t>
  </si>
  <si>
    <t>AFO002</t>
  </si>
  <si>
    <t>Tax Invoice : INW50253</t>
  </si>
  <si>
    <t>MYW001</t>
  </si>
  <si>
    <t>Tax Invoice : INW50254</t>
  </si>
  <si>
    <t>LAR003</t>
  </si>
  <si>
    <t>Tax Invoice : INW50255</t>
  </si>
  <si>
    <t>Tax Invoice : INW50256</t>
  </si>
  <si>
    <t>KIT002</t>
  </si>
  <si>
    <t>Tax Invoice : INW50257</t>
  </si>
  <si>
    <t>WIN004</t>
  </si>
  <si>
    <t>Tax Invoice : INW50258</t>
  </si>
  <si>
    <t>MAR037</t>
  </si>
  <si>
    <t>Tax Invoice : INW50259</t>
  </si>
  <si>
    <t>ATT: MARK</t>
  </si>
  <si>
    <t>BEG001</t>
  </si>
  <si>
    <t>Tax Invoice : INW50260</t>
  </si>
  <si>
    <t>BUR008</t>
  </si>
  <si>
    <t>Tax Invoice : INW50261</t>
  </si>
  <si>
    <t>Tax Invoice : INW50262</t>
  </si>
  <si>
    <t>Tax Invoice : INW50263</t>
  </si>
  <si>
    <t>STY008</t>
  </si>
  <si>
    <t>Tax Invoice : INW50264</t>
  </si>
  <si>
    <t>RET021</t>
  </si>
  <si>
    <t>Tax Invoice : INW50265</t>
  </si>
  <si>
    <t>Tax Invoice : INW50266</t>
  </si>
  <si>
    <t>ATT; KEITH</t>
  </si>
  <si>
    <t>Tax Invoice : INW50267</t>
  </si>
  <si>
    <t>Tax Invoice : INW50268</t>
  </si>
  <si>
    <t>DN270/43</t>
  </si>
  <si>
    <t>Tax Invoice : INW50269</t>
  </si>
  <si>
    <t>Tax Invoice : INW50270</t>
  </si>
  <si>
    <t>Tax Invoice : INW50271</t>
  </si>
  <si>
    <t>SOT001</t>
  </si>
  <si>
    <t>Tax Invoice : INW50272</t>
  </si>
  <si>
    <t>MEU001</t>
  </si>
  <si>
    <t>Tax Invoice : INW50273</t>
  </si>
  <si>
    <t>Tax Invoice : INW50274</t>
  </si>
  <si>
    <t>Tax Invoice : INW50275</t>
  </si>
  <si>
    <t>Tax Invoice : INW50276</t>
  </si>
  <si>
    <t>Tax Invoice : INW50277</t>
  </si>
  <si>
    <t>CES021</t>
  </si>
  <si>
    <t>Tax Invoice : INW50278</t>
  </si>
  <si>
    <t>Tax Invoice : INW50279</t>
  </si>
  <si>
    <t>THE028</t>
  </si>
  <si>
    <t>Tax Invoice : INW50280</t>
  </si>
  <si>
    <t>Tax Invoice : INW50281</t>
  </si>
  <si>
    <t>MET01</t>
  </si>
  <si>
    <t>Tax Invoice : INW50282</t>
  </si>
  <si>
    <t>GOOD DAY 3100007392</t>
  </si>
  <si>
    <t>Tax Invoice : INW50283</t>
  </si>
  <si>
    <t>VER009</t>
  </si>
  <si>
    <t>Tax Invoice : INW50284</t>
  </si>
  <si>
    <t>Tax Invoice : INW50285</t>
  </si>
  <si>
    <t>Tax Invoice : INW50286</t>
  </si>
  <si>
    <t>POD08616</t>
  </si>
  <si>
    <t>Tax Invoice : INW50287</t>
  </si>
  <si>
    <t>Tax Invoice : INW50288</t>
  </si>
  <si>
    <t>PO#95875</t>
  </si>
  <si>
    <t>Tax Invoice : INW50289</t>
  </si>
  <si>
    <t>Tax Invoice : INW50290</t>
  </si>
  <si>
    <t>CAR021</t>
  </si>
  <si>
    <t>Tax Invoice : INW50291</t>
  </si>
  <si>
    <t>COMM INV: 908/2026</t>
  </si>
  <si>
    <t>Tax Invoice : INW50292</t>
  </si>
  <si>
    <t>Tax Invoice : INW50293</t>
  </si>
  <si>
    <t>Tax Invoice : INW50294</t>
  </si>
  <si>
    <t>POD08633</t>
  </si>
  <si>
    <t>Tax Invoice : INW50295</t>
  </si>
  <si>
    <t>CAL004</t>
  </si>
  <si>
    <t>Tax Invoice : INW50296</t>
  </si>
  <si>
    <t>Tax Invoice : INW50297</t>
  </si>
  <si>
    <t>MAC007</t>
  </si>
  <si>
    <t>Tax Invoice : INW50298</t>
  </si>
  <si>
    <t>BAM002</t>
  </si>
  <si>
    <t>Tax Invoice : INW50299</t>
  </si>
  <si>
    <t>MOO007</t>
  </si>
  <si>
    <t>Tax Invoice : INW50300</t>
  </si>
  <si>
    <t>PO#SOLOMON</t>
  </si>
  <si>
    <t>Tax Invoice : INW50301</t>
  </si>
  <si>
    <t>Tax Invoice : INW50302</t>
  </si>
  <si>
    <t>Tax Invoice : INW50303</t>
  </si>
  <si>
    <t>Tax Invoice : INW50304</t>
  </si>
  <si>
    <t>Tax Invoice : INW50305</t>
  </si>
  <si>
    <t>Tax Invoice : INW50306</t>
  </si>
  <si>
    <t>Tax Invoice : INW50307</t>
  </si>
  <si>
    <t>Tax Invoice : INW50308</t>
  </si>
  <si>
    <t>ATT: MANDI/JOEL</t>
  </si>
  <si>
    <t>Tax Invoice : INW50309</t>
  </si>
  <si>
    <t>Tax Invoice : INW50310</t>
  </si>
  <si>
    <t>PO# REPLACEMENT</t>
  </si>
  <si>
    <t>Tax Invoice : INW50311</t>
  </si>
  <si>
    <t>Tax Invoice : INW50312</t>
  </si>
  <si>
    <t>Tax Invoice : INW50313</t>
  </si>
  <si>
    <t>IET001</t>
  </si>
  <si>
    <t>Tax Invoice : INW50314</t>
  </si>
  <si>
    <t>Tax Invoice : INW50315</t>
  </si>
  <si>
    <t>LMA001</t>
  </si>
  <si>
    <t>Tax Invoice : INW50316</t>
  </si>
  <si>
    <t>Tax Invoice : INW50317</t>
  </si>
  <si>
    <t>Tax Invoice : INW50318</t>
  </si>
  <si>
    <t>POD08606</t>
  </si>
  <si>
    <t>Tax Invoice : INW50319</t>
  </si>
  <si>
    <t>MIS001</t>
  </si>
  <si>
    <t>Tax Invoice : INW50320</t>
  </si>
  <si>
    <t>Tax Invoice : INW50321</t>
  </si>
  <si>
    <t>Tax Invoice : INW50322</t>
  </si>
  <si>
    <t>CRU002</t>
  </si>
  <si>
    <t>Tax Invoice : INW50323</t>
  </si>
  <si>
    <t>ATT: CRUZ</t>
  </si>
  <si>
    <t>KIT001</t>
  </si>
  <si>
    <t>Tax Invoice : INW50324</t>
  </si>
  <si>
    <t>ATT: CARINA</t>
  </si>
  <si>
    <t>Tax Invoice : INW50325</t>
  </si>
  <si>
    <t>Tax Invoice : INW50326</t>
  </si>
  <si>
    <t>Tax Invoice : INW50327</t>
  </si>
  <si>
    <t>Tax Invoice : INW50328</t>
  </si>
  <si>
    <t>Tax Invoice : INW50329</t>
  </si>
  <si>
    <t>Tax Invoice : INW50330</t>
  </si>
  <si>
    <t>TUL002</t>
  </si>
  <si>
    <t>Tax Invoice : INW50331</t>
  </si>
  <si>
    <t>Tax Invoice : INW50332</t>
  </si>
  <si>
    <t>Tax Invoice : INW50333</t>
  </si>
  <si>
    <t>NGU004</t>
  </si>
  <si>
    <t>Tax Invoice : INW50334</t>
  </si>
  <si>
    <t>ATT: MANDINE</t>
  </si>
  <si>
    <t>Tax Invoice : INW50335</t>
  </si>
  <si>
    <t>COMM INV: 904/2026</t>
  </si>
  <si>
    <t>Tax Invoice : INW50336</t>
  </si>
  <si>
    <t>Tax Invoice : INW50337</t>
  </si>
  <si>
    <t>Tax Invoice : INW50338</t>
  </si>
  <si>
    <t>Tax Invoice : INW50339</t>
  </si>
  <si>
    <t>Tax Invoice : INW50340</t>
  </si>
  <si>
    <t>Tax Invoice : INW50341</t>
  </si>
  <si>
    <t>Tax Invoice : INW50342</t>
  </si>
  <si>
    <t>Tax Invoice : INW50343</t>
  </si>
  <si>
    <t>Tax Invoice : INW50344</t>
  </si>
  <si>
    <t>Tax Invoice : INW50345</t>
  </si>
  <si>
    <t>Tax Invoice : INW50346</t>
  </si>
  <si>
    <t>Tax Invoice : INW50347</t>
  </si>
  <si>
    <t>Tax Invoice : INW50348</t>
  </si>
  <si>
    <t>Tax Invoice : INW50349</t>
  </si>
  <si>
    <t>WOG001</t>
  </si>
  <si>
    <t>Tax Invoice : INW50350</t>
  </si>
  <si>
    <t>Tax Invoice : INW50351</t>
  </si>
  <si>
    <t>Tax Invoice : INW50352</t>
  </si>
  <si>
    <t>CYP002</t>
  </si>
  <si>
    <t>Tax Invoice : INW50353</t>
  </si>
  <si>
    <t>Tax Invoice : INW50354</t>
  </si>
  <si>
    <t>INW50243</t>
  </si>
  <si>
    <t>Tax Invoice : INW50355</t>
  </si>
  <si>
    <t>Tax Invoice : INW50356</t>
  </si>
  <si>
    <t>PO#38239</t>
  </si>
  <si>
    <t>LAV003</t>
  </si>
  <si>
    <t>Tax Invoice : INW50357</t>
  </si>
  <si>
    <t>Tax Invoice : INW50358</t>
  </si>
  <si>
    <t>ATT: BARLETT &amp; DUNSTER</t>
  </si>
  <si>
    <t>Tax Invoice : INW50359</t>
  </si>
  <si>
    <t>INW50242</t>
  </si>
  <si>
    <t>Tax Invoice : INW50360</t>
  </si>
  <si>
    <t>INW50240</t>
  </si>
  <si>
    <t>Tax Invoice : INW50361</t>
  </si>
  <si>
    <t>PO#10310</t>
  </si>
  <si>
    <t>Tax Invoice : INW50362</t>
  </si>
  <si>
    <t>Tax Invoice : INW50363</t>
  </si>
  <si>
    <t>COV021</t>
  </si>
  <si>
    <t>Tax Invoice : INW50364</t>
  </si>
  <si>
    <t>Tax Invoice : INW50365</t>
  </si>
  <si>
    <t>HOF002</t>
  </si>
  <si>
    <t>Tax Invoice : INW50366</t>
  </si>
  <si>
    <t>IND012</t>
  </si>
  <si>
    <t>Tax Invoice : INW50367</t>
  </si>
  <si>
    <t>Tax Invoice : INW50368</t>
  </si>
  <si>
    <t>Tax Invoice : INW50369</t>
  </si>
  <si>
    <t>JOY001</t>
  </si>
  <si>
    <t>Tax Invoice : INW50370</t>
  </si>
  <si>
    <t>NRH01</t>
  </si>
  <si>
    <t>Tax Invoice : INW50371</t>
  </si>
  <si>
    <t>Tax Invoice : INW50372</t>
  </si>
  <si>
    <t>MKL001</t>
  </si>
  <si>
    <t>Tax Invoice : INW50373</t>
  </si>
  <si>
    <t>Tax Invoice : INW50374</t>
  </si>
  <si>
    <t>Tax Invoice : INW50375</t>
  </si>
  <si>
    <t>Tax Invoice : INW50376</t>
  </si>
  <si>
    <t>UBER COLLECTION</t>
  </si>
  <si>
    <t>Tax Invoice : INW50377</t>
  </si>
  <si>
    <t>Tax Invoice : INW50378</t>
  </si>
  <si>
    <t>ATT: DANIELE</t>
  </si>
  <si>
    <t>Tax Invoice : INW50379</t>
  </si>
  <si>
    <t>ATT: SHUAN</t>
  </si>
  <si>
    <t>Tax Invoice : INW50380</t>
  </si>
  <si>
    <t>Tax Invoice : INW50381</t>
  </si>
  <si>
    <t>POD08696</t>
  </si>
  <si>
    <t>Tax Invoice : INW50382</t>
  </si>
  <si>
    <t>CAZ001</t>
  </si>
  <si>
    <t>Tax Invoice : INW50383</t>
  </si>
  <si>
    <t>Tax Invoice : INW50384</t>
  </si>
  <si>
    <t>Tax Invoice : INW50385</t>
  </si>
  <si>
    <t>Tax Invoice : INW50386</t>
  </si>
  <si>
    <t>Tax Invoice : INW50387</t>
  </si>
  <si>
    <t>DN270/45</t>
  </si>
  <si>
    <t>Tax Invoice : INW50388</t>
  </si>
  <si>
    <t>Tax Invoice : INW50389</t>
  </si>
  <si>
    <t>Tax Invoice : INW50390</t>
  </si>
  <si>
    <t>Tax Invoice : INW50391</t>
  </si>
  <si>
    <t>Tax Invoice : INW50392</t>
  </si>
  <si>
    <t>Tax Invoice : INW50393</t>
  </si>
  <si>
    <t>Tax Invoice : INW50394</t>
  </si>
  <si>
    <t>Tax Invoice : INW50395</t>
  </si>
  <si>
    <t>PO105916</t>
  </si>
  <si>
    <t>Tax Invoice : INW50396</t>
  </si>
  <si>
    <t>VIN008</t>
  </si>
  <si>
    <t>Tax Invoice : INW50397</t>
  </si>
  <si>
    <t>Tax Invoice : INW50398</t>
  </si>
  <si>
    <t>COL009</t>
  </si>
  <si>
    <t>Tax Invoice : INW50399</t>
  </si>
  <si>
    <t>MBS021</t>
  </si>
  <si>
    <t>Tax Invoice : INW50400</t>
  </si>
  <si>
    <t>TOD001</t>
  </si>
  <si>
    <t>Tax Invoice : INW50401</t>
  </si>
  <si>
    <t>Tax Invoice : INW50402</t>
  </si>
  <si>
    <t>POD08712</t>
  </si>
  <si>
    <t>Tax Invoice : INW50403</t>
  </si>
  <si>
    <t>Tax Invoice : INW50404</t>
  </si>
  <si>
    <t>Tax Invoice : INW50405</t>
  </si>
  <si>
    <t>Tax Invoice : INW50406</t>
  </si>
  <si>
    <t>Tax Invoice : INW50407</t>
  </si>
  <si>
    <t>SLE002</t>
  </si>
  <si>
    <t>Tax Invoice : INW50408</t>
  </si>
  <si>
    <t>PO#96</t>
  </si>
  <si>
    <t>Tax Invoice : INW50409</t>
  </si>
  <si>
    <t>Tax Invoice : INW50410</t>
  </si>
  <si>
    <t>PO#A3X6</t>
  </si>
  <si>
    <t>Tax Invoice : INW50411</t>
  </si>
  <si>
    <t>Tax Invoice : INW50412</t>
  </si>
  <si>
    <t>ATT: VUNA</t>
  </si>
  <si>
    <t>Tax Invoice : INW50413</t>
  </si>
  <si>
    <t>Tax Invoice : INW50414</t>
  </si>
  <si>
    <t>Tax Invoice : INW50415</t>
  </si>
  <si>
    <t>Tax Invoice : INW50416</t>
  </si>
  <si>
    <t>BUL001</t>
  </si>
  <si>
    <t>Tax Invoice : INW50417</t>
  </si>
  <si>
    <t>CAP017</t>
  </si>
  <si>
    <t>Tax Invoice : INW50418</t>
  </si>
  <si>
    <t>PO#L\1082</t>
  </si>
  <si>
    <t>Tax Invoice : INW50419</t>
  </si>
  <si>
    <t>Tax Invoice : INW50420</t>
  </si>
  <si>
    <t>Tax Invoice : INW50421</t>
  </si>
  <si>
    <t>Tax Invoice : INW50422</t>
  </si>
  <si>
    <t>Tax Invoice : INW50423</t>
  </si>
  <si>
    <t>Tax Invoice : INW50424</t>
  </si>
  <si>
    <t>Tax Invoice : INW50425</t>
  </si>
  <si>
    <t>Tax Invoice : INW50426</t>
  </si>
  <si>
    <t>ATT: DAVID</t>
  </si>
  <si>
    <t>Tax Invoice : INW50427</t>
  </si>
  <si>
    <t>Tax Invoice : INW50428</t>
  </si>
  <si>
    <t>BRA021</t>
  </si>
  <si>
    <t>Tax Invoice : INW50429</t>
  </si>
  <si>
    <t>ZER002</t>
  </si>
  <si>
    <t>Tax Invoice : INW50430</t>
  </si>
  <si>
    <t>COMM INV: 909/2026</t>
  </si>
  <si>
    <t>Tax Invoice : INW50431</t>
  </si>
  <si>
    <t>RED001</t>
  </si>
  <si>
    <t>Tax Invoice : INW50432</t>
  </si>
  <si>
    <t>Tax Invoice : INW50433</t>
  </si>
  <si>
    <t>Tax Invoice : INW50434</t>
  </si>
  <si>
    <t>THE03</t>
  </si>
  <si>
    <t>Tax Invoice : INW50435</t>
  </si>
  <si>
    <t>ATT : THEO</t>
  </si>
  <si>
    <t>Tax Invoice : INW50436</t>
  </si>
  <si>
    <t>Tax Invoice : INW50437</t>
  </si>
  <si>
    <t>Tax Invoice : INW50438</t>
  </si>
  <si>
    <t>Tax Invoice : INW50439</t>
  </si>
  <si>
    <t>KAT020</t>
  </si>
  <si>
    <t>Tax Invoice : INW50440</t>
  </si>
  <si>
    <t>BRA013</t>
  </si>
  <si>
    <t>Tax Invoice : INW50441</t>
  </si>
  <si>
    <t>Tax Invoice : INW50442</t>
  </si>
  <si>
    <t>Tax Invoice : INW50443</t>
  </si>
  <si>
    <t>MRA002</t>
  </si>
  <si>
    <t>Tax Invoice : INW50444</t>
  </si>
  <si>
    <t>Tax Invoice : INW50445</t>
  </si>
  <si>
    <t>Tax Invoice : INW50446</t>
  </si>
  <si>
    <t>Tax Invoice : INW50447</t>
  </si>
  <si>
    <t>Tax Invoice : INW50448</t>
  </si>
  <si>
    <t>UDO001</t>
  </si>
  <si>
    <t>Tax Invoice : INW50449</t>
  </si>
  <si>
    <t>Tax Invoice : INW50450</t>
  </si>
  <si>
    <t>Tax Invoice : INW50451</t>
  </si>
  <si>
    <t>STO015</t>
  </si>
  <si>
    <t>Tax Invoice : INW50452</t>
  </si>
  <si>
    <t>ZIP001</t>
  </si>
  <si>
    <t>Tax Invoice : INW50453</t>
  </si>
  <si>
    <t>Tax Invoice : INW50454</t>
  </si>
  <si>
    <t>Tax Invoice : INW50455</t>
  </si>
  <si>
    <t>Tax Invoice : INW50456</t>
  </si>
  <si>
    <t>LIL004</t>
  </si>
  <si>
    <t>Tax Invoice : INW50457</t>
  </si>
  <si>
    <t>Tax Invoice : INW50458</t>
  </si>
  <si>
    <t>Tax Invoice : INW50459</t>
  </si>
  <si>
    <t>Tax Invoice : INW50460</t>
  </si>
  <si>
    <t>FOR010</t>
  </si>
  <si>
    <t>Tax Invoice : INW50461</t>
  </si>
  <si>
    <t>KOB003</t>
  </si>
  <si>
    <t>Tax Invoice : INW50462</t>
  </si>
  <si>
    <t>UKU021</t>
  </si>
  <si>
    <t>Tax Invoice : INW50463</t>
  </si>
  <si>
    <t>YOU003</t>
  </si>
  <si>
    <t>Tax Invoice : INW50464</t>
  </si>
  <si>
    <t>APT003</t>
  </si>
  <si>
    <t>Tax Invoice : INW50465</t>
  </si>
  <si>
    <t>COM011</t>
  </si>
  <si>
    <t>Tax Invoice : INW50466</t>
  </si>
  <si>
    <t>PO# 3871</t>
  </si>
  <si>
    <t>COU001</t>
  </si>
  <si>
    <t>Tax Invoice : INW50467</t>
  </si>
  <si>
    <t>Tax Invoice : INW50468</t>
  </si>
  <si>
    <t>Tax Invoice : INW50469</t>
  </si>
  <si>
    <t>Tax Invoice : INW50470</t>
  </si>
  <si>
    <t>Tax Invoice : INW50471</t>
  </si>
  <si>
    <t>JOE005</t>
  </si>
  <si>
    <t>Tax Invoice : INW50472</t>
  </si>
  <si>
    <t>Tax Invoice : INW50473</t>
  </si>
  <si>
    <t>JOR001</t>
  </si>
  <si>
    <t>Tax Invoice : INW50474</t>
  </si>
  <si>
    <t>PO#GORDON</t>
  </si>
  <si>
    <t>Tax Invoice : INW50475</t>
  </si>
  <si>
    <t>SIT003</t>
  </si>
  <si>
    <t>Tax Invoice : INW50476</t>
  </si>
  <si>
    <t>Tax Invoice : INW50477</t>
  </si>
  <si>
    <t>Tax Invoice : INW50478</t>
  </si>
  <si>
    <t>ATT: GLENDYR</t>
  </si>
  <si>
    <t>Tax Invoice : INW50479</t>
  </si>
  <si>
    <t>WIL020</t>
  </si>
  <si>
    <t>Tax Invoice : INW50480</t>
  </si>
  <si>
    <t>Tax Invoice : INW50481</t>
  </si>
  <si>
    <t>Tax Invoice : INW50482</t>
  </si>
  <si>
    <t>ATT: KRIESEN/JUDY</t>
  </si>
  <si>
    <t>CON011</t>
  </si>
  <si>
    <t>Tax Invoice : INW50483</t>
  </si>
  <si>
    <t>Tax Invoice : INW50484</t>
  </si>
  <si>
    <t>PO#6731</t>
  </si>
  <si>
    <t>Tax Invoice : INW50485</t>
  </si>
  <si>
    <t>Tax Invoice : INW50486</t>
  </si>
  <si>
    <t>COW002</t>
  </si>
  <si>
    <t>Tax Invoice : INW50487</t>
  </si>
  <si>
    <t>Tax Invoice : INW50488</t>
  </si>
  <si>
    <t>Tax Invoice : INW50489</t>
  </si>
  <si>
    <t>Tax Invoice : INW50490</t>
  </si>
  <si>
    <t>Tax Invoice : INW50491</t>
  </si>
  <si>
    <t>POD08699</t>
  </si>
  <si>
    <t>NAS005</t>
  </si>
  <si>
    <t>Tax Invoice : INW50492</t>
  </si>
  <si>
    <t>Tax Invoice : INW50493</t>
  </si>
  <si>
    <t>FOR009</t>
  </si>
  <si>
    <t>Tax Invoice : INW50494</t>
  </si>
  <si>
    <t>COU015</t>
  </si>
  <si>
    <t>Tax Invoice : INW50495</t>
  </si>
  <si>
    <t>PO# 26802</t>
  </si>
  <si>
    <t>Tax Invoice : INW50496</t>
  </si>
  <si>
    <t>ATT: SIMON</t>
  </si>
  <si>
    <t>Tax Invoice : INW50497</t>
  </si>
  <si>
    <t>Tax Invoice : INW50498</t>
  </si>
  <si>
    <t>Tax Invoice : INW50499</t>
  </si>
  <si>
    <t>Tax Invoice : INW50500</t>
  </si>
  <si>
    <t>Tax Invoice : INW50501</t>
  </si>
  <si>
    <t>PRO030</t>
  </si>
  <si>
    <t>Tax Invoice : INW50502</t>
  </si>
  <si>
    <t>Tax Invoice : INW50503</t>
  </si>
  <si>
    <t>Tax Invoice : INW50504</t>
  </si>
  <si>
    <t>Tax Invoice : INW50505</t>
  </si>
  <si>
    <t>POD08705</t>
  </si>
  <si>
    <t>SOM006</t>
  </si>
  <si>
    <t>Tax Invoice : INW50506</t>
  </si>
  <si>
    <t>ATA001</t>
  </si>
  <si>
    <t>Tax Invoice : INW50507</t>
  </si>
  <si>
    <t>ATT: ATHENE</t>
  </si>
  <si>
    <t>Tax Invoice : INW50508</t>
  </si>
  <si>
    <t>VARIOUS PO</t>
  </si>
  <si>
    <t>Tax Invoice : INW50509</t>
  </si>
  <si>
    <t>Tax Invoice : INW50510</t>
  </si>
  <si>
    <t>Tax Invoice : INW50511</t>
  </si>
  <si>
    <t>Tax Invoice : INW50512</t>
  </si>
  <si>
    <t>PO#105928</t>
  </si>
  <si>
    <t>Tax Invoice : INW50513</t>
  </si>
  <si>
    <t>Tax Invoice : INW50514</t>
  </si>
  <si>
    <t>PO#26/05/215</t>
  </si>
  <si>
    <t>Tax Invoice : INW50515</t>
  </si>
  <si>
    <t>Tax Invoice : INW50516</t>
  </si>
  <si>
    <t>Tax Invoice : INW50517</t>
  </si>
  <si>
    <t>Tax Invoice : INW50518</t>
  </si>
  <si>
    <t>Tax Invoice : INW50519</t>
  </si>
  <si>
    <t>INTE02</t>
  </si>
  <si>
    <t>Tax Invoice : INW50520</t>
  </si>
  <si>
    <t>PO# 26543</t>
  </si>
  <si>
    <t>Tax Invoice : INW50521</t>
  </si>
  <si>
    <t>Tax Invoice : INW50522</t>
  </si>
  <si>
    <t>Tax Invoice : INW50523</t>
  </si>
  <si>
    <t>Tax Invoice : INW50524</t>
  </si>
  <si>
    <t>Tax Invoice : INW50525</t>
  </si>
  <si>
    <t>ATT: MIGUEL</t>
  </si>
  <si>
    <t>Tax Invoice : INW50526</t>
  </si>
  <si>
    <t>RIN004</t>
  </si>
  <si>
    <t>Tax Invoice : INW50527</t>
  </si>
  <si>
    <t>Tax Invoice : INW50528</t>
  </si>
  <si>
    <t>Tax Invoice : INW50529</t>
  </si>
  <si>
    <t>Tax Invoice : INW50530</t>
  </si>
  <si>
    <t>Tax Invoice : INW50531</t>
  </si>
  <si>
    <t>Tax Invoice : INW50532</t>
  </si>
  <si>
    <t>PET015</t>
  </si>
  <si>
    <t>Tax Invoice : INW50533</t>
  </si>
  <si>
    <t>Tax Invoice : INW50534</t>
  </si>
  <si>
    <t>ATT: WEBBY</t>
  </si>
  <si>
    <t>Tax Invoice : INW50535</t>
  </si>
  <si>
    <t>Tax Invoice : INW50536</t>
  </si>
  <si>
    <t>ATT: MALAN</t>
  </si>
  <si>
    <t>Tax Invoice : INW50537</t>
  </si>
  <si>
    <t>PO#36128</t>
  </si>
  <si>
    <t>Tax Invoice : INW50538</t>
  </si>
  <si>
    <t>Tax Invoice : INW50539</t>
  </si>
  <si>
    <t>PO#DW1437</t>
  </si>
  <si>
    <t>Tax Invoice : INW50540</t>
  </si>
  <si>
    <t>Tax Invoice : INW50541</t>
  </si>
  <si>
    <t>PO#WBACK+HBOARD</t>
  </si>
  <si>
    <t>Tax Invoice : INW50542</t>
  </si>
  <si>
    <t>ATT: JUDY/KRIESEN</t>
  </si>
  <si>
    <t>Tax Invoice : INW50543</t>
  </si>
  <si>
    <t>LEI001</t>
  </si>
  <si>
    <t>Tax Invoice : INW50544</t>
  </si>
  <si>
    <t>O/N: SHOWROOM SPECIAL</t>
  </si>
  <si>
    <t>Tax Invoice : INW50545</t>
  </si>
  <si>
    <t>Tax Invoice : INW50546</t>
  </si>
  <si>
    <t>Tax Invoice : INW50547</t>
  </si>
  <si>
    <t>Tax Invoice : INW50548</t>
  </si>
  <si>
    <t>Tax Invoice : INW50549</t>
  </si>
  <si>
    <t>Tax Invoice : INW50550</t>
  </si>
  <si>
    <t>PO#3140</t>
  </si>
  <si>
    <t>Tax Invoice : INW50551</t>
  </si>
  <si>
    <t>Tax Invoice : INW50552</t>
  </si>
  <si>
    <t>Tax Invoice : INW50553</t>
  </si>
  <si>
    <t>Tax Invoice : INW50554</t>
  </si>
  <si>
    <t>DEE001</t>
  </si>
  <si>
    <t>Tax Invoice : INW50555</t>
  </si>
  <si>
    <t>UPH011</t>
  </si>
  <si>
    <t>Tax Invoice : INW50556</t>
  </si>
  <si>
    <t>Tax Invoice : INW50557</t>
  </si>
  <si>
    <t>Tax Invoice : INW50558</t>
  </si>
  <si>
    <t>Tax Invoice : INW50559</t>
  </si>
  <si>
    <t>Tax Invoice : INW50560</t>
  </si>
  <si>
    <t>SAG002</t>
  </si>
  <si>
    <t>Tax Invoice : INW50561</t>
  </si>
  <si>
    <t>Tax Invoice : INW50562</t>
  </si>
  <si>
    <t>Tax Invoice : INW50563</t>
  </si>
  <si>
    <t>Tax Invoice : INW50564</t>
  </si>
  <si>
    <t>Tax Invoice : INW50565</t>
  </si>
  <si>
    <t>Tax Invoice : INW50566</t>
  </si>
  <si>
    <t>Tax Invoice : INW50567</t>
  </si>
  <si>
    <t>LEF001</t>
  </si>
  <si>
    <t>Tax Invoice : INW50568</t>
  </si>
  <si>
    <t>COMM INV: 910/2026</t>
  </si>
  <si>
    <t>Tax Invoice : INW50569</t>
  </si>
  <si>
    <t>Tax Invoice : INW50570</t>
  </si>
  <si>
    <t>Tax Invoice : INW50571</t>
  </si>
  <si>
    <t>Tax Invoice : INW50572</t>
  </si>
  <si>
    <t>Tax Invoice : INW50573</t>
  </si>
  <si>
    <t>Tax Invoice : INW50574</t>
  </si>
  <si>
    <t>PAM003</t>
  </si>
  <si>
    <t>Tax Invoice : INW50575</t>
  </si>
  <si>
    <t>ATT: PATRICK</t>
  </si>
  <si>
    <t>SPL001</t>
  </si>
  <si>
    <t>Tax Invoice : INW50576</t>
  </si>
  <si>
    <t>Tax Invoice : INW50577</t>
  </si>
  <si>
    <t>Tax Invoice : INW50578</t>
  </si>
  <si>
    <t>Tax Invoice : INW50579</t>
  </si>
  <si>
    <t>Tax Invoice : INW50580</t>
  </si>
  <si>
    <t>PER007</t>
  </si>
  <si>
    <t>Tax Invoice : INW50581</t>
  </si>
  <si>
    <t>MAL009</t>
  </si>
  <si>
    <t>Tax Invoice : INW50582</t>
  </si>
  <si>
    <t>Tax Invoice : INW50583</t>
  </si>
  <si>
    <t>Tax Invoice : INW50584</t>
  </si>
  <si>
    <t>Tax Invoice : INW50585</t>
  </si>
  <si>
    <t>Tax Invoice : INW50586</t>
  </si>
  <si>
    <t>Tax Invoice : INW50587</t>
  </si>
  <si>
    <t>Tax Invoice : INW50588</t>
  </si>
  <si>
    <t>Tax Invoice : INW50589</t>
  </si>
  <si>
    <t>PO#K2X6+K3X4</t>
  </si>
  <si>
    <t>Tax Invoice : INW50590</t>
  </si>
  <si>
    <t>Tax Invoice : INW50591</t>
  </si>
  <si>
    <t>Tax Invoice : INW50592</t>
  </si>
  <si>
    <t>Tax Invoice : INW50593</t>
  </si>
  <si>
    <t>PO: LB260514-3</t>
  </si>
  <si>
    <t>Tax Invoice : INW50594</t>
  </si>
  <si>
    <t>PO: FALCON SERVER</t>
  </si>
  <si>
    <t>Tax Invoice : INW50595</t>
  </si>
  <si>
    <t>PO: 15933</t>
  </si>
  <si>
    <t>ARC013</t>
  </si>
  <si>
    <t>Tax Invoice : INW50596</t>
  </si>
  <si>
    <t>ONE005</t>
  </si>
  <si>
    <t>Tax Invoice : INW50597</t>
  </si>
  <si>
    <t>COB002</t>
  </si>
  <si>
    <t>Tax Invoice : INW50598</t>
  </si>
  <si>
    <t>Tax Invoice : INW50599</t>
  </si>
  <si>
    <t>HAP002</t>
  </si>
  <si>
    <t>Tax Invoice : INW50600</t>
  </si>
  <si>
    <t>Tax Invoice : INW50601</t>
  </si>
  <si>
    <t>Tax Invoice : INW50602</t>
  </si>
  <si>
    <t>Tax Invoice : INW50603</t>
  </si>
  <si>
    <t>Tax Invoice : INW50604</t>
  </si>
  <si>
    <t>Tax Invoice : INW50605</t>
  </si>
  <si>
    <t>Tax Invoice : INW50606</t>
  </si>
  <si>
    <t>Tax Invoice : INW50607</t>
  </si>
  <si>
    <t>Tax Invoice : INW50608</t>
  </si>
  <si>
    <t>PO#19601</t>
  </si>
  <si>
    <t>Tax Invoice : INW50609</t>
  </si>
  <si>
    <t>Tax Invoice : INW50610</t>
  </si>
  <si>
    <t>SIR005</t>
  </si>
  <si>
    <t>Tax Invoice : INW50611</t>
  </si>
  <si>
    <t>FAB006</t>
  </si>
  <si>
    <t>Tax Invoice : INW50612</t>
  </si>
  <si>
    <t>Tax Invoice : INW50613</t>
  </si>
  <si>
    <t>Tax Invoice : INW50614</t>
  </si>
  <si>
    <t>Tax Invoice : INW50615</t>
  </si>
  <si>
    <t>Tax Invoice : INW50616</t>
  </si>
  <si>
    <t>INN002</t>
  </si>
  <si>
    <t>Tax Invoice : INW50617</t>
  </si>
  <si>
    <t>JAN015</t>
  </si>
  <si>
    <t>Tax Invoice : INW50618</t>
  </si>
  <si>
    <t>Tax Invoice : INW50619</t>
  </si>
  <si>
    <t>POD08559</t>
  </si>
  <si>
    <t>Tax Invoice : INW50620</t>
  </si>
  <si>
    <t>MAG015</t>
  </si>
  <si>
    <t>Tax Invoice : INW50621</t>
  </si>
  <si>
    <t>Tax Invoice : INW50622</t>
  </si>
  <si>
    <t>POD08663</t>
  </si>
  <si>
    <t>Tax Invoice : INW50623</t>
  </si>
  <si>
    <t>Tax Invoice : INW50624</t>
  </si>
  <si>
    <t>Tax Invoice : INW50625</t>
  </si>
  <si>
    <t>ATT: RENE</t>
  </si>
  <si>
    <t>Tax Invoice : INW50626</t>
  </si>
  <si>
    <t>MOF002</t>
  </si>
  <si>
    <t>Tax Invoice : INW50627</t>
  </si>
  <si>
    <t>SA002</t>
  </si>
  <si>
    <t>Tax Invoice : INW50628</t>
  </si>
  <si>
    <t>ATT: ANDRE</t>
  </si>
  <si>
    <t>NAA001</t>
  </si>
  <si>
    <t>Tax Invoice : INW50629</t>
  </si>
  <si>
    <t>Tax Invoice : INW50630</t>
  </si>
  <si>
    <t>KOF001</t>
  </si>
  <si>
    <t>Tax Invoice : INW50631</t>
  </si>
  <si>
    <t>MOSS01</t>
  </si>
  <si>
    <t>Tax Invoice : INW50632</t>
  </si>
  <si>
    <t>Tax Invoice : INW50633</t>
  </si>
  <si>
    <t>ZAL001</t>
  </si>
  <si>
    <t>Tax Invoice : INW50634</t>
  </si>
  <si>
    <t>ATT: SUE</t>
  </si>
  <si>
    <t>Tax Invoice : INW50635</t>
  </si>
  <si>
    <t>Tax Invoice : INW50636</t>
  </si>
  <si>
    <t>BON002</t>
  </si>
  <si>
    <t>Tax Invoice : INW50637</t>
  </si>
  <si>
    <t>Tax Invoice : INW50638</t>
  </si>
  <si>
    <t>Tax Invoice : INW50639</t>
  </si>
  <si>
    <t>Tax Invoice : INW50640</t>
  </si>
  <si>
    <t>Tax Invoice : INW50641</t>
  </si>
  <si>
    <t>POD08714</t>
  </si>
  <si>
    <t>Tax Invoice : INW50642</t>
  </si>
  <si>
    <t>POD08709</t>
  </si>
  <si>
    <t>ERG001</t>
  </si>
  <si>
    <t>Tax Invoice : INW50643</t>
  </si>
  <si>
    <t>PO#30677</t>
  </si>
  <si>
    <t>Tax Invoice : INW50644</t>
  </si>
  <si>
    <t>Tax Invoice : INW50645</t>
  </si>
  <si>
    <t>PO:3261</t>
  </si>
  <si>
    <t>Tax Invoice : INW50646</t>
  </si>
  <si>
    <t>WAN002</t>
  </si>
  <si>
    <t>Tax Invoice : INW50647</t>
  </si>
  <si>
    <t>NGA001</t>
  </si>
  <si>
    <t>Tax Invoice : INW50648</t>
  </si>
  <si>
    <t>ATT: NG AUTO</t>
  </si>
  <si>
    <t>Tax Invoice : INW50649</t>
  </si>
  <si>
    <t>Tax Invoice : INW50650</t>
  </si>
  <si>
    <t>MASHAMBA</t>
  </si>
  <si>
    <t>Tax Invoice : INW50651</t>
  </si>
  <si>
    <t>MAN020</t>
  </si>
  <si>
    <t>Tax Invoice : INW50652</t>
  </si>
  <si>
    <t>Tax Invoice : INW50653</t>
  </si>
  <si>
    <t>AFR016</t>
  </si>
  <si>
    <t>Tax Invoice : INW50654</t>
  </si>
  <si>
    <t>Tax Invoice : INW50655</t>
  </si>
  <si>
    <t>Tax Invoice : INW50656</t>
  </si>
  <si>
    <t>MAI002</t>
  </si>
  <si>
    <t>Tax Invoice : INW50657</t>
  </si>
  <si>
    <t>Tax Invoice : INW50658</t>
  </si>
  <si>
    <t>SWE002</t>
  </si>
  <si>
    <t>Tax Invoice : INW50659</t>
  </si>
  <si>
    <t>ATT: STACY/CHEY</t>
  </si>
  <si>
    <t>Tax Invoice : INW50660</t>
  </si>
  <si>
    <t>Tax Invoice : INW50661</t>
  </si>
  <si>
    <t>Tax Invoice : INW50662</t>
  </si>
  <si>
    <t>Tax Invoice : INW50663</t>
  </si>
  <si>
    <t>SHOWROOM STOCK</t>
  </si>
  <si>
    <t>Tax Invoice : INW50664</t>
  </si>
  <si>
    <t>Tax Invoice : INW50665</t>
  </si>
  <si>
    <t>Tax Invoice : INW50666</t>
  </si>
  <si>
    <t>KOM002</t>
  </si>
  <si>
    <t>Tax Invoice : INW50667</t>
  </si>
  <si>
    <t>PO#K27</t>
  </si>
  <si>
    <t>Tax Invoice : INW50668</t>
  </si>
  <si>
    <t>JAI001</t>
  </si>
  <si>
    <t>Tax Invoice : INW50669</t>
  </si>
  <si>
    <t>Tax Invoice : INW50670</t>
  </si>
  <si>
    <t>Tax Invoice : INW50671</t>
  </si>
  <si>
    <t>HOPEWELL STOCK</t>
  </si>
  <si>
    <t>Tax Invoice : INW50672</t>
  </si>
  <si>
    <t>Tax Invoice : INW50673</t>
  </si>
  <si>
    <t>Tax Invoice : INW50674</t>
  </si>
  <si>
    <t>WEN001</t>
  </si>
  <si>
    <t>Tax Invoice : INW50675</t>
  </si>
  <si>
    <t>Tax Invoice : INW50676</t>
  </si>
  <si>
    <t>COMM INV: 911/2026</t>
  </si>
  <si>
    <t>TRE013</t>
  </si>
  <si>
    <t>Tax Invoice : INW50677</t>
  </si>
  <si>
    <t>ITF001</t>
  </si>
  <si>
    <t>Tax Invoice : INW50678</t>
  </si>
  <si>
    <t>PO#3940</t>
  </si>
  <si>
    <t>Tax Invoice : INW50679</t>
  </si>
  <si>
    <t>BLA007</t>
  </si>
  <si>
    <t>Tax Invoice : INW50680</t>
  </si>
  <si>
    <t>CLA012</t>
  </si>
  <si>
    <t>Tax Invoice : INW50681</t>
  </si>
  <si>
    <t>Tax Invoice : INW50682</t>
  </si>
  <si>
    <t>Tax Invoice : INW50683</t>
  </si>
  <si>
    <t>Tax Invoice : INW50684</t>
  </si>
  <si>
    <t>STY021</t>
  </si>
  <si>
    <t>Tax Invoice : INW50685</t>
  </si>
  <si>
    <t>Tax Invoice : INW50686</t>
  </si>
  <si>
    <t>Tax Invoice : INW50687</t>
  </si>
  <si>
    <t>Tax Invoice : INW50688</t>
  </si>
  <si>
    <t>MIG001</t>
  </si>
  <si>
    <t>Tax Invoice : INW50689</t>
  </si>
  <si>
    <t>Tax Invoice : INW50690</t>
  </si>
  <si>
    <t>POD08724</t>
  </si>
  <si>
    <t>Tax Invoice : INW50691</t>
  </si>
  <si>
    <t>MEM006</t>
  </si>
  <si>
    <t>Tax Invoice : INW50692</t>
  </si>
  <si>
    <t>THE04</t>
  </si>
  <si>
    <t>Tax Invoice : INW50693</t>
  </si>
  <si>
    <t>Tax Invoice : INW50694</t>
  </si>
  <si>
    <t>COL008</t>
  </si>
  <si>
    <t>Tax Invoice : INW50695</t>
  </si>
  <si>
    <t>NOV021</t>
  </si>
  <si>
    <t>Tax Invoice : INW50696</t>
  </si>
  <si>
    <t>Tax Invoice : INW50697</t>
  </si>
  <si>
    <t>PO# 1696</t>
  </si>
  <si>
    <t>Tax Invoice : INW50698</t>
  </si>
  <si>
    <t>AMA016</t>
  </si>
  <si>
    <t>Tax Invoice : INW50699</t>
  </si>
  <si>
    <t>COM006</t>
  </si>
  <si>
    <t>Tax Invoice : INW50700</t>
  </si>
  <si>
    <t>PO#MARY-LOU</t>
  </si>
  <si>
    <t>Tax Invoice : INW50701</t>
  </si>
  <si>
    <t>Tax Invoice : INW50702</t>
  </si>
  <si>
    <t>ATT: DAMIEN</t>
  </si>
  <si>
    <t>Tax Invoice : INW50703</t>
  </si>
  <si>
    <t>PO#LEANNE</t>
  </si>
  <si>
    <t>STE016</t>
  </si>
  <si>
    <t>Tax Invoice : INW50704</t>
  </si>
  <si>
    <t>Tax Invoice : INW50705</t>
  </si>
  <si>
    <t>Tax Invoice : INW50706</t>
  </si>
  <si>
    <t>Tax Invoice : INW50707</t>
  </si>
  <si>
    <t>Tax Invoice : INW50708</t>
  </si>
  <si>
    <t>PO: 0220058</t>
  </si>
  <si>
    <t>UMH001</t>
  </si>
  <si>
    <t>Tax Invoice : INW50709</t>
  </si>
  <si>
    <t>PO: 2025/1561</t>
  </si>
  <si>
    <t>Tax Invoice : INW50710</t>
  </si>
  <si>
    <t>Tax Invoice : INW50711</t>
  </si>
  <si>
    <t>Tax Invoice : INW50712</t>
  </si>
  <si>
    <t>Tax Invoice : INW50713</t>
  </si>
  <si>
    <t>ATT; SUE</t>
  </si>
  <si>
    <t>Tax Invoice : INW50714</t>
  </si>
  <si>
    <t>Tax Invoice : INW50715</t>
  </si>
  <si>
    <t>Tax Invoice : INW50716</t>
  </si>
  <si>
    <t>Tax Invoice : INW50717</t>
  </si>
  <si>
    <t>Tax Invoice : INW50718</t>
  </si>
  <si>
    <t>BLU004</t>
  </si>
  <si>
    <t>Tax Invoice : INW50719</t>
  </si>
  <si>
    <t>Tax Invoice : INW50720</t>
  </si>
  <si>
    <t>LEG003</t>
  </si>
  <si>
    <t>Tax Invoice : INW50721</t>
  </si>
  <si>
    <t>ELI009</t>
  </si>
  <si>
    <t>Tax Invoice : INW50722</t>
  </si>
  <si>
    <t>Tax Invoice : INW50723</t>
  </si>
  <si>
    <t>PO#10317</t>
  </si>
  <si>
    <t>Tax Invoice : INW50724</t>
  </si>
  <si>
    <t>Tax Invoice : INW50725</t>
  </si>
  <si>
    <t>PO#10315</t>
  </si>
  <si>
    <t>Tax Invoice : INW50726</t>
  </si>
  <si>
    <t>LON002</t>
  </si>
  <si>
    <t>Tax Invoice : INW50727</t>
  </si>
  <si>
    <t>ATT: LONKIE</t>
  </si>
  <si>
    <t>Tax Invoice : INW50728</t>
  </si>
  <si>
    <t>Tax Invoice : INW50729</t>
  </si>
  <si>
    <t>Tax Invoice : INW50730</t>
  </si>
  <si>
    <t>Tax Invoice : INW50731</t>
  </si>
  <si>
    <t>Tax Invoice : INW50732</t>
  </si>
  <si>
    <t>Tax Invoice : INW50733</t>
  </si>
  <si>
    <t>ATT: SEARLE</t>
  </si>
  <si>
    <t>Tax Invoice : INW50734</t>
  </si>
  <si>
    <t>ATT: BRENDAN GERBER</t>
  </si>
  <si>
    <t>Tax Invoice : INW50735</t>
  </si>
  <si>
    <t>Tax Invoice : INW50736</t>
  </si>
  <si>
    <t>Tax Invoice : INW50737</t>
  </si>
  <si>
    <t>Tax Invoice : INW50738</t>
  </si>
  <si>
    <t>Tax Invoice : INW50739</t>
  </si>
  <si>
    <t>Tax Invoice : INW50740</t>
  </si>
  <si>
    <t>Tax Invoice : INW50741</t>
  </si>
  <si>
    <t>Tax Invoice : INW50742</t>
  </si>
  <si>
    <t>Tax Invoice : INW50743</t>
  </si>
  <si>
    <t>Tax Invoice : INW50744</t>
  </si>
  <si>
    <t>Tax Invoice : INW50745</t>
  </si>
  <si>
    <t>Tax Invoice : INW50746</t>
  </si>
  <si>
    <t>Tax Invoice : INW50747</t>
  </si>
  <si>
    <t>Tax Invoice : INW50748</t>
  </si>
  <si>
    <t>Tax Invoice : INW50749</t>
  </si>
  <si>
    <t>Tax Invoice : INW50750</t>
  </si>
  <si>
    <t>Tax Invoice : INW50751</t>
  </si>
  <si>
    <t>DME001</t>
  </si>
  <si>
    <t>Tax Invoice : INW50752</t>
  </si>
  <si>
    <t>Tax Invoice : INW50753</t>
  </si>
  <si>
    <t>Tax Invoice : INW50754</t>
  </si>
  <si>
    <t>Tax Invoice : INW50755</t>
  </si>
  <si>
    <t>GAM003</t>
  </si>
  <si>
    <t>Tax Invoice : INW50756</t>
  </si>
  <si>
    <t>DEV009</t>
  </si>
  <si>
    <t>Tax Invoice : INW50757</t>
  </si>
  <si>
    <t>BEL023</t>
  </si>
  <si>
    <t>Tax Invoice : INW50758</t>
  </si>
  <si>
    <t>Tax Invoice : INW50759</t>
  </si>
  <si>
    <t>Tax Invoice : INW50760</t>
  </si>
  <si>
    <t>Tax Invoice : INW50761</t>
  </si>
  <si>
    <t>Tax Invoice : INW50762</t>
  </si>
  <si>
    <t>Tax Invoice : INW50763</t>
  </si>
  <si>
    <t>Tax Invoice : INW50764</t>
  </si>
  <si>
    <t>Tax Invoice : INW50765</t>
  </si>
  <si>
    <t>Tax Invoice : INW50766</t>
  </si>
  <si>
    <t>Tax Invoice : INW50767</t>
  </si>
  <si>
    <t>Tax Invoice : INW50768</t>
  </si>
  <si>
    <t>CIK001</t>
  </si>
  <si>
    <t>Tax Invoice : INW50769</t>
  </si>
  <si>
    <t>Tax Invoice : INW50770</t>
  </si>
  <si>
    <t>Tax Invoice : INW50771</t>
  </si>
  <si>
    <t>Tax Invoice : INW50772</t>
  </si>
  <si>
    <t>Tax Invoice : INW50773</t>
  </si>
  <si>
    <t>Tax Invoice : INW50774</t>
  </si>
  <si>
    <t>Tax Invoice : INW50775</t>
  </si>
  <si>
    <t>Tax Invoice : INW50776</t>
  </si>
  <si>
    <t>Tax Invoice : INW50777</t>
  </si>
  <si>
    <t>2279 - KIRIT</t>
  </si>
  <si>
    <t>Tax Invoice : INW50778</t>
  </si>
  <si>
    <t>PO#GRAEME</t>
  </si>
  <si>
    <t>WYS001</t>
  </si>
  <si>
    <t>Tax Invoice : INW50779</t>
  </si>
  <si>
    <t>Tax Invoice : INW50780</t>
  </si>
  <si>
    <t>Tax Invoice : INW50781</t>
  </si>
  <si>
    <t>PO: 3261</t>
  </si>
  <si>
    <t>LEA053</t>
  </si>
  <si>
    <t>Tax Invoice : INW50782</t>
  </si>
  <si>
    <t>SKI002</t>
  </si>
  <si>
    <t>Tax Invoice : INW50783</t>
  </si>
  <si>
    <t>ATT: JAMES</t>
  </si>
  <si>
    <t>CC001</t>
  </si>
  <si>
    <t>Tax Invoice : INW50784</t>
  </si>
  <si>
    <t>Tax Invoice : INW50785</t>
  </si>
  <si>
    <t>K2 X 8 + K3 X 8</t>
  </si>
  <si>
    <t>Tax Invoice : INW50786</t>
  </si>
  <si>
    <t>Tax Invoice : INW50787</t>
  </si>
  <si>
    <t>ATT: LENNY</t>
  </si>
  <si>
    <t>Tax Invoice : INW50788</t>
  </si>
  <si>
    <t>DUP002</t>
  </si>
  <si>
    <t>Tax Invoice : INW50789</t>
  </si>
  <si>
    <t>ATT: NEIL</t>
  </si>
  <si>
    <t>Tax Invoice : INW50790</t>
  </si>
  <si>
    <t>Tax Invoice : INW50791</t>
  </si>
  <si>
    <t>Tax Invoice : INW50792</t>
  </si>
  <si>
    <t>Tax Invoice : INW50793</t>
  </si>
  <si>
    <t>Tax Invoice : INW50794</t>
  </si>
  <si>
    <t>Tax Invoice : INW50795</t>
  </si>
  <si>
    <t>RIK001</t>
  </si>
  <si>
    <t>Tax Invoice : INW50796</t>
  </si>
  <si>
    <t>VAL002</t>
  </si>
  <si>
    <t>Tax Invoice : INW50797</t>
  </si>
  <si>
    <t>Tax Invoice : INW50798</t>
  </si>
  <si>
    <t>SEB011</t>
  </si>
  <si>
    <t>Tax Invoice : INW50799</t>
  </si>
  <si>
    <t>Tax Invoice : INW50800</t>
  </si>
  <si>
    <t>Tax Invoice : INW50801</t>
  </si>
  <si>
    <t>Tax Invoice : INW50802</t>
  </si>
  <si>
    <t>Tax Invoice : INW50803</t>
  </si>
  <si>
    <t>Tax Invoice : INW50804</t>
  </si>
  <si>
    <t>Tax Invoice : INW50805</t>
  </si>
  <si>
    <t>Tax Invoice : INW50806</t>
  </si>
  <si>
    <t>KAR002</t>
  </si>
  <si>
    <t>Tax Invoice : INW50807</t>
  </si>
  <si>
    <t>Tax Invoice : INW50808</t>
  </si>
  <si>
    <t>Tax Invoice : INW50809</t>
  </si>
  <si>
    <t>Tax Invoice : INW50810</t>
  </si>
  <si>
    <t>Tax Invoice : INW50811</t>
  </si>
  <si>
    <t>FOA002</t>
  </si>
  <si>
    <t>Tax Invoice : INW50812</t>
  </si>
  <si>
    <t>ATT: FAIZEL</t>
  </si>
  <si>
    <t>Tax Invoice : INW50813</t>
  </si>
  <si>
    <t>PO#26/05/229</t>
  </si>
  <si>
    <t>Tax Invoice : INW50814</t>
  </si>
  <si>
    <t>Tax Invoice : INW50815</t>
  </si>
  <si>
    <t>BLU012</t>
  </si>
  <si>
    <t>Tax Invoice : INW50816</t>
  </si>
  <si>
    <t>DEY001</t>
  </si>
  <si>
    <t>Tax Invoice : INW50817</t>
  </si>
  <si>
    <t>MEZ001</t>
  </si>
  <si>
    <t>Tax Invoice : INW50818</t>
  </si>
  <si>
    <t>Tax Invoice : INW50819</t>
  </si>
  <si>
    <t>Tax Invoice : INW50820</t>
  </si>
  <si>
    <t>ATT: JANDRE</t>
  </si>
  <si>
    <t>Tax Invoice : INW50821</t>
  </si>
  <si>
    <t>TEN020</t>
  </si>
  <si>
    <t>Tax Invoice : INW50822</t>
  </si>
  <si>
    <t>Tax Invoice : INW50824</t>
  </si>
  <si>
    <t>Tax Invoice : INW50825</t>
  </si>
  <si>
    <t>Tax Invoice : INW50826</t>
  </si>
  <si>
    <t>Tax Invoice : INW50827</t>
  </si>
  <si>
    <t>DN: 275/21</t>
  </si>
  <si>
    <t>Tax Invoice : INW50828</t>
  </si>
  <si>
    <t>Tax Invoice : INW50829</t>
  </si>
  <si>
    <t>Tax Invoice : INW50830</t>
  </si>
  <si>
    <t>Tax Invoice : INW50831</t>
  </si>
  <si>
    <t>Tax Invoice : INW50832</t>
  </si>
  <si>
    <t>Tax Invoice : INW50833</t>
  </si>
  <si>
    <t>BIA004</t>
  </si>
  <si>
    <t>Tax Invoice : INW50834</t>
  </si>
  <si>
    <t>Tax Invoice : INW50835</t>
  </si>
  <si>
    <t>PO#36198</t>
  </si>
  <si>
    <t>Tax Invoice : INW50836</t>
  </si>
  <si>
    <t>Tax Invoice : INW50837</t>
  </si>
  <si>
    <t>PHX001</t>
  </si>
  <si>
    <t>Tax Invoice : INW50838</t>
  </si>
  <si>
    <t>ILA003</t>
  </si>
  <si>
    <t>Tax Invoice : INW50839</t>
  </si>
  <si>
    <t>Tax Invoice : INW50840</t>
  </si>
  <si>
    <t>2277 WILKIE</t>
  </si>
  <si>
    <t>Tax Invoice : INW50841</t>
  </si>
  <si>
    <t>ATT:ANGELA</t>
  </si>
  <si>
    <t>Tax Invoice : INW50842</t>
  </si>
  <si>
    <t>Tax Invoice : INW50843</t>
  </si>
  <si>
    <t>Tax Invoice : INW50844</t>
  </si>
  <si>
    <t>Tax Invoice : INW50845</t>
  </si>
  <si>
    <t>CAP30</t>
  </si>
  <si>
    <t>Tax Invoice : INW50846</t>
  </si>
  <si>
    <t>Tax Invoice : INW50847</t>
  </si>
  <si>
    <t>DAN008</t>
  </si>
  <si>
    <t>Tax Invoice : INW50848</t>
  </si>
  <si>
    <t>Tax Invoice : INW50849</t>
  </si>
  <si>
    <t>PO: 0023371</t>
  </si>
  <si>
    <t>Tax Invoice : INW50850</t>
  </si>
  <si>
    <t>Tax Invoice : INW50851</t>
  </si>
  <si>
    <t>Tax Invoice : INW50852</t>
  </si>
  <si>
    <t>Tax Invoice : INW50853</t>
  </si>
  <si>
    <t>Tax Invoice : INW50854</t>
  </si>
  <si>
    <t>Tax Invoice : INW50855</t>
  </si>
  <si>
    <t>PO: 00233373</t>
  </si>
  <si>
    <t>CLA06</t>
  </si>
  <si>
    <t>Tax Invoice : INW50856</t>
  </si>
  <si>
    <t>ATT: RAMANTHA</t>
  </si>
  <si>
    <t>Tax Invoice : INW50857</t>
  </si>
  <si>
    <t>Tax Invoice : INW50858</t>
  </si>
  <si>
    <t>Tax Invoice : INW50860</t>
  </si>
  <si>
    <t>Tax Invoice : INW50861</t>
  </si>
  <si>
    <t>Tax Invoice : INW50862</t>
  </si>
  <si>
    <t>PO#NANDOSABERDEENBELMONT</t>
  </si>
  <si>
    <t>Tax Invoice : INW50863</t>
  </si>
  <si>
    <t>Tax Invoice : INW50864</t>
  </si>
  <si>
    <t>Tax Invoice : INW50865</t>
  </si>
  <si>
    <t>Tax Invoice : INW50866</t>
  </si>
  <si>
    <t>Tax Invoice : INW50867</t>
  </si>
  <si>
    <t>Tax Invoice : INW50868</t>
  </si>
  <si>
    <t>Tax Invoice : INW50869</t>
  </si>
  <si>
    <t>Tax Invoice : INW50870</t>
  </si>
  <si>
    <t>ATT: GERA FERREIRA</t>
  </si>
  <si>
    <t>FOA001</t>
  </si>
  <si>
    <t>Tax Invoice : INW50871</t>
  </si>
  <si>
    <t>Tax Invoice : INW50872</t>
  </si>
  <si>
    <t>Tax Invoice : INW50873</t>
  </si>
  <si>
    <t>Tax Invoice : INW50874</t>
  </si>
  <si>
    <t>POD08704</t>
  </si>
  <si>
    <t>Tax Invoice : INW50875</t>
  </si>
  <si>
    <t>VARIOUS DELIVERY NOTES</t>
  </si>
  <si>
    <t>Tax Invoice : INW50876</t>
  </si>
  <si>
    <t>Tax Invoice : INW50877</t>
  </si>
  <si>
    <t>ATT: TOMMY</t>
  </si>
  <si>
    <t>Tax Invoice : INW50878</t>
  </si>
  <si>
    <t>ATT: DUVAN</t>
  </si>
  <si>
    <t>Tax Invoice : INW50879</t>
  </si>
  <si>
    <t>BUC001</t>
  </si>
  <si>
    <t>Tax Invoice : INW50880</t>
  </si>
  <si>
    <t>Tax Invoice : INW50881</t>
  </si>
  <si>
    <t>PO: 3272</t>
  </si>
  <si>
    <t>Tax Invoice : INW50882</t>
  </si>
  <si>
    <t>Tax Invoice : INW50884</t>
  </si>
  <si>
    <t>Tax Invoice : INW50885</t>
  </si>
  <si>
    <t>Tax Invoice : INW50886</t>
  </si>
  <si>
    <t>Tax Invoice : INW50887</t>
  </si>
  <si>
    <t>Tax Invoice : INW50888</t>
  </si>
  <si>
    <t>Tax Invoice : INW50889</t>
  </si>
  <si>
    <t>Tax Invoice : INW50890</t>
  </si>
  <si>
    <t>Tax Invoice : INW50891</t>
  </si>
  <si>
    <t>POD08727</t>
  </si>
  <si>
    <t>Tax Invoice : INW50892</t>
  </si>
  <si>
    <t>Tax Invoice : INW50893</t>
  </si>
  <si>
    <t>Tax Invoice : INW50894</t>
  </si>
  <si>
    <t>Tax Invoice : INW50895</t>
  </si>
  <si>
    <t>PO#19608</t>
  </si>
  <si>
    <t>Tax Invoice : INW50896</t>
  </si>
  <si>
    <t>Tax Invoice : INW50897</t>
  </si>
  <si>
    <t>CAP03</t>
  </si>
  <si>
    <t>Tax Invoice : INW50898</t>
  </si>
  <si>
    <t>Tax Invoice : INW50899</t>
  </si>
  <si>
    <t>LOO001</t>
  </si>
  <si>
    <t>Tax Invoice : INW50900</t>
  </si>
  <si>
    <t>PO#HELGA WINGBACK REFURB</t>
  </si>
  <si>
    <t>Tax Invoice : INW50901</t>
  </si>
  <si>
    <t>FUR006</t>
  </si>
  <si>
    <t>Tax Invoice : INW50902</t>
  </si>
  <si>
    <t>Tax Invoice : INW50903</t>
  </si>
  <si>
    <t>Tax Invoice : INW50904</t>
  </si>
  <si>
    <t>Tax Invoice : INW50905</t>
  </si>
  <si>
    <t>Tax Invoice : INW50906</t>
  </si>
  <si>
    <t>Tax Invoice : INW50907</t>
  </si>
  <si>
    <t>Tax Invoice : INW50908</t>
  </si>
  <si>
    <t>DIAZ01</t>
  </si>
  <si>
    <t>Tax Invoice : INW50909</t>
  </si>
  <si>
    <t>ATT: ZAID</t>
  </si>
  <si>
    <t>Tax Invoice : INW50910</t>
  </si>
  <si>
    <t>Tax Invoice : INW50911</t>
  </si>
  <si>
    <t>Tax Invoice : INW50912</t>
  </si>
  <si>
    <t>Tax Invoice : INW50913</t>
  </si>
  <si>
    <t>TIM008</t>
  </si>
  <si>
    <t>Tax Invoice : INW50914</t>
  </si>
  <si>
    <t>Tax Invoice : INW50915</t>
  </si>
  <si>
    <t>Tax Invoice : INW50916</t>
  </si>
  <si>
    <t>POD8613</t>
  </si>
  <si>
    <t>Tax Invoice : INW50917</t>
  </si>
  <si>
    <t>ILOV00</t>
  </si>
  <si>
    <t>Tax Invoice : INW50918</t>
  </si>
  <si>
    <t>ATT: DINGAAN</t>
  </si>
  <si>
    <t>Tax Invoice : INW50919</t>
  </si>
  <si>
    <t>OGU001</t>
  </si>
  <si>
    <t>Tax Invoice : INW50920</t>
  </si>
  <si>
    <t>Tax Invoice : INW50921</t>
  </si>
  <si>
    <t>HAW002</t>
  </si>
  <si>
    <t>Tax Invoice : INW50922</t>
  </si>
  <si>
    <t>Tax Invoice : INW50923</t>
  </si>
  <si>
    <t>Tax Invoice : INW50924</t>
  </si>
  <si>
    <t>PLA012</t>
  </si>
  <si>
    <t>Tax Invoice : INW50925</t>
  </si>
  <si>
    <t>Tax Invoice : INW50926</t>
  </si>
  <si>
    <t>Tax Invoice : INW50928</t>
  </si>
  <si>
    <t>INT020</t>
  </si>
  <si>
    <t>Tax Invoice : INW50929</t>
  </si>
  <si>
    <t>Tax Invoice : INW50931</t>
  </si>
  <si>
    <t>Tax Invoice : INW50932</t>
  </si>
  <si>
    <t>Tax Invoice : INW50933</t>
  </si>
  <si>
    <t>ISA007</t>
  </si>
  <si>
    <t>Tax Invoice : INW50934</t>
  </si>
  <si>
    <t>MAG021</t>
  </si>
  <si>
    <t>Tax Invoice : INW50935</t>
  </si>
  <si>
    <t>Tax Invoice : INW50937</t>
  </si>
  <si>
    <t>Tax Invoice : INW50938</t>
  </si>
  <si>
    <t>Tax Invoice : INW50939</t>
  </si>
  <si>
    <t>Tax Invoice : INW50941</t>
  </si>
  <si>
    <t>Tax Invoice : INW50942</t>
  </si>
  <si>
    <t>Tax Invoice : INW50943</t>
  </si>
  <si>
    <t>Tax Invoice : INW50944</t>
  </si>
  <si>
    <t>Tax Invoice : INW50945</t>
  </si>
  <si>
    <t>Tax Invoice : INW50946</t>
  </si>
  <si>
    <t>Tax Invoice : INW50947</t>
  </si>
  <si>
    <t>Tax Invoice : INW50948</t>
  </si>
  <si>
    <t>ANG009</t>
  </si>
  <si>
    <t>Tax Invoice : INW50949</t>
  </si>
  <si>
    <t>Tax Invoice : INW50950</t>
  </si>
  <si>
    <t>ATT: FRIKKIE DU TOIT</t>
  </si>
  <si>
    <t>Tax Invoice : INW50951</t>
  </si>
  <si>
    <t>Tax Invoice : INW50952</t>
  </si>
  <si>
    <t>Tax Invoice : INW50953</t>
  </si>
  <si>
    <t>INT026</t>
  </si>
  <si>
    <t>Tax Invoice : INW50954</t>
  </si>
  <si>
    <t>ATT: THEMBEKA</t>
  </si>
  <si>
    <t>ELA004</t>
  </si>
  <si>
    <t>Tax Invoice : INW50955</t>
  </si>
  <si>
    <t>COV001</t>
  </si>
  <si>
    <t>Tax Invoice : INW50957</t>
  </si>
  <si>
    <t>PAT001</t>
  </si>
  <si>
    <t>Tax Invoice : INW50958</t>
  </si>
  <si>
    <t>PO#BRYANPATRICK</t>
  </si>
  <si>
    <t>MEA002</t>
  </si>
  <si>
    <t>Tax Invoice : INW50959</t>
  </si>
  <si>
    <t>Tax Invoice : INW50960</t>
  </si>
  <si>
    <t>CAP004</t>
  </si>
  <si>
    <t>Tax Invoice : INW50961</t>
  </si>
  <si>
    <t>Tax Invoice : INW50962</t>
  </si>
  <si>
    <t>PO#LEON SAMPLES</t>
  </si>
  <si>
    <t>Tax Invoice : INW50963</t>
  </si>
  <si>
    <t>PO: 0023383</t>
  </si>
  <si>
    <t>LAV007</t>
  </si>
  <si>
    <t>Tax Invoice : INW50964</t>
  </si>
  <si>
    <t>Tax Invoice : INW50965</t>
  </si>
  <si>
    <t>Tax Invoice : INW50966</t>
  </si>
  <si>
    <t>GJ001</t>
  </si>
  <si>
    <t>Tax Invoice : INW50967</t>
  </si>
  <si>
    <t>Tax Invoice : INW50968</t>
  </si>
  <si>
    <t>Tax Invoice : INW50969</t>
  </si>
  <si>
    <t>Tax Invoice : INW50970</t>
  </si>
  <si>
    <t>Tax Invoice : INW50971</t>
  </si>
  <si>
    <t>Tax Invoice : INW50972</t>
  </si>
  <si>
    <t>Tax Invoice : INW50973</t>
  </si>
  <si>
    <t>Tax Invoice : INW50974</t>
  </si>
  <si>
    <t>SAV003</t>
  </si>
  <si>
    <t>Tax Invoice : INW50975</t>
  </si>
  <si>
    <t>ATT: MAX</t>
  </si>
  <si>
    <t>Tax Invoice : INW50976</t>
  </si>
  <si>
    <t>Tax Invoice : INW50977</t>
  </si>
  <si>
    <t>Tax Invoice : INW50978</t>
  </si>
  <si>
    <t>Tax Invoice : INW50979</t>
  </si>
  <si>
    <t>PO# 19610</t>
  </si>
  <si>
    <t>Tax Invoice : INW50980</t>
  </si>
  <si>
    <t>Tax Invoice : INW50981</t>
  </si>
  <si>
    <t>KNY</t>
  </si>
  <si>
    <t>Tax Invoice : INW50982</t>
  </si>
  <si>
    <t>Tax Invoice : INW50983</t>
  </si>
  <si>
    <t>PO: LB260527-1</t>
  </si>
  <si>
    <t>Tax Invoice : INW50985</t>
  </si>
  <si>
    <t>SYL001</t>
  </si>
  <si>
    <t>Tax Invoice : INW50986</t>
  </si>
  <si>
    <t>Tax Invoice : INW50987</t>
  </si>
  <si>
    <t>Tax Invoice : INW50988</t>
  </si>
  <si>
    <t>Tax Invoice : INW50990</t>
  </si>
  <si>
    <t>Tax Invoice : INW50991</t>
  </si>
  <si>
    <t>Tax Invoice : INW50992</t>
  </si>
  <si>
    <t>AFD MAY INVOICES</t>
  </si>
  <si>
    <t>Tax Invoice : INW50993</t>
  </si>
  <si>
    <t>REF:INW50953</t>
  </si>
  <si>
    <t>Tax Invoice : INW50994</t>
  </si>
  <si>
    <t>Tax Invoice : INW50995</t>
  </si>
  <si>
    <t>Tax Invoice : INW50996</t>
  </si>
  <si>
    <t>Tax Invoice : INW50997</t>
  </si>
  <si>
    <t>Tax Invoice : INW50998</t>
  </si>
  <si>
    <t>Tax Invoice : INW50999</t>
  </si>
  <si>
    <t>Tax Invoice : INW51000</t>
  </si>
  <si>
    <t>ATT: CAREL</t>
  </si>
  <si>
    <t>Tax Invoice : INW51001</t>
  </si>
  <si>
    <t>CHAPANDUKA KITCHEN</t>
  </si>
  <si>
    <t>Tax Invoice : INW51002</t>
  </si>
  <si>
    <t>YONGAI MAIN BIC</t>
  </si>
  <si>
    <t>NSW001</t>
  </si>
  <si>
    <t>Tax Invoice : INW51033</t>
  </si>
  <si>
    <t>COMM INV: 912/2026</t>
  </si>
  <si>
    <t>Tax Invoice : INW51061</t>
  </si>
  <si>
    <t>CR10661</t>
  </si>
  <si>
    <t>INCOME STATEMENT : 01/05/2026 to 31/05/2026</t>
  </si>
  <si>
    <t>Sales</t>
  </si>
  <si>
    <t>Sales - other</t>
  </si>
  <si>
    <t>Sales zero rated</t>
  </si>
  <si>
    <t>Cost of Sales / Purchases</t>
  </si>
  <si>
    <t>Clearing and forwarding</t>
  </si>
  <si>
    <t>Courier &amp; Postage</t>
  </si>
  <si>
    <t>GROSS PROFIT / (LOSS)</t>
  </si>
  <si>
    <t>Discount Received for Cash</t>
  </si>
  <si>
    <t>Interest Received</t>
  </si>
  <si>
    <t>Foreign exchange Gain / Loss</t>
  </si>
  <si>
    <t>Advertising &amp; Promotions</t>
  </si>
  <si>
    <t>Bank Charges</t>
  </si>
  <si>
    <t>Cleaning</t>
  </si>
  <si>
    <t>Computer Expenses</t>
  </si>
  <si>
    <t>Consumables</t>
  </si>
  <si>
    <t>Consulting Fees</t>
  </si>
  <si>
    <t>Credit card commission</t>
  </si>
  <si>
    <t>Discount Allowed for Cash</t>
  </si>
  <si>
    <t>Electricity &amp; Water</t>
  </si>
  <si>
    <t>Gifts</t>
  </si>
  <si>
    <t>Insurance</t>
  </si>
  <si>
    <t>Interest Paid</t>
  </si>
  <si>
    <t>Legal Fees</t>
  </si>
  <si>
    <t>Motor Vehicle Expenses</t>
  </si>
  <si>
    <t>Printing &amp; Stationery</t>
  </si>
  <si>
    <t>Rent Paid</t>
  </si>
  <si>
    <t>Rental - copier</t>
  </si>
  <si>
    <t>Repairs &amp; Maintenance</t>
  </si>
  <si>
    <t>Salaries &amp; Wages</t>
  </si>
  <si>
    <t>Paye  Uif &amp; Sdl</t>
  </si>
  <si>
    <t>Security expenses</t>
  </si>
  <si>
    <t>Subscriptions</t>
  </si>
  <si>
    <t>Teas &amp; Refreshments</t>
  </si>
  <si>
    <t>Telephone &amp; Fax</t>
  </si>
  <si>
    <t>Travel &amp; Accommodation</t>
  </si>
  <si>
    <t>NET PROFIT / (LOSS) BEFORE TAX</t>
  </si>
  <si>
    <t>TAX</t>
  </si>
  <si>
    <t>DIVIDENDS</t>
  </si>
  <si>
    <t>NET PROFIT / (LOSS)</t>
  </si>
  <si>
    <t>5% of sales</t>
  </si>
  <si>
    <t>CREDIT NOTES: 93 x CREDIT NOTES</t>
  </si>
  <si>
    <t xml:space="preserve">*Took out the sheep lining invoice </t>
  </si>
  <si>
    <t>INCOME STATEMENT : 01/03/2026 to 31/05/2026</t>
  </si>
  <si>
    <t>Sundry Income</t>
  </si>
  <si>
    <t>Accounting Fees</t>
  </si>
  <si>
    <t>BALANCE SHEET as at 31/05/2026</t>
  </si>
  <si>
    <t>EQUITY AND LIABILITIES</t>
  </si>
  <si>
    <t>Capital and Reserves</t>
  </si>
  <si>
    <t>Share Capital</t>
  </si>
  <si>
    <t>Members contribution</t>
  </si>
  <si>
    <t>Retained Income</t>
  </si>
  <si>
    <t>Retained Income / (Accumulated Loss)</t>
  </si>
  <si>
    <t>Net Profit/Loss this year</t>
  </si>
  <si>
    <t>Minority Interest</t>
  </si>
  <si>
    <t>Non-current Liabilities</t>
  </si>
  <si>
    <t>Current Liabilities</t>
  </si>
  <si>
    <t>Nedbank Credit Card</t>
  </si>
  <si>
    <t>Garage Card - Control Account</t>
  </si>
  <si>
    <t>Supplier Control Account</t>
  </si>
  <si>
    <t>Provision for Future Expenses</t>
  </si>
  <si>
    <t>Vat / Tax Control Account</t>
  </si>
  <si>
    <t>Total Equity and Liabilities</t>
  </si>
  <si>
    <t>ASSETS</t>
  </si>
  <si>
    <t>Non-current Assets</t>
  </si>
  <si>
    <t>Fixed Assets</t>
  </si>
  <si>
    <t>Motor Vehicles - Net Value</t>
  </si>
  <si>
    <t>Computer Equipment - Net Value</t>
  </si>
  <si>
    <t>Furniture &amp; Fittings - Net value</t>
  </si>
  <si>
    <t>Current Assets</t>
  </si>
  <si>
    <t>Inventory</t>
  </si>
  <si>
    <t>Staff Loan</t>
  </si>
  <si>
    <t>Hildene Investments (Pty) Ltd</t>
  </si>
  <si>
    <t>Customer Control Account</t>
  </si>
  <si>
    <t>Nedbank Cheque 1036 327663</t>
  </si>
  <si>
    <t>USD Account 7095014132</t>
  </si>
  <si>
    <t>Petty cash</t>
  </si>
  <si>
    <t>Petty Cash</t>
  </si>
  <si>
    <t>Sundry Customers</t>
  </si>
  <si>
    <t>Taxation</t>
  </si>
  <si>
    <t>Total Assets</t>
  </si>
  <si>
    <t>Customer Age Analysis for Monthly Customers as at 31/05/2026</t>
  </si>
  <si>
    <t>Name</t>
  </si>
  <si>
    <t>120+ Days</t>
  </si>
  <si>
    <t>90 Days</t>
  </si>
  <si>
    <t>60 Days</t>
  </si>
  <si>
    <t>30 Days</t>
  </si>
  <si>
    <t>Current</t>
  </si>
  <si>
    <t>Total Due</t>
  </si>
  <si>
    <t>ANG002 - ANGEL FOOTWEAR</t>
  </si>
  <si>
    <t>BUR001 - WH Burgundy Collective (Pty) Ltd</t>
  </si>
  <si>
    <t>BUS002 - BUSHILL RSA</t>
  </si>
  <si>
    <t>COR004 - CORVARI FOOTWEAR CC</t>
  </si>
  <si>
    <t>COS001 - TH STEVENS T/A COSY COUCH</t>
  </si>
  <si>
    <t>COV005 - COVERUP CONCEPTS</t>
  </si>
  <si>
    <t>DAR001 - The Dark Horse Brand (PTY) LTD</t>
  </si>
  <si>
    <t>DIR001 - DIRTY LEATHER</t>
  </si>
  <si>
    <t>EDD002 - EDDELS SHOES</t>
  </si>
  <si>
    <t>GUI001 - GUIDELINE mnf</t>
  </si>
  <si>
    <t>IIF001 - IIFLOPSI (PTY) LTD</t>
  </si>
  <si>
    <t>INK003 - INKABI LEATHER</t>
  </si>
  <si>
    <t>MAV002 - MAVRICAN INTERNATIONAL (PTY) LTD</t>
  </si>
  <si>
    <t>NOM002 - NOMIA BAGS</t>
  </si>
  <si>
    <t>SLY001 - SLYDO LEATHER WORKS</t>
  </si>
  <si>
    <t>SOF022 - SOFA DIVINE - SHOWROOM</t>
  </si>
  <si>
    <t>SPI006 - SPITFIRE FURNITURE</t>
  </si>
  <si>
    <t>STR002 - Strassbergers</t>
  </si>
  <si>
    <t>TAR002 - TARZAN SHOE FACTORY (PTY) LTD</t>
  </si>
  <si>
    <t>TGK001 - TGK UPHOLSTERY</t>
  </si>
  <si>
    <t>THEM01 - THEMBA LIZE HOLDINGS (PTY) LTD</t>
  </si>
  <si>
    <t>TRE008 - TRENZADO FOOTWEAR</t>
  </si>
  <si>
    <t>WAY002 - WAYA WAYA</t>
  </si>
  <si>
    <t>XIL001 - Xilutsi Trading (Pty) Ltd</t>
  </si>
  <si>
    <t>Totals :</t>
  </si>
  <si>
    <t>PERCENTAGE :</t>
  </si>
  <si>
    <t>2.01%</t>
  </si>
  <si>
    <t>2.77%</t>
  </si>
  <si>
    <t>10.96%</t>
  </si>
  <si>
    <t>27.85%</t>
  </si>
  <si>
    <t>56.41%</t>
  </si>
  <si>
    <t>100.00%</t>
  </si>
  <si>
    <t>GRAND TOTALS :</t>
  </si>
  <si>
    <t>Supplier Age Analysis as at   31/05/2026</t>
  </si>
  <si>
    <t>CEZ001 - CEZ Investements</t>
  </si>
  <si>
    <t>CLO001 - CLOUD LOGISTICS</t>
  </si>
  <si>
    <t>COP001 - COPYWRITE BUSINESS CENTRE CC T/A</t>
  </si>
  <si>
    <t>FRE001 - FREIGHTMORE</t>
  </si>
  <si>
    <t>HAN001 - HANNITAN LEATHER CC</t>
  </si>
  <si>
    <t>OLI001 - OLIVETTI</t>
  </si>
  <si>
    <t>POS001 - POSTNET</t>
  </si>
  <si>
    <t>SIY002 - SIYA BONGA</t>
  </si>
  <si>
    <t>TAN001 - FUSION LEATHER WORLD</t>
  </si>
  <si>
    <t>THE005 - THE COURIER GUY</t>
  </si>
  <si>
    <t>TSS001 - Technical Support Solutions</t>
  </si>
  <si>
    <t>VAN001 - Vandah's Packaging</t>
  </si>
  <si>
    <t>WOR002 - Rhenus Express</t>
  </si>
  <si>
    <t>TOTAL :</t>
  </si>
  <si>
    <t>0.00%</t>
  </si>
  <si>
    <t>GRAND TOTAL :</t>
  </si>
  <si>
    <t xml:space="preserve">Include the Sheepling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</si>
</sst>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R&quot;\ #,##0.00;[Red]&quot;R&quot;\ \-#,##0.00"/>
    <numFmt numFmtId="167" formatCode="_ &quot;R&quot;\ * #,##0.00_ ;_ &quot;R&quot;\ * \-#,##0.00_ ;_ &quot;R&quot;\ * &quot;-&quot;??_ ;_ @_ "/>
    <numFmt numFmtId="168" formatCode="_ * #,##0.00_ ;_ * \-#,##0.00_ ;_ * &quot;-&quot;??_ ;_ @_ "/>
    <numFmt numFmtId="169" formatCode="&quot;R&quot;\ #,##0.00"/>
    <numFmt numFmtId="170" formatCode="[$R-1C09]\ #,##0.00"/>
    <numFmt numFmtId="171" formatCode="[$$-409]#,##0.00"/>
    <numFmt numFmtId="172" formatCode="&quot;$&quot;#,##0.00"/>
    <numFmt numFmtId="173" formatCode="#,##0.0000"/>
    <numFmt numFmtId="174" formatCode="[$$-1409]#,##0.00"/>
    <numFmt numFmtId="175" formatCode="0.00;[Red]0.00"/>
    <numFmt numFmtId="176" formatCode="0.00_ ;[Red]\-0.00\ "/>
    <numFmt numFmtId="177" formatCode="_-[$R-1C09]* #,##0.00_-;\-[$R-1C09]* #,##0.00_-;_-[$R-1C09]* &quot;-&quot;??_-;_-@_-"/>
    <numFmt numFmtId="178" formatCode="&quot;R&quot;#,##0.00"/>
    <numFmt numFmtId="179" formatCode="#,##0.00000000000"/>
    <numFmt numFmtId="180" formatCode="&quot;R&quot;#,##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Tahoma"/>
      <family val="2"/>
    </font>
    <font>
      <sz val="9"/>
      <color theme="1"/>
      <name val="Calibri"/>
      <family val="2"/>
      <scheme val="minor"/>
    </font>
    <font>
      <b/>
      <sz val="10"/>
      <name val="Tahoma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u/>
      <sz val="9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</font>
    <font>
      <sz val="10"/>
      <name val="Tahoma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ptos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10">
    <xf numFmtId="0" fontId="0" fillId="0" borderId="0"/>
    <xf numFmtId="0" fontId="8" fillId="0" borderId="0"/>
    <xf numFmtId="167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23" applyNumberFormat="0" applyFill="0" applyAlignment="0" applyProtection="0"/>
    <xf numFmtId="0" fontId="17" fillId="0" borderId="24" applyNumberFormat="0" applyFill="0" applyAlignment="0" applyProtection="0"/>
    <xf numFmtId="0" fontId="18" fillId="0" borderId="25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26" applyNumberFormat="0" applyAlignment="0" applyProtection="0"/>
    <xf numFmtId="0" fontId="23" fillId="6" borderId="27" applyNumberFormat="0" applyAlignment="0" applyProtection="0"/>
    <xf numFmtId="0" fontId="24" fillId="6" borderId="26" applyNumberFormat="0" applyAlignment="0" applyProtection="0"/>
    <xf numFmtId="0" fontId="25" fillId="0" borderId="28" applyNumberFormat="0" applyFill="0" applyAlignment="0" applyProtection="0"/>
    <xf numFmtId="0" fontId="26" fillId="7" borderId="29" applyNumberFormat="0" applyAlignment="0" applyProtection="0"/>
    <xf numFmtId="0" fontId="27" fillId="0" borderId="0" applyNumberFormat="0" applyFill="0" applyBorder="0" applyAlignment="0" applyProtection="0"/>
    <xf numFmtId="0" fontId="8" fillId="8" borderId="30" applyNumberFormat="0" applyFont="0" applyAlignment="0" applyProtection="0"/>
    <xf numFmtId="0" fontId="28" fillId="0" borderId="0" applyNumberFormat="0" applyFill="0" applyBorder="0" applyAlignment="0" applyProtection="0"/>
    <xf numFmtId="0" fontId="1" fillId="0" borderId="31" applyNumberFormat="0" applyFill="0" applyAlignment="0" applyProtection="0"/>
    <xf numFmtId="0" fontId="29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9" fillId="32" borderId="0" applyNumberFormat="0" applyBorder="0" applyAlignment="0" applyProtection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0" fontId="30" fillId="0" borderId="0"/>
    <xf numFmtId="0" fontId="33" fillId="0" borderId="0"/>
    <xf numFmtId="0" fontId="34" fillId="0" borderId="0"/>
    <xf numFmtId="168" fontId="34" fillId="0" borderId="0" applyFont="0" applyFill="0" applyBorder="0" applyAlignment="0" applyProtection="0"/>
    <xf numFmtId="0" fontId="8" fillId="0" borderId="0"/>
    <xf numFmtId="0" fontId="8" fillId="0" borderId="0"/>
    <xf numFmtId="9" fontId="34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0" fillId="0" borderId="0"/>
    <xf numFmtId="165" fontId="30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34" fillId="0" borderId="0"/>
    <xf numFmtId="168" fontId="34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4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8" fillId="8" borderId="30" applyNumberFormat="0" applyFont="0" applyAlignment="0" applyProtection="0"/>
    <xf numFmtId="9" fontId="3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165" fontId="30" fillId="0" borderId="0" applyFon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8" borderId="3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8" borderId="30" applyNumberFormat="0" applyFont="0" applyAlignment="0" applyProtection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8" borderId="3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0" fontId="8" fillId="0" borderId="0"/>
    <xf numFmtId="0" fontId="8" fillId="8" borderId="30" applyNumberFormat="0" applyFont="0" applyAlignment="0" applyProtection="0"/>
    <xf numFmtId="0" fontId="8" fillId="0" borderId="0"/>
    <xf numFmtId="0" fontId="33" fillId="0" borderId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48">
    <xf numFmtId="0" fontId="0" fillId="0" borderId="0" xfId="0"/>
    <xf numFmtId="0" fontId="0" fillId="0" borderId="11" xfId="0" applyBorder="1"/>
    <xf numFmtId="169" fontId="10" fillId="0" borderId="0" xfId="2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9" fontId="10" fillId="0" borderId="11" xfId="2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9" fontId="10" fillId="0" borderId="18" xfId="2" applyNumberFormat="1" applyFont="1" applyFill="1" applyBorder="1" applyAlignment="1">
      <alignment horizontal="center" vertical="center" wrapText="1"/>
    </xf>
    <xf numFmtId="169" fontId="10" fillId="0" borderId="19" xfId="2" applyNumberFormat="1" applyFont="1" applyFill="1" applyBorder="1" applyAlignment="1">
      <alignment horizontal="center" vertical="center" wrapText="1"/>
    </xf>
    <xf numFmtId="169" fontId="10" fillId="0" borderId="11" xfId="2" applyNumberFormat="1" applyFont="1" applyFill="1" applyBorder="1" applyAlignment="1">
      <alignment horizontal="center"/>
    </xf>
    <xf numFmtId="169" fontId="10" fillId="0" borderId="18" xfId="2" applyNumberFormat="1" applyFont="1" applyFill="1" applyBorder="1" applyAlignment="1">
      <alignment horizontal="center"/>
    </xf>
    <xf numFmtId="169" fontId="10" fillId="0" borderId="19" xfId="2" applyNumberFormat="1" applyFont="1" applyFill="1" applyBorder="1" applyAlignment="1">
      <alignment horizontal="center"/>
    </xf>
    <xf numFmtId="169" fontId="10" fillId="0" borderId="11" xfId="0" applyNumberFormat="1" applyFon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10" fillId="0" borderId="0" xfId="2" applyNumberFormat="1" applyFont="1" applyFill="1" applyAlignment="1">
      <alignment horizontal="center"/>
    </xf>
    <xf numFmtId="0" fontId="0" fillId="0" borderId="0" xfId="0" applyAlignment="1">
      <alignment horizontal="center"/>
    </xf>
    <xf numFmtId="175" fontId="4" fillId="0" borderId="0" xfId="0" applyNumberFormat="1" applyFont="1"/>
    <xf numFmtId="169" fontId="10" fillId="0" borderId="16" xfId="2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76" fontId="4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12" fillId="0" borderId="17" xfId="0" applyFont="1" applyBorder="1" applyAlignment="1">
      <alignment horizontal="left" vertical="center"/>
    </xf>
    <xf numFmtId="169" fontId="10" fillId="0" borderId="18" xfId="4" applyNumberFormat="1" applyFont="1" applyFill="1" applyBorder="1" applyAlignment="1">
      <alignment horizontal="center"/>
    </xf>
    <xf numFmtId="169" fontId="10" fillId="0" borderId="19" xfId="4" applyNumberFormat="1" applyFont="1" applyFill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169" fontId="10" fillId="0" borderId="11" xfId="4" applyNumberFormat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75" fontId="4" fillId="0" borderId="0" xfId="0" applyNumberFormat="1" applyFont="1" applyAlignment="1">
      <alignment vertical="center"/>
    </xf>
    <xf numFmtId="169" fontId="10" fillId="0" borderId="0" xfId="4" applyNumberFormat="1" applyFont="1" applyFill="1" applyAlignment="1">
      <alignment horizontal="center" vertical="center"/>
    </xf>
    <xf numFmtId="0" fontId="11" fillId="0" borderId="11" xfId="0" applyFont="1" applyBorder="1" applyAlignment="1">
      <alignment vertical="center" wrapText="1"/>
    </xf>
    <xf numFmtId="175" fontId="11" fillId="0" borderId="11" xfId="0" applyNumberFormat="1" applyFont="1" applyBorder="1" applyAlignment="1">
      <alignment horizontal="center" vertical="center" wrapText="1"/>
    </xf>
    <xf numFmtId="169" fontId="10" fillId="0" borderId="11" xfId="4" applyNumberFormat="1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left" vertical="center"/>
    </xf>
    <xf numFmtId="169" fontId="10" fillId="0" borderId="0" xfId="4" applyNumberFormat="1" applyFont="1" applyFill="1" applyAlignment="1">
      <alignment horizontal="center"/>
    </xf>
    <xf numFmtId="169" fontId="14" fillId="0" borderId="16" xfId="0" applyNumberFormat="1" applyFont="1" applyBorder="1" applyAlignment="1">
      <alignment horizontal="center"/>
    </xf>
    <xf numFmtId="169" fontId="10" fillId="0" borderId="16" xfId="4" applyNumberFormat="1" applyFont="1" applyFill="1" applyBorder="1" applyAlignment="1">
      <alignment horizontal="center"/>
    </xf>
    <xf numFmtId="176" fontId="4" fillId="0" borderId="18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169" fontId="4" fillId="0" borderId="19" xfId="0" applyNumberFormat="1" applyFont="1" applyBorder="1" applyAlignment="1">
      <alignment horizontal="center"/>
    </xf>
    <xf numFmtId="0" fontId="31" fillId="0" borderId="11" xfId="0" applyFont="1" applyBorder="1" applyAlignment="1">
      <alignment horizontal="left" vertical="center"/>
    </xf>
    <xf numFmtId="0" fontId="12" fillId="33" borderId="17" xfId="0" applyFont="1" applyFill="1" applyBorder="1" applyAlignment="1">
      <alignment horizontal="left" vertical="center"/>
    </xf>
    <xf numFmtId="0" fontId="4" fillId="33" borderId="18" xfId="0" applyFont="1" applyFill="1" applyBorder="1" applyAlignment="1">
      <alignment horizontal="center"/>
    </xf>
    <xf numFmtId="0" fontId="4" fillId="33" borderId="11" xfId="0" applyFont="1" applyFill="1" applyBorder="1" applyAlignment="1">
      <alignment horizontal="center"/>
    </xf>
    <xf numFmtId="0" fontId="11" fillId="33" borderId="18" xfId="0" applyFont="1" applyFill="1" applyBorder="1" applyAlignment="1">
      <alignment horizontal="center"/>
    </xf>
    <xf numFmtId="176" fontId="11" fillId="33" borderId="11" xfId="0" applyNumberFormat="1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left" vertical="center"/>
    </xf>
    <xf numFmtId="176" fontId="4" fillId="33" borderId="11" xfId="0" applyNumberFormat="1" applyFont="1" applyFill="1" applyBorder="1" applyAlignment="1">
      <alignment horizontal="center" vertical="center"/>
    </xf>
    <xf numFmtId="0" fontId="13" fillId="33" borderId="20" xfId="0" applyFont="1" applyFill="1" applyBorder="1" applyAlignment="1">
      <alignment horizontal="left" vertical="center"/>
    </xf>
    <xf numFmtId="0" fontId="4" fillId="33" borderId="2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/>
    </xf>
    <xf numFmtId="0" fontId="11" fillId="33" borderId="19" xfId="0" applyFont="1" applyFill="1" applyBorder="1" applyAlignment="1">
      <alignment horizontal="center"/>
    </xf>
    <xf numFmtId="4" fontId="11" fillId="0" borderId="16" xfId="0" applyNumberFormat="1" applyFont="1" applyBorder="1" applyAlignment="1">
      <alignment horizontal="center"/>
    </xf>
    <xf numFmtId="0" fontId="32" fillId="0" borderId="11" xfId="0" applyFont="1" applyBorder="1" applyAlignment="1">
      <alignment horizontal="left" vertical="center"/>
    </xf>
    <xf numFmtId="169" fontId="4" fillId="33" borderId="19" xfId="0" applyNumberFormat="1" applyFont="1" applyFill="1" applyBorder="1" applyAlignment="1">
      <alignment horizontal="center"/>
    </xf>
    <xf numFmtId="169" fontId="10" fillId="33" borderId="11" xfId="4" applyNumberFormat="1" applyFont="1" applyFill="1" applyBorder="1" applyAlignment="1">
      <alignment horizontal="center"/>
    </xf>
    <xf numFmtId="169" fontId="10" fillId="33" borderId="18" xfId="4" applyNumberFormat="1" applyFont="1" applyFill="1" applyBorder="1" applyAlignment="1">
      <alignment horizontal="center"/>
    </xf>
    <xf numFmtId="169" fontId="10" fillId="33" borderId="19" xfId="4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 wrapText="1"/>
    </xf>
    <xf numFmtId="175" fontId="11" fillId="0" borderId="18" xfId="0" applyNumberFormat="1" applyFont="1" applyBorder="1" applyAlignment="1">
      <alignment horizontal="center" vertical="center" wrapText="1"/>
    </xf>
    <xf numFmtId="169" fontId="10" fillId="0" borderId="19" xfId="4" applyNumberFormat="1" applyFont="1" applyFill="1" applyBorder="1" applyAlignment="1">
      <alignment horizontal="center" vertical="center" wrapText="1"/>
    </xf>
    <xf numFmtId="169" fontId="10" fillId="0" borderId="18" xfId="4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/>
    </xf>
    <xf numFmtId="175" fontId="11" fillId="0" borderId="11" xfId="0" quotePrefix="1" applyNumberFormat="1" applyFont="1" applyBorder="1" applyAlignment="1">
      <alignment horizontal="center" vertical="center" wrapText="1"/>
    </xf>
    <xf numFmtId="169" fontId="10" fillId="34" borderId="11" xfId="4" applyNumberFormat="1" applyFont="1" applyFill="1" applyBorder="1" applyAlignment="1">
      <alignment horizontal="center" vertical="center" wrapText="1"/>
    </xf>
    <xf numFmtId="169" fontId="10" fillId="34" borderId="19" xfId="4" applyNumberFormat="1" applyFont="1" applyFill="1" applyBorder="1" applyAlignment="1">
      <alignment horizontal="center" vertical="center" wrapText="1"/>
    </xf>
    <xf numFmtId="169" fontId="10" fillId="34" borderId="11" xfId="4" applyNumberFormat="1" applyFont="1" applyFill="1" applyBorder="1" applyAlignment="1">
      <alignment horizontal="center"/>
    </xf>
    <xf numFmtId="169" fontId="10" fillId="34" borderId="19" xfId="4" applyNumberFormat="1" applyFont="1" applyFill="1" applyBorder="1" applyAlignment="1">
      <alignment horizontal="center"/>
    </xf>
    <xf numFmtId="169" fontId="10" fillId="34" borderId="16" xfId="4" applyNumberFormat="1" applyFont="1" applyFill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2" fillId="0" borderId="17" xfId="0" applyFont="1" applyBorder="1" applyAlignment="1">
      <alignment horizontal="left" vertical="center"/>
    </xf>
    <xf numFmtId="0" fontId="11" fillId="35" borderId="19" xfId="0" applyFont="1" applyFill="1" applyBorder="1" applyAlignment="1">
      <alignment horizontal="center"/>
    </xf>
    <xf numFmtId="0" fontId="32" fillId="33" borderId="20" xfId="0" applyFont="1" applyFill="1" applyBorder="1" applyAlignment="1">
      <alignment horizontal="left" vertical="center"/>
    </xf>
    <xf numFmtId="0" fontId="10" fillId="35" borderId="0" xfId="0" applyFont="1" applyFill="1" applyAlignment="1">
      <alignment horizontal="center" vertical="center"/>
    </xf>
    <xf numFmtId="0" fontId="11" fillId="35" borderId="11" xfId="0" applyFont="1" applyFill="1" applyBorder="1" applyAlignment="1">
      <alignment horizontal="center" vertical="center" wrapText="1"/>
    </xf>
    <xf numFmtId="0" fontId="11" fillId="35" borderId="18" xfId="0" applyFont="1" applyFill="1" applyBorder="1" applyAlignment="1">
      <alignment horizontal="center" vertical="center" wrapText="1"/>
    </xf>
    <xf numFmtId="0" fontId="4" fillId="35" borderId="11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7" xfId="0" applyBorder="1"/>
    <xf numFmtId="169" fontId="0" fillId="0" borderId="0" xfId="0" applyNumberFormat="1"/>
    <xf numFmtId="169" fontId="0" fillId="0" borderId="6" xfId="0" applyNumberFormat="1" applyBorder="1" applyAlignment="1">
      <alignment horizontal="right"/>
    </xf>
    <xf numFmtId="0" fontId="2" fillId="0" borderId="0" xfId="0" applyFont="1"/>
    <xf numFmtId="17" fontId="2" fillId="0" borderId="0" xfId="0" applyNumberFormat="1" applyFont="1" applyAlignment="1">
      <alignment horizontal="left"/>
    </xf>
    <xf numFmtId="0" fontId="0" fillId="0" borderId="3" xfId="0" applyBorder="1"/>
    <xf numFmtId="0" fontId="1" fillId="0" borderId="0" xfId="0" applyFont="1" applyAlignment="1">
      <alignment horizontal="center"/>
    </xf>
    <xf numFmtId="0" fontId="2" fillId="0" borderId="35" xfId="0" applyFont="1" applyBorder="1"/>
    <xf numFmtId="0" fontId="1" fillId="0" borderId="36" xfId="0" applyFont="1" applyBorder="1"/>
    <xf numFmtId="0" fontId="1" fillId="0" borderId="37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5" xfId="0" applyBorder="1"/>
    <xf numFmtId="0" fontId="0" fillId="0" borderId="37" xfId="0" applyBorder="1"/>
    <xf numFmtId="0" fontId="0" fillId="0" borderId="38" xfId="0" applyBorder="1" applyAlignment="1">
      <alignment horizontal="left"/>
    </xf>
    <xf numFmtId="16" fontId="1" fillId="0" borderId="0" xfId="0" quotePrefix="1" applyNumberFormat="1" applyFont="1" applyAlignment="1">
      <alignment horizontal="left"/>
    </xf>
    <xf numFmtId="16" fontId="1" fillId="0" borderId="39" xfId="0" quotePrefix="1" applyNumberFormat="1" applyFont="1" applyBorder="1" applyAlignment="1">
      <alignment horizontal="left"/>
    </xf>
    <xf numFmtId="0" fontId="1" fillId="0" borderId="7" xfId="0" applyFont="1" applyBorder="1"/>
    <xf numFmtId="170" fontId="0" fillId="0" borderId="0" xfId="0" applyNumberFormat="1"/>
    <xf numFmtId="0" fontId="0" fillId="0" borderId="8" xfId="0" applyBorder="1"/>
    <xf numFmtId="17" fontId="2" fillId="0" borderId="38" xfId="0" applyNumberFormat="1" applyFont="1" applyBorder="1" applyAlignment="1">
      <alignment horizontal="left"/>
    </xf>
    <xf numFmtId="0" fontId="0" fillId="0" borderId="39" xfId="0" applyBorder="1"/>
    <xf numFmtId="0" fontId="0" fillId="0" borderId="53" xfId="0" applyBorder="1"/>
    <xf numFmtId="169" fontId="0" fillId="0" borderId="51" xfId="0" applyNumberFormat="1" applyBorder="1"/>
    <xf numFmtId="169" fontId="0" fillId="0" borderId="54" xfId="0" applyNumberFormat="1" applyBorder="1"/>
    <xf numFmtId="0" fontId="1" fillId="0" borderId="7" xfId="0" quotePrefix="1" applyFont="1" applyBorder="1"/>
    <xf numFmtId="4" fontId="0" fillId="0" borderId="38" xfId="0" applyNumberFormat="1" applyBorder="1"/>
    <xf numFmtId="171" fontId="3" fillId="0" borderId="39" xfId="0" applyNumberFormat="1" applyFont="1" applyBorder="1" applyAlignment="1">
      <alignment horizontal="left"/>
    </xf>
    <xf numFmtId="170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71" fontId="0" fillId="0" borderId="54" xfId="0" applyNumberFormat="1" applyBorder="1" applyAlignment="1">
      <alignment horizontal="right"/>
    </xf>
    <xf numFmtId="171" fontId="3" fillId="0" borderId="39" xfId="0" applyNumberFormat="1" applyFont="1" applyBorder="1" applyAlignment="1">
      <alignment horizontal="right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171" fontId="0" fillId="0" borderId="0" xfId="0" applyNumberFormat="1"/>
    <xf numFmtId="170" fontId="3" fillId="0" borderId="38" xfId="0" applyNumberFormat="1" applyFont="1" applyBorder="1" applyAlignment="1">
      <alignment horizontal="right" wrapText="1"/>
    </xf>
    <xf numFmtId="171" fontId="3" fillId="0" borderId="39" xfId="0" applyNumberFormat="1" applyFont="1" applyBorder="1" applyAlignment="1">
      <alignment horizontal="center"/>
    </xf>
    <xf numFmtId="172" fontId="0" fillId="0" borderId="0" xfId="0" applyNumberFormat="1" applyAlignment="1">
      <alignment horizontal="right"/>
    </xf>
    <xf numFmtId="170" fontId="3" fillId="0" borderId="40" xfId="0" applyNumberFormat="1" applyFont="1" applyBorder="1" applyAlignment="1">
      <alignment horizontal="right" wrapText="1"/>
    </xf>
    <xf numFmtId="171" fontId="3" fillId="0" borderId="42" xfId="0" applyNumberFormat="1" applyFont="1" applyBorder="1" applyAlignment="1">
      <alignment horizontal="right"/>
    </xf>
    <xf numFmtId="0" fontId="0" fillId="0" borderId="36" xfId="0" applyBorder="1"/>
    <xf numFmtId="170" fontId="1" fillId="0" borderId="0" xfId="0" applyNumberFormat="1" applyFont="1"/>
    <xf numFmtId="0" fontId="0" fillId="0" borderId="38" xfId="0" quotePrefix="1" applyBorder="1"/>
    <xf numFmtId="170" fontId="0" fillId="0" borderId="39" xfId="0" applyNumberFormat="1" applyBorder="1"/>
    <xf numFmtId="4" fontId="0" fillId="0" borderId="0" xfId="0" applyNumberFormat="1"/>
    <xf numFmtId="0" fontId="3" fillId="0" borderId="38" xfId="0" applyFont="1" applyBorder="1" applyAlignment="1">
      <alignment horizontal="right" wrapText="1"/>
    </xf>
    <xf numFmtId="174" fontId="0" fillId="0" borderId="0" xfId="0" applyNumberFormat="1"/>
    <xf numFmtId="173" fontId="5" fillId="0" borderId="0" xfId="0" applyNumberFormat="1" applyFont="1" applyAlignment="1">
      <alignment horizontal="center" wrapText="1"/>
    </xf>
    <xf numFmtId="0" fontId="0" fillId="0" borderId="38" xfId="0" applyBorder="1"/>
    <xf numFmtId="4" fontId="0" fillId="0" borderId="38" xfId="0" quotePrefix="1" applyNumberFormat="1" applyBorder="1"/>
    <xf numFmtId="170" fontId="0" fillId="0" borderId="52" xfId="0" applyNumberFormat="1" applyBorder="1"/>
    <xf numFmtId="169" fontId="0" fillId="0" borderId="38" xfId="0" applyNumberFormat="1" applyBorder="1"/>
    <xf numFmtId="173" fontId="3" fillId="0" borderId="0" xfId="0" applyNumberFormat="1" applyFont="1" applyAlignment="1">
      <alignment horizontal="center" wrapText="1"/>
    </xf>
    <xf numFmtId="171" fontId="3" fillId="0" borderId="42" xfId="0" applyNumberFormat="1" applyFont="1" applyBorder="1" applyAlignment="1">
      <alignment horizontal="left"/>
    </xf>
    <xf numFmtId="173" fontId="5" fillId="0" borderId="41" xfId="0" applyNumberFormat="1" applyFont="1" applyBorder="1" applyAlignment="1">
      <alignment horizontal="center" wrapText="1"/>
    </xf>
    <xf numFmtId="0" fontId="2" fillId="0" borderId="45" xfId="0" applyFont="1" applyBorder="1" applyAlignment="1">
      <alignment horizontal="left"/>
    </xf>
    <xf numFmtId="0" fontId="0" fillId="0" borderId="46" xfId="0" applyBorder="1"/>
    <xf numFmtId="170" fontId="0" fillId="0" borderId="11" xfId="0" applyNumberFormat="1" applyBorder="1"/>
    <xf numFmtId="0" fontId="0" fillId="0" borderId="47" xfId="0" applyBorder="1" applyAlignment="1">
      <alignment horizontal="center"/>
    </xf>
    <xf numFmtId="170" fontId="0" fillId="0" borderId="48" xfId="0" applyNumberFormat="1" applyBorder="1"/>
    <xf numFmtId="9" fontId="0" fillId="0" borderId="11" xfId="0" applyNumberFormat="1" applyBorder="1"/>
    <xf numFmtId="169" fontId="0" fillId="0" borderId="11" xfId="0" applyNumberFormat="1" applyBorder="1"/>
    <xf numFmtId="0" fontId="0" fillId="0" borderId="49" xfId="0" applyBorder="1"/>
    <xf numFmtId="170" fontId="1" fillId="0" borderId="50" xfId="0" applyNumberFormat="1" applyFont="1" applyBorder="1"/>
    <xf numFmtId="0" fontId="1" fillId="0" borderId="45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49" xfId="0" applyBorder="1" applyAlignment="1">
      <alignment horizontal="center"/>
    </xf>
    <xf numFmtId="9" fontId="0" fillId="0" borderId="0" xfId="0" applyNumberFormat="1"/>
    <xf numFmtId="170" fontId="0" fillId="0" borderId="8" xfId="0" applyNumberFormat="1" applyBorder="1"/>
    <xf numFmtId="170" fontId="1" fillId="0" borderId="8" xfId="0" applyNumberFormat="1" applyFont="1" applyBorder="1"/>
    <xf numFmtId="0" fontId="1" fillId="0" borderId="21" xfId="0" applyFont="1" applyBorder="1" applyAlignment="1">
      <alignment horizontal="center"/>
    </xf>
    <xf numFmtId="169" fontId="0" fillId="0" borderId="8" xfId="0" applyNumberFormat="1" applyBorder="1"/>
    <xf numFmtId="3" fontId="0" fillId="0" borderId="22" xfId="0" applyNumberFormat="1" applyBorder="1" applyAlignment="1">
      <alignment horizontal="right"/>
    </xf>
    <xf numFmtId="169" fontId="0" fillId="0" borderId="22" xfId="0" applyNumberFormat="1" applyBorder="1"/>
    <xf numFmtId="3" fontId="0" fillId="0" borderId="7" xfId="0" applyNumberFormat="1" applyBorder="1"/>
    <xf numFmtId="3" fontId="0" fillId="0" borderId="22" xfId="0" applyNumberFormat="1" applyBorder="1"/>
    <xf numFmtId="3" fontId="0" fillId="0" borderId="34" xfId="0" applyNumberFormat="1" applyBorder="1"/>
    <xf numFmtId="169" fontId="0" fillId="0" borderId="34" xfId="0" applyNumberFormat="1" applyBorder="1"/>
    <xf numFmtId="0" fontId="1" fillId="0" borderId="13" xfId="0" applyFont="1" applyBorder="1"/>
    <xf numFmtId="170" fontId="1" fillId="0" borderId="12" xfId="0" applyNumberFormat="1" applyFont="1" applyBorder="1"/>
    <xf numFmtId="0" fontId="1" fillId="0" borderId="33" xfId="0" applyFont="1" applyBorder="1" applyAlignment="1">
      <alignment horizontal="right"/>
    </xf>
    <xf numFmtId="170" fontId="1" fillId="0" borderId="32" xfId="0" applyNumberFormat="1" applyFont="1" applyBorder="1"/>
    <xf numFmtId="166" fontId="0" fillId="0" borderId="0" xfId="0" applyNumberFormat="1"/>
    <xf numFmtId="3" fontId="0" fillId="0" borderId="9" xfId="0" applyNumberFormat="1" applyBorder="1"/>
    <xf numFmtId="0" fontId="0" fillId="0" borderId="10" xfId="0" applyBorder="1"/>
    <xf numFmtId="170" fontId="0" fillId="0" borderId="15" xfId="0" applyNumberFormat="1" applyBorder="1"/>
    <xf numFmtId="177" fontId="0" fillId="0" borderId="0" xfId="0" applyNumberFormat="1"/>
    <xf numFmtId="0" fontId="7" fillId="0" borderId="0" xfId="0" applyFont="1"/>
    <xf numFmtId="0" fontId="7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170" fontId="0" fillId="0" borderId="0" xfId="0" applyNumberFormat="1" applyAlignment="1">
      <alignment horizontal="center"/>
    </xf>
    <xf numFmtId="170" fontId="3" fillId="0" borderId="0" xfId="0" applyNumberFormat="1" applyFont="1" applyAlignment="1">
      <alignment horizontal="right" wrapText="1"/>
    </xf>
    <xf numFmtId="171" fontId="3" fillId="0" borderId="0" xfId="0" applyNumberFormat="1" applyFont="1" applyAlignment="1">
      <alignment horizontal="center"/>
    </xf>
    <xf numFmtId="171" fontId="3" fillId="0" borderId="0" xfId="0" applyNumberFormat="1" applyFont="1" applyAlignment="1">
      <alignment horizontal="left"/>
    </xf>
    <xf numFmtId="0" fontId="0" fillId="0" borderId="0" xfId="0" quotePrefix="1"/>
    <xf numFmtId="178" fontId="0" fillId="0" borderId="0" xfId="0" applyNumberFormat="1"/>
    <xf numFmtId="178" fontId="0" fillId="0" borderId="0" xfId="0" quotePrefix="1" applyNumberFormat="1"/>
    <xf numFmtId="0" fontId="36" fillId="0" borderId="33" xfId="0" applyFont="1" applyBorder="1" applyAlignment="1">
      <alignment vertical="center"/>
    </xf>
    <xf numFmtId="170" fontId="2" fillId="0" borderId="55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quotePrefix="1" applyBorder="1"/>
    <xf numFmtId="0" fontId="0" fillId="0" borderId="57" xfId="0" applyBorder="1"/>
    <xf numFmtId="17" fontId="1" fillId="0" borderId="7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0" fontId="2" fillId="0" borderId="58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170" fontId="1" fillId="0" borderId="10" xfId="0" applyNumberFormat="1" applyFont="1" applyBorder="1"/>
    <xf numFmtId="0" fontId="0" fillId="0" borderId="56" xfId="0" applyBorder="1"/>
    <xf numFmtId="0" fontId="0" fillId="0" borderId="18" xfId="0" applyBorder="1"/>
    <xf numFmtId="169" fontId="0" fillId="0" borderId="19" xfId="0" applyNumberFormat="1" applyBorder="1"/>
    <xf numFmtId="0" fontId="0" fillId="0" borderId="2" xfId="0" applyBorder="1"/>
    <xf numFmtId="0" fontId="0" fillId="0" borderId="1" xfId="0" applyBorder="1"/>
    <xf numFmtId="3" fontId="0" fillId="0" borderId="0" xfId="0" applyNumberFormat="1" applyAlignment="1">
      <alignment horizontal="right"/>
    </xf>
    <xf numFmtId="0" fontId="35" fillId="0" borderId="62" xfId="0" applyFont="1" applyBorder="1"/>
    <xf numFmtId="0" fontId="36" fillId="0" borderId="62" xfId="0" applyFont="1" applyBorder="1" applyAlignment="1">
      <alignment vertical="center"/>
    </xf>
    <xf numFmtId="178" fontId="0" fillId="0" borderId="8" xfId="0" applyNumberFormat="1" applyBorder="1"/>
    <xf numFmtId="169" fontId="0" fillId="36" borderId="22" xfId="0" applyNumberFormat="1" applyFill="1" applyBorder="1"/>
    <xf numFmtId="3" fontId="0" fillId="0" borderId="11" xfId="0" applyNumberFormat="1" applyBorder="1"/>
    <xf numFmtId="0" fontId="1" fillId="0" borderId="0" xfId="0" applyFont="1" applyAlignment="1">
      <alignment horizontal="right"/>
    </xf>
    <xf numFmtId="4" fontId="0" fillId="0" borderId="0" xfId="0" quotePrefix="1" applyNumberFormat="1"/>
    <xf numFmtId="10" fontId="0" fillId="0" borderId="0" xfId="0" applyNumberFormat="1"/>
    <xf numFmtId="169" fontId="0" fillId="36" borderId="0" xfId="0" applyNumberFormat="1" applyFill="1"/>
    <xf numFmtId="178" fontId="0" fillId="0" borderId="0" xfId="0" applyNumberFormat="1" applyAlignment="1">
      <alignment horizontal="center"/>
    </xf>
    <xf numFmtId="0" fontId="0" fillId="0" borderId="0" xfId="0" quotePrefix="1" applyAlignment="1">
      <alignment wrapText="1"/>
    </xf>
    <xf numFmtId="4" fontId="0" fillId="0" borderId="0" xfId="0" quotePrefix="1" applyNumberFormat="1" applyAlignment="1">
      <alignment horizontal="center"/>
    </xf>
    <xf numFmtId="178" fontId="0" fillId="0" borderId="0" xfId="0" quotePrefix="1" applyNumberFormat="1" applyAlignment="1">
      <alignment horizontal="center"/>
    </xf>
    <xf numFmtId="0" fontId="0" fillId="0" borderId="9" xfId="0" quotePrefix="1" applyBorder="1"/>
    <xf numFmtId="10" fontId="0" fillId="0" borderId="10" xfId="0" applyNumberFormat="1" applyBorder="1"/>
    <xf numFmtId="10" fontId="0" fillId="0" borderId="56" xfId="0" applyNumberFormat="1" applyBorder="1"/>
    <xf numFmtId="4" fontId="0" fillId="0" borderId="10" xfId="0" applyNumberFormat="1" applyBorder="1"/>
    <xf numFmtId="178" fontId="0" fillId="0" borderId="56" xfId="0" applyNumberFormat="1" applyBorder="1"/>
    <xf numFmtId="179" fontId="35" fillId="0" borderId="0" xfId="0" applyNumberFormat="1" applyFont="1" applyAlignment="1">
      <alignment horizontal="left" vertical="center"/>
    </xf>
    <xf numFmtId="3" fontId="35" fillId="0" borderId="0" xfId="0" applyNumberFormat="1" applyFont="1" applyAlignment="1">
      <alignment horizontal="left" vertical="center"/>
    </xf>
    <xf numFmtId="3" fontId="1" fillId="0" borderId="64" xfId="0" applyNumberFormat="1" applyFont="1" applyBorder="1"/>
    <xf numFmtId="3" fontId="1" fillId="0" borderId="63" xfId="0" applyNumberFormat="1" applyFont="1" applyBorder="1"/>
    <xf numFmtId="0" fontId="2" fillId="0" borderId="0" xfId="0" quotePrefix="1" applyFont="1" applyAlignment="1">
      <alignment horizontal="center"/>
    </xf>
    <xf numFmtId="0" fontId="0" fillId="0" borderId="65" xfId="0" applyBorder="1"/>
    <xf numFmtId="0" fontId="36" fillId="0" borderId="7" xfId="0" applyFont="1" applyBorder="1" applyAlignment="1">
      <alignment vertical="center"/>
    </xf>
    <xf numFmtId="0" fontId="0" fillId="0" borderId="9" xfId="0" applyBorder="1"/>
    <xf numFmtId="169" fontId="0" fillId="0" borderId="3" xfId="0" applyNumberFormat="1" applyBorder="1"/>
    <xf numFmtId="180" fontId="0" fillId="0" borderId="0" xfId="0" applyNumberFormat="1"/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17" fontId="0" fillId="0" borderId="0" xfId="0" applyNumberFormat="1"/>
    <xf numFmtId="0" fontId="0" fillId="0" borderId="0" xfId="0" applyAlignment="1">
      <alignment horizontal="center" vertical="center" wrapText="1"/>
    </xf>
    <xf numFmtId="4" fontId="37" fillId="0" borderId="0" xfId="0" applyNumberFormat="1" applyFont="1"/>
    <xf numFmtId="179" fontId="0" fillId="0" borderId="0" xfId="0" applyNumberFormat="1"/>
    <xf numFmtId="3" fontId="1" fillId="0" borderId="0" xfId="0" applyNumberFormat="1" applyFont="1" applyAlignment="1">
      <alignment horizontal="right"/>
    </xf>
    <xf numFmtId="0" fontId="0" fillId="0" borderId="16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1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</cellXfs>
  <cellStyles count="210">
    <cellStyle name="20% - Accent1" xfId="23" builtinId="30" customBuiltin="1"/>
    <cellStyle name="20% - Accent1 2" xfId="87" xr:uid="{00000000-0005-0000-0000-000001000000}"/>
    <cellStyle name="20% - Accent1 2 2" xfId="136" xr:uid="{00000000-0005-0000-0000-000002000000}"/>
    <cellStyle name="20% - Accent1 3" xfId="111" xr:uid="{00000000-0005-0000-0000-000003000000}"/>
    <cellStyle name="20% - Accent1 4" xfId="162" xr:uid="{00000000-0005-0000-0000-000004000000}"/>
    <cellStyle name="20% - Accent2" xfId="27" builtinId="34" customBuiltin="1"/>
    <cellStyle name="20% - Accent2 2" xfId="89" xr:uid="{00000000-0005-0000-0000-000006000000}"/>
    <cellStyle name="20% - Accent2 2 2" xfId="138" xr:uid="{00000000-0005-0000-0000-000007000000}"/>
    <cellStyle name="20% - Accent2 3" xfId="113" xr:uid="{00000000-0005-0000-0000-000008000000}"/>
    <cellStyle name="20% - Accent2 4" xfId="164" xr:uid="{00000000-0005-0000-0000-000009000000}"/>
    <cellStyle name="20% - Accent3" xfId="31" builtinId="38" customBuiltin="1"/>
    <cellStyle name="20% - Accent3 2" xfId="91" xr:uid="{00000000-0005-0000-0000-00000B000000}"/>
    <cellStyle name="20% - Accent3 2 2" xfId="140" xr:uid="{00000000-0005-0000-0000-00000C000000}"/>
    <cellStyle name="20% - Accent3 3" xfId="115" xr:uid="{00000000-0005-0000-0000-00000D000000}"/>
    <cellStyle name="20% - Accent3 4" xfId="166" xr:uid="{00000000-0005-0000-0000-00000E000000}"/>
    <cellStyle name="20% - Accent4" xfId="35" builtinId="42" customBuiltin="1"/>
    <cellStyle name="20% - Accent4 2" xfId="93" xr:uid="{00000000-0005-0000-0000-000010000000}"/>
    <cellStyle name="20% - Accent4 2 2" xfId="142" xr:uid="{00000000-0005-0000-0000-000011000000}"/>
    <cellStyle name="20% - Accent4 3" xfId="117" xr:uid="{00000000-0005-0000-0000-000012000000}"/>
    <cellStyle name="20% - Accent4 4" xfId="168" xr:uid="{00000000-0005-0000-0000-000013000000}"/>
    <cellStyle name="20% - Accent5" xfId="39" builtinId="46" customBuiltin="1"/>
    <cellStyle name="20% - Accent5 2" xfId="95" xr:uid="{00000000-0005-0000-0000-000015000000}"/>
    <cellStyle name="20% - Accent5 2 2" xfId="144" xr:uid="{00000000-0005-0000-0000-000016000000}"/>
    <cellStyle name="20% - Accent5 3" xfId="119" xr:uid="{00000000-0005-0000-0000-000017000000}"/>
    <cellStyle name="20% - Accent5 4" xfId="170" xr:uid="{00000000-0005-0000-0000-000018000000}"/>
    <cellStyle name="20% - Accent6" xfId="43" builtinId="50" customBuiltin="1"/>
    <cellStyle name="20% - Accent6 2" xfId="97" xr:uid="{00000000-0005-0000-0000-00001A000000}"/>
    <cellStyle name="20% - Accent6 2 2" xfId="146" xr:uid="{00000000-0005-0000-0000-00001B000000}"/>
    <cellStyle name="20% - Accent6 3" xfId="121" xr:uid="{00000000-0005-0000-0000-00001C000000}"/>
    <cellStyle name="20% - Accent6 4" xfId="172" xr:uid="{00000000-0005-0000-0000-00001D000000}"/>
    <cellStyle name="40% - Accent1" xfId="24" builtinId="31" customBuiltin="1"/>
    <cellStyle name="40% - Accent1 2" xfId="88" xr:uid="{00000000-0005-0000-0000-00001F000000}"/>
    <cellStyle name="40% - Accent1 2 2" xfId="137" xr:uid="{00000000-0005-0000-0000-000020000000}"/>
    <cellStyle name="40% - Accent1 3" xfId="112" xr:uid="{00000000-0005-0000-0000-000021000000}"/>
    <cellStyle name="40% - Accent1 4" xfId="163" xr:uid="{00000000-0005-0000-0000-000022000000}"/>
    <cellStyle name="40% - Accent2" xfId="28" builtinId="35" customBuiltin="1"/>
    <cellStyle name="40% - Accent2 2" xfId="90" xr:uid="{00000000-0005-0000-0000-000024000000}"/>
    <cellStyle name="40% - Accent2 2 2" xfId="139" xr:uid="{00000000-0005-0000-0000-000025000000}"/>
    <cellStyle name="40% - Accent2 3" xfId="114" xr:uid="{00000000-0005-0000-0000-000026000000}"/>
    <cellStyle name="40% - Accent2 4" xfId="165" xr:uid="{00000000-0005-0000-0000-000027000000}"/>
    <cellStyle name="40% - Accent3" xfId="32" builtinId="39" customBuiltin="1"/>
    <cellStyle name="40% - Accent3 2" xfId="92" xr:uid="{00000000-0005-0000-0000-000029000000}"/>
    <cellStyle name="40% - Accent3 2 2" xfId="141" xr:uid="{00000000-0005-0000-0000-00002A000000}"/>
    <cellStyle name="40% - Accent3 3" xfId="116" xr:uid="{00000000-0005-0000-0000-00002B000000}"/>
    <cellStyle name="40% - Accent3 4" xfId="167" xr:uid="{00000000-0005-0000-0000-00002C000000}"/>
    <cellStyle name="40% - Accent4" xfId="36" builtinId="43" customBuiltin="1"/>
    <cellStyle name="40% - Accent4 2" xfId="94" xr:uid="{00000000-0005-0000-0000-00002E000000}"/>
    <cellStyle name="40% - Accent4 2 2" xfId="143" xr:uid="{00000000-0005-0000-0000-00002F000000}"/>
    <cellStyle name="40% - Accent4 3" xfId="118" xr:uid="{00000000-0005-0000-0000-000030000000}"/>
    <cellStyle name="40% - Accent4 4" xfId="169" xr:uid="{00000000-0005-0000-0000-000031000000}"/>
    <cellStyle name="40% - Accent5" xfId="40" builtinId="47" customBuiltin="1"/>
    <cellStyle name="40% - Accent5 2" xfId="96" xr:uid="{00000000-0005-0000-0000-000033000000}"/>
    <cellStyle name="40% - Accent5 2 2" xfId="145" xr:uid="{00000000-0005-0000-0000-000034000000}"/>
    <cellStyle name="40% - Accent5 3" xfId="120" xr:uid="{00000000-0005-0000-0000-000035000000}"/>
    <cellStyle name="40% - Accent5 4" xfId="171" xr:uid="{00000000-0005-0000-0000-000036000000}"/>
    <cellStyle name="40% - Accent6" xfId="44" builtinId="51" customBuiltin="1"/>
    <cellStyle name="40% - Accent6 2" xfId="98" xr:uid="{00000000-0005-0000-0000-000038000000}"/>
    <cellStyle name="40% - Accent6 2 2" xfId="147" xr:uid="{00000000-0005-0000-0000-000039000000}"/>
    <cellStyle name="40% - Accent6 3" xfId="122" xr:uid="{00000000-0005-0000-0000-00003A000000}"/>
    <cellStyle name="40% - Accent6 4" xfId="173" xr:uid="{00000000-0005-0000-0000-00003B000000}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6" xr:uid="{00000000-0005-0000-0000-00004B000000}"/>
    <cellStyle name="Comma 2 2" xfId="67" xr:uid="{00000000-0005-0000-0000-00004C000000}"/>
    <cellStyle name="Comma 2 3" xfId="63" xr:uid="{00000000-0005-0000-0000-00004D000000}"/>
    <cellStyle name="Comma 2 3 2" xfId="134" xr:uid="{00000000-0005-0000-0000-00004E000000}"/>
    <cellStyle name="Comma 2 4" xfId="160" xr:uid="{00000000-0005-0000-0000-00004F000000}"/>
    <cellStyle name="Comma 2 5" xfId="82" xr:uid="{00000000-0005-0000-0000-000050000000}"/>
    <cellStyle name="Comma 3" xfId="48" xr:uid="{00000000-0005-0000-0000-000051000000}"/>
    <cellStyle name="Comma 3 2" xfId="58" xr:uid="{00000000-0005-0000-0000-000052000000}"/>
    <cellStyle name="Comma 3 3" xfId="68" xr:uid="{00000000-0005-0000-0000-000053000000}"/>
    <cellStyle name="Comma 3 3 2" xfId="150" xr:uid="{00000000-0005-0000-0000-000054000000}"/>
    <cellStyle name="Comma 3 3 3" xfId="101" xr:uid="{00000000-0005-0000-0000-000055000000}"/>
    <cellStyle name="Comma 3 3 4" xfId="189" xr:uid="{00000000-0005-0000-0000-000056000000}"/>
    <cellStyle name="Comma 3 3 5" xfId="199" xr:uid="{00000000-0005-0000-0000-000057000000}"/>
    <cellStyle name="Comma 3 3 5 2" xfId="208" xr:uid="{00000000-0005-0000-0000-000058000000}"/>
    <cellStyle name="Comma 3 4" xfId="64" xr:uid="{00000000-0005-0000-0000-000059000000}"/>
    <cellStyle name="Comma 3 5" xfId="53" xr:uid="{00000000-0005-0000-0000-00005A000000}"/>
    <cellStyle name="Comma 3 5 2" xfId="192" xr:uid="{00000000-0005-0000-0000-00005B000000}"/>
    <cellStyle name="Comma 3 5 3" xfId="202" xr:uid="{00000000-0005-0000-0000-00005C000000}"/>
    <cellStyle name="Comma 3 5 4" xfId="195" xr:uid="{00000000-0005-0000-0000-00005D000000}"/>
    <cellStyle name="Comma 3 5 4 2" xfId="204" xr:uid="{00000000-0005-0000-0000-00005E000000}"/>
    <cellStyle name="Comma 3 5 5" xfId="183" xr:uid="{00000000-0005-0000-0000-00005F000000}"/>
    <cellStyle name="Comma 3 6" xfId="185" xr:uid="{00000000-0005-0000-0000-000060000000}"/>
    <cellStyle name="Comma 4" xfId="62" xr:uid="{00000000-0005-0000-0000-000061000000}"/>
    <cellStyle name="Comma 4 2" xfId="69" xr:uid="{00000000-0005-0000-0000-000062000000}"/>
    <cellStyle name="Comma 4 3" xfId="85" xr:uid="{00000000-0005-0000-0000-000063000000}"/>
    <cellStyle name="Comma 5" xfId="66" xr:uid="{00000000-0005-0000-0000-000064000000}"/>
    <cellStyle name="Comma 5 2" xfId="149" xr:uid="{00000000-0005-0000-0000-000065000000}"/>
    <cellStyle name="Comma 5 3" xfId="100" xr:uid="{00000000-0005-0000-0000-000066000000}"/>
    <cellStyle name="Comma 5 4" xfId="188" xr:uid="{00000000-0005-0000-0000-000067000000}"/>
    <cellStyle name="Comma 5 5" xfId="198" xr:uid="{00000000-0005-0000-0000-000068000000}"/>
    <cellStyle name="Comma 5 5 2" xfId="207" xr:uid="{00000000-0005-0000-0000-000069000000}"/>
    <cellStyle name="Comma 6" xfId="124" xr:uid="{00000000-0005-0000-0000-00006A000000}"/>
    <cellStyle name="Comma 7" xfId="81" xr:uid="{00000000-0005-0000-0000-00006B000000}"/>
    <cellStyle name="Comma 8" xfId="193" xr:uid="{00000000-0005-0000-0000-00006C000000}"/>
    <cellStyle name="Currency" xfId="2" builtinId="4"/>
    <cellStyle name="Currency 2" xfId="4" xr:uid="{00000000-0005-0000-0000-00006E000000}"/>
    <cellStyle name="Currency 2 2" xfId="102" xr:uid="{00000000-0005-0000-0000-00006F000000}"/>
    <cellStyle name="Currency 2 2 2" xfId="151" xr:uid="{00000000-0005-0000-0000-000070000000}"/>
    <cellStyle name="Currency 2 3" xfId="125" xr:uid="{00000000-0005-0000-0000-000071000000}"/>
    <cellStyle name="Currency 2 4" xfId="174" xr:uid="{00000000-0005-0000-0000-000072000000}"/>
    <cellStyle name="Currency 3" xfId="3" xr:uid="{00000000-0005-0000-0000-000073000000}"/>
    <cellStyle name="Currency 3 2" xfId="103" xr:uid="{00000000-0005-0000-0000-000074000000}"/>
    <cellStyle name="Currency 3 2 2" xfId="152" xr:uid="{00000000-0005-0000-0000-000075000000}"/>
    <cellStyle name="Currency 3 3" xfId="126" xr:uid="{00000000-0005-0000-0000-000076000000}"/>
    <cellStyle name="Currency 3 4" xfId="175" xr:uid="{00000000-0005-0000-0000-000077000000}"/>
    <cellStyle name="Currency 4" xfId="70" xr:uid="{00000000-0005-0000-0000-000078000000}"/>
    <cellStyle name="Currency 4 2" xfId="104" xr:uid="{00000000-0005-0000-0000-000079000000}"/>
    <cellStyle name="Currency 4 2 2" xfId="153" xr:uid="{00000000-0005-0000-0000-00007A000000}"/>
    <cellStyle name="Currency 4 3" xfId="127" xr:uid="{00000000-0005-0000-0000-00007B000000}"/>
    <cellStyle name="Currency 4 4" xfId="176" xr:uid="{00000000-0005-0000-0000-00007C000000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10" xfId="159" xr:uid="{00000000-0005-0000-0000-000087000000}"/>
    <cellStyle name="Normal 11" xfId="80" xr:uid="{00000000-0005-0000-0000-000088000000}"/>
    <cellStyle name="Normal 2" xfId="1" xr:uid="{00000000-0005-0000-0000-000089000000}"/>
    <cellStyle name="Normal 2 2" xfId="50" xr:uid="{00000000-0005-0000-0000-00008A000000}"/>
    <cellStyle name="Normal 2 3" xfId="49" xr:uid="{00000000-0005-0000-0000-00008B000000}"/>
    <cellStyle name="Normal 2 3 2" xfId="60" xr:uid="{00000000-0005-0000-0000-00008C000000}"/>
    <cellStyle name="Normal 2 3 3" xfId="54" xr:uid="{00000000-0005-0000-0000-00008D000000}"/>
    <cellStyle name="Normal 2 4" xfId="51" xr:uid="{00000000-0005-0000-0000-00008E000000}"/>
    <cellStyle name="Normal 2 4 2" xfId="105" xr:uid="{00000000-0005-0000-0000-00008F000000}"/>
    <cellStyle name="Normal 2 4 2 2" xfId="154" xr:uid="{00000000-0005-0000-0000-000090000000}"/>
    <cellStyle name="Normal 2 4 3" xfId="128" xr:uid="{00000000-0005-0000-0000-000091000000}"/>
    <cellStyle name="Normal 2 4 4" xfId="177" xr:uid="{00000000-0005-0000-0000-000092000000}"/>
    <cellStyle name="Normal 2 4 5" xfId="181" xr:uid="{00000000-0005-0000-0000-000093000000}"/>
    <cellStyle name="Normal 2 4 6" xfId="72" xr:uid="{00000000-0005-0000-0000-000094000000}"/>
    <cellStyle name="Normal 2 5" xfId="71" xr:uid="{00000000-0005-0000-0000-000095000000}"/>
    <cellStyle name="Normal 2 6" xfId="86" xr:uid="{00000000-0005-0000-0000-000096000000}"/>
    <cellStyle name="Normal 2 6 2" xfId="135" xr:uid="{00000000-0005-0000-0000-000097000000}"/>
    <cellStyle name="Normal 2 7" xfId="161" xr:uid="{00000000-0005-0000-0000-000098000000}"/>
    <cellStyle name="Normal 3" xfId="47" xr:uid="{00000000-0005-0000-0000-000099000000}"/>
    <cellStyle name="Normal 3 2" xfId="55" xr:uid="{00000000-0005-0000-0000-00009A000000}"/>
    <cellStyle name="Normal 3 2 2" xfId="74" xr:uid="{00000000-0005-0000-0000-00009B000000}"/>
    <cellStyle name="Normal 3 3" xfId="57" xr:uid="{00000000-0005-0000-0000-00009C000000}"/>
    <cellStyle name="Normal 3 3 2" xfId="73" xr:uid="{00000000-0005-0000-0000-00009D000000}"/>
    <cellStyle name="Normal 3 3 3" xfId="178" xr:uid="{00000000-0005-0000-0000-00009E000000}"/>
    <cellStyle name="Normal 3 4" xfId="61" xr:uid="{00000000-0005-0000-0000-00009F000000}"/>
    <cellStyle name="Normal 3 5" xfId="129" xr:uid="{00000000-0005-0000-0000-0000A0000000}"/>
    <cellStyle name="Normal 3 6" xfId="52" xr:uid="{00000000-0005-0000-0000-0000A1000000}"/>
    <cellStyle name="Normal 3 6 2" xfId="191" xr:uid="{00000000-0005-0000-0000-0000A2000000}"/>
    <cellStyle name="Normal 3 6 3" xfId="201" xr:uid="{00000000-0005-0000-0000-0000A3000000}"/>
    <cellStyle name="Normal 3 6 4" xfId="194" xr:uid="{00000000-0005-0000-0000-0000A4000000}"/>
    <cellStyle name="Normal 3 6 4 2" xfId="203" xr:uid="{00000000-0005-0000-0000-0000A5000000}"/>
    <cellStyle name="Normal 3 6 5" xfId="182" xr:uid="{00000000-0005-0000-0000-0000A6000000}"/>
    <cellStyle name="Normal 3 7" xfId="184" xr:uid="{00000000-0005-0000-0000-0000A7000000}"/>
    <cellStyle name="Normal 4" xfId="75" xr:uid="{00000000-0005-0000-0000-0000A8000000}"/>
    <cellStyle name="Normal 5" xfId="79" xr:uid="{00000000-0005-0000-0000-0000A9000000}"/>
    <cellStyle name="Normal 5 2" xfId="109" xr:uid="{00000000-0005-0000-0000-0000AA000000}"/>
    <cellStyle name="Normal 5 2 2" xfId="158" xr:uid="{00000000-0005-0000-0000-0000AB000000}"/>
    <cellStyle name="Normal 5 3" xfId="132" xr:uid="{00000000-0005-0000-0000-0000AC000000}"/>
    <cellStyle name="Normal 5 4" xfId="180" xr:uid="{00000000-0005-0000-0000-0000AD000000}"/>
    <cellStyle name="Normal 6" xfId="65" xr:uid="{00000000-0005-0000-0000-0000AE000000}"/>
    <cellStyle name="Normal 6 2" xfId="148" xr:uid="{00000000-0005-0000-0000-0000AF000000}"/>
    <cellStyle name="Normal 6 3" xfId="99" xr:uid="{00000000-0005-0000-0000-0000B0000000}"/>
    <cellStyle name="Normal 6 4" xfId="187" xr:uid="{00000000-0005-0000-0000-0000B1000000}"/>
    <cellStyle name="Normal 6 5" xfId="197" xr:uid="{00000000-0005-0000-0000-0000B2000000}"/>
    <cellStyle name="Normal 6 5 2" xfId="206" xr:uid="{00000000-0005-0000-0000-0000B3000000}"/>
    <cellStyle name="Normal 7" xfId="84" xr:uid="{00000000-0005-0000-0000-0000B4000000}"/>
    <cellStyle name="Normal 7 2" xfId="133" xr:uid="{00000000-0005-0000-0000-0000B5000000}"/>
    <cellStyle name="Normal 8" xfId="123" xr:uid="{00000000-0005-0000-0000-0000B6000000}"/>
    <cellStyle name="Normal 9" xfId="110" xr:uid="{00000000-0005-0000-0000-0000B7000000}"/>
    <cellStyle name="Note" xfId="19" builtinId="10" customBuiltin="1"/>
    <cellStyle name="Note 2" xfId="76" xr:uid="{00000000-0005-0000-0000-0000B9000000}"/>
    <cellStyle name="Note 2 2" xfId="106" xr:uid="{00000000-0005-0000-0000-0000BA000000}"/>
    <cellStyle name="Note 2 2 2" xfId="155" xr:uid="{00000000-0005-0000-0000-0000BB000000}"/>
    <cellStyle name="Note 2 3" xfId="130" xr:uid="{00000000-0005-0000-0000-0000BC000000}"/>
    <cellStyle name="Note 2 4" xfId="179" xr:uid="{00000000-0005-0000-0000-0000BD000000}"/>
    <cellStyle name="Output" xfId="14" builtinId="21" customBuiltin="1"/>
    <cellStyle name="Percent 2" xfId="56" xr:uid="{00000000-0005-0000-0000-0000BF000000}"/>
    <cellStyle name="Percent 2 2" xfId="59" xr:uid="{00000000-0005-0000-0000-0000C0000000}"/>
    <cellStyle name="Percent 2 3" xfId="108" xr:uid="{00000000-0005-0000-0000-0000C1000000}"/>
    <cellStyle name="Percent 2 3 2" xfId="157" xr:uid="{00000000-0005-0000-0000-0000C2000000}"/>
    <cellStyle name="Percent 2 4" xfId="186" xr:uid="{00000000-0005-0000-0000-0000C3000000}"/>
    <cellStyle name="Percent 2 5" xfId="196" xr:uid="{00000000-0005-0000-0000-0000C4000000}"/>
    <cellStyle name="Percent 2 5 2" xfId="205" xr:uid="{00000000-0005-0000-0000-0000C5000000}"/>
    <cellStyle name="Percent 3" xfId="78" xr:uid="{00000000-0005-0000-0000-0000C6000000}"/>
    <cellStyle name="Percent 4" xfId="77" xr:uid="{00000000-0005-0000-0000-0000C7000000}"/>
    <cellStyle name="Percent 4 2" xfId="156" xr:uid="{00000000-0005-0000-0000-0000C8000000}"/>
    <cellStyle name="Percent 4 3" xfId="107" xr:uid="{00000000-0005-0000-0000-0000C9000000}"/>
    <cellStyle name="Percent 4 4" xfId="190" xr:uid="{00000000-0005-0000-0000-0000CA000000}"/>
    <cellStyle name="Percent 4 5" xfId="200" xr:uid="{00000000-0005-0000-0000-0000CB000000}"/>
    <cellStyle name="Percent 4 5 2" xfId="209" xr:uid="{00000000-0005-0000-0000-0000CC000000}"/>
    <cellStyle name="Percent 5" xfId="131" xr:uid="{00000000-0005-0000-0000-0000CD000000}"/>
    <cellStyle name="Percent 6" xfId="83" xr:uid="{00000000-0005-0000-0000-0000CE000000}"/>
    <cellStyle name="Title" xfId="5" builtinId="15" customBuiltin="1"/>
    <cellStyle name="Total" xfId="21" builtinId="25" customBuiltin="1"/>
    <cellStyle name="Warning Text" xfId="18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196850</xdr:colOff>
      <xdr:row>0</xdr:row>
      <xdr:rowOff>82550</xdr:rowOff>
    </xdr:from>
    <xdr:to>
      <xdr:col>2</xdr:col>
      <xdr:colOff>330325</xdr:colOff>
      <xdr:row>12</xdr:row>
      <xdr:rowOff>127138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1392E9-8249-D2FB-949D-3A348FA7F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" y="82550"/>
          <a:ext cx="2425825" cy="2692538"/>
        </a:xfrm>
        <a:prstGeom prst="rect">
          <a:avLst/>
        </a:prstGeom>
      </xdr:spPr>
    </xdr:pic>
    <xdr:clientData/>
  </xdr:twoCellAnchor>
  <xdr:twoCellAnchor editAs="oneCell">
    <xdr:from>
      <xdr:col>2</xdr:col>
      <xdr:colOff>387350</xdr:colOff>
      <xdr:row>0</xdr:row>
      <xdr:rowOff>107950</xdr:rowOff>
    </xdr:from>
    <xdr:to>
      <xdr:col>5</xdr:col>
      <xdr:colOff>450973</xdr:colOff>
      <xdr:row>12</xdr:row>
      <xdr:rowOff>127137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5DBF51-CA63-1F12-3CD6-994F2480B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9700" y="107950"/>
          <a:ext cx="2387723" cy="26671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AFRICAN%20GAMESKIN%20INFO\Stock%20and%20Orders\MONTHLY%20STOCK\June%202026\AGS%20Stocksheet%201%20June%202026.xlsx" TargetMode="External"/><Relationship Id="rId1" Type="http://schemas.openxmlformats.org/officeDocument/2006/relationships/externalLinkPath" Target="file:///Z:\AFRICAN%20GAMESKIN%20INFO\Stock%20and%20Orders\MONTHLY%20STOCK\June%202026\AGS%20Stocksheet%201%20Jun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nette\Desktop\Work%20Folder\Companies\1.%20African%20Gameskin\Reports\MONTLY%20INFO%20DENZIL\2027\Summary%20Report%20April%202026.xlsx" TargetMode="External"/><Relationship Id="rId1" Type="http://schemas.openxmlformats.org/officeDocument/2006/relationships/externalLinkPath" Target="Summary%20Report%20April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/April%202025.xlsx" TargetMode="External"/><Relationship Id="rId2" Type="http://schemas.openxmlformats.org/officeDocument/2006/relationships/externalLinkPath" Target="file:///C:\Users\Sannette\Desktop\Work%20Folder\Companies\1.%20African%20Gameskin\Reports\MONTLY%20INFO%20DENZIL\2026\April%202025.xlsx" TargetMode="External"/><Relationship Id="rId1" Type="http://schemas.openxmlformats.org/officeDocument/2006/relationships/externalLinkPath" Target="/Users/Sannette/Desktop/Work%20Folder/Companies/1.%20African%20Gameskin/Reports/MONTLY%20INFO%20DENZIL/2026/Apri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 Board"/>
      <sheetName val="Side Leathers "/>
      <sheetName val="Sheet19"/>
      <sheetName val="Sheet15"/>
      <sheetName val="Sheet16"/>
      <sheetName val="Sides Requirments"/>
      <sheetName val="Hide Leathers "/>
      <sheetName val="Sheet20"/>
      <sheetName val="Sheet18"/>
      <sheetName val="Inventory "/>
      <sheetName val="Sheet14"/>
      <sheetName val="Sheet13"/>
      <sheetName val="RANDALL COUNT HANNI  FLW"/>
      <sheetName val="RANDALL COUNT SHEET (2)"/>
      <sheetName val="Import Leathers"/>
      <sheetName val="CUSTOMER STOCK "/>
      <sheetName val="Leather Requirements"/>
      <sheetName val="JHB Orders"/>
      <sheetName val="Gameskin"/>
      <sheetName val="End of Range"/>
      <sheetName val="Sheet17"/>
      <sheetName val="RANDALL COUNT HAIR ON HIDES"/>
      <sheetName val="LANDED COSTS HAIR ON HIDES"/>
      <sheetName val="Sheet1"/>
      <sheetName val="Sheet2"/>
      <sheetName val="Sheet3"/>
      <sheetName val="Sheet4"/>
      <sheetName val="Sheet5"/>
      <sheetName val="Sheet6"/>
      <sheetName val="FOR SANNETTE"/>
      <sheetName val="FOR MASTERS"/>
      <sheetName val="Sheet7"/>
      <sheetName val="Discontinued stock"/>
      <sheetName val="Sheet8"/>
      <sheetName val="Sheet9"/>
      <sheetName val="Combined"/>
      <sheetName val="STOCK COMBINED"/>
      <sheetName val="Sheet11"/>
      <sheetName val="Sheet10"/>
      <sheetName val="Blank Stock Sheet"/>
      <sheetName val="Sheet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2">
          <cell r="F52">
            <v>1209494.3319924069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sheet "/>
      <sheetName val="Balance sheet "/>
      <sheetName val="Income Statement "/>
      <sheetName val="Year to date"/>
      <sheetName val="Debtors "/>
      <sheetName val="Suppliers "/>
      <sheetName val="Sales "/>
      <sheetName val="Invoices"/>
      <sheetName val="Stock "/>
      <sheetName val="Per Customer "/>
      <sheetName val="Hannitan"/>
      <sheetName val="FLW"/>
      <sheetName val="Customer for the year"/>
    </sheetNames>
    <sheetDataSet>
      <sheetData sheetId="0">
        <row r="40">
          <cell r="M40">
            <v>25469457.781992406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nthly sheet "/>
      <sheetName val="Balance sheet "/>
      <sheetName val="Income Statement "/>
      <sheetName val="Year to date"/>
      <sheetName val="Debtors "/>
      <sheetName val="Suppliers "/>
      <sheetName val="Sales "/>
      <sheetName val="Invoices"/>
      <sheetName val="Stock "/>
      <sheetName val="Per Customer "/>
      <sheetName val="FLW"/>
      <sheetName val="Hannitan"/>
      <sheetName val="Sheet1"/>
    </sheetNames>
    <sheetDataSet>
      <sheetData sheetId="0">
        <row r="11">
          <cell r="C11">
            <v>24324.74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63"/>
  <sheetViews>
    <sheetView showGridLines="0" tabSelected="1" topLeftCell="A27" zoomScale="90" zoomScaleNormal="90" workbookViewId="0">
      <selection activeCell="L36" sqref="K36:L36"/>
    </sheetView>
  </sheetViews>
  <sheetFormatPr defaultRowHeight="14.5" x14ac:dyDescent="0.35"/>
  <cols>
    <col min="1" max="1" width="4.26953125" customWidth="1"/>
    <col min="2" max="2" width="34.26953125" customWidth="1"/>
    <col min="3" max="3" width="14.26953125" customWidth="1"/>
    <col min="4" max="4" width="15.453125" bestFit="1" customWidth="1"/>
    <col min="5" max="5" width="3" customWidth="1"/>
    <col min="6" max="6" width="2.7265625" customWidth="1"/>
    <col min="7" max="7" width="23.81640625" customWidth="1"/>
    <col min="8" max="8" width="16.453125" customWidth="1"/>
    <col min="9" max="9" width="2.81640625" customWidth="1"/>
    <col min="10" max="10" width="2.7265625" hidden="1" customWidth="1"/>
    <col min="11" max="11" width="14.81640625" customWidth="1"/>
    <col min="12" max="12" width="16.26953125" customWidth="1"/>
    <col min="13" max="13" width="14.26953125" bestFit="1" customWidth="1"/>
    <col min="14" max="14" width="2.54296875" customWidth="1"/>
    <col min="15" max="15" width="20.453125" customWidth="1"/>
    <col min="16" max="16" width="15.453125" bestFit="1" customWidth="1"/>
  </cols>
  <sheetData>
    <row r="1" spans="2:15" x14ac:dyDescent="0.35">
      <c r="B1" s="83" t="s">
        <v>4</v>
      </c>
    </row>
    <row r="2" spans="2:15" x14ac:dyDescent="0.35">
      <c r="B2" s="84" t="s">
        <v>106</v>
      </c>
    </row>
    <row r="3" spans="2:15" ht="15" thickBot="1" x14ac:dyDescent="0.4"/>
    <row r="4" spans="2:15" ht="15" thickBot="1" x14ac:dyDescent="0.4">
      <c r="B4" s="237" t="s">
        <v>0</v>
      </c>
      <c r="C4" s="238"/>
      <c r="D4" s="239"/>
      <c r="E4" s="85"/>
      <c r="G4" s="243" t="s">
        <v>5</v>
      </c>
      <c r="H4" s="244"/>
      <c r="I4" s="86"/>
      <c r="J4" s="86"/>
      <c r="K4" s="87" t="s">
        <v>6</v>
      </c>
      <c r="L4" s="88"/>
      <c r="M4" s="89"/>
    </row>
    <row r="5" spans="2:15" x14ac:dyDescent="0.35">
      <c r="B5" s="90"/>
      <c r="C5" s="91"/>
      <c r="D5" s="92"/>
      <c r="E5" s="92"/>
      <c r="G5" s="93"/>
      <c r="H5" s="94"/>
      <c r="K5" s="95"/>
      <c r="L5" s="96"/>
      <c r="M5" s="97"/>
    </row>
    <row r="6" spans="2:15" x14ac:dyDescent="0.35">
      <c r="B6" s="98" t="s">
        <v>7</v>
      </c>
      <c r="C6" s="99"/>
      <c r="D6" s="153">
        <f>+'Income Statement '!C4+'Income Statement '!C5</f>
        <v>9194406.4600000009</v>
      </c>
      <c r="E6" s="100"/>
      <c r="G6" s="101" t="s">
        <v>8</v>
      </c>
      <c r="H6" s="102"/>
      <c r="K6" s="103" t="s">
        <v>10</v>
      </c>
      <c r="L6" s="104">
        <f>+'Balance sheet '!C38</f>
        <v>1922533.49</v>
      </c>
      <c r="M6" s="105"/>
    </row>
    <row r="7" spans="2:15" x14ac:dyDescent="0.35">
      <c r="B7" s="106" t="s">
        <v>11</v>
      </c>
      <c r="C7" s="99"/>
      <c r="D7" s="153">
        <f>+'Income Statement '!C6</f>
        <v>134522.42000000001</v>
      </c>
      <c r="E7" s="100"/>
      <c r="G7" s="107">
        <f>+Hannitan!B47</f>
        <v>23411.48</v>
      </c>
      <c r="H7" s="108" t="s">
        <v>9</v>
      </c>
      <c r="I7" s="109"/>
      <c r="J7" s="110"/>
      <c r="K7" s="103" t="s">
        <v>13</v>
      </c>
      <c r="L7" s="104">
        <f>+'Balance sheet '!C39</f>
        <v>7298871.1399999997</v>
      </c>
      <c r="M7" s="111"/>
    </row>
    <row r="8" spans="2:15" ht="15" thickBot="1" x14ac:dyDescent="0.4">
      <c r="B8" s="80"/>
      <c r="C8" s="99"/>
      <c r="D8" s="153"/>
      <c r="E8" s="100"/>
      <c r="G8" s="107">
        <f>+Hannitan!D49</f>
        <v>5269998.22</v>
      </c>
      <c r="H8" s="112" t="s">
        <v>12</v>
      </c>
      <c r="I8" s="109"/>
      <c r="J8" s="110"/>
      <c r="K8" s="113"/>
      <c r="L8" s="114"/>
      <c r="M8" s="115"/>
      <c r="O8" s="116"/>
    </row>
    <row r="9" spans="2:15" x14ac:dyDescent="0.35">
      <c r="B9" s="222"/>
      <c r="C9" s="194"/>
      <c r="D9" s="195">
        <f>SUM(D6:D8)</f>
        <v>9328928.8800000008</v>
      </c>
      <c r="E9" s="100"/>
      <c r="G9" s="117">
        <v>270351.35999999999</v>
      </c>
      <c r="H9" s="112" t="s">
        <v>39</v>
      </c>
      <c r="I9" s="109"/>
      <c r="J9" s="110"/>
      <c r="L9" s="14"/>
      <c r="M9" s="14"/>
    </row>
    <row r="10" spans="2:15" ht="15" thickBot="1" x14ac:dyDescent="0.4">
      <c r="B10" s="187"/>
      <c r="C10" s="182" t="s">
        <v>9</v>
      </c>
      <c r="D10" s="190"/>
      <c r="E10" s="100"/>
      <c r="G10" s="117">
        <f>+G8-G9</f>
        <v>4999646.8599999994</v>
      </c>
      <c r="H10" s="118" t="s">
        <v>47</v>
      </c>
      <c r="I10" s="109"/>
      <c r="J10" s="110"/>
      <c r="M10" s="119"/>
    </row>
    <row r="11" spans="2:15" ht="15" thickBot="1" x14ac:dyDescent="0.4">
      <c r="B11" s="188" t="s">
        <v>14</v>
      </c>
      <c r="C11" s="189">
        <f>+'Sales '!B40+21</f>
        <v>26938.209999999995</v>
      </c>
      <c r="D11" s="150">
        <f>+'Sales '!C40+6789.93</f>
        <v>8709915.0800000019</v>
      </c>
      <c r="E11" s="100"/>
      <c r="G11" s="120">
        <f>+G10/G7</f>
        <v>213.55535233142029</v>
      </c>
      <c r="H11" s="121" t="s">
        <v>46</v>
      </c>
      <c r="I11" s="109"/>
      <c r="J11" s="110"/>
      <c r="K11" s="87" t="s">
        <v>45</v>
      </c>
      <c r="L11" s="122"/>
      <c r="M11" s="94"/>
      <c r="O11" s="179"/>
    </row>
    <row r="12" spans="2:15" ht="15" thickBot="1" x14ac:dyDescent="0.4">
      <c r="B12" s="188" t="s">
        <v>15</v>
      </c>
      <c r="C12" s="123">
        <f>+D11/C11</f>
        <v>323.32939271020621</v>
      </c>
      <c r="D12" s="151"/>
      <c r="E12" s="100"/>
      <c r="J12" s="110"/>
      <c r="K12" s="124"/>
      <c r="L12" s="99"/>
      <c r="M12" s="125"/>
    </row>
    <row r="13" spans="2:15" x14ac:dyDescent="0.35">
      <c r="B13" s="188" t="s">
        <v>37</v>
      </c>
      <c r="C13" s="126">
        <f>+G7+G15</f>
        <v>29686.34</v>
      </c>
      <c r="D13" s="150">
        <f>+G10+G16</f>
        <v>7174856.5199999996</v>
      </c>
      <c r="E13" s="100"/>
      <c r="G13" s="87" t="s">
        <v>42</v>
      </c>
      <c r="H13" s="94"/>
      <c r="J13" s="110"/>
      <c r="K13" s="124" t="s">
        <v>55</v>
      </c>
      <c r="L13" s="99">
        <v>0</v>
      </c>
      <c r="M13" s="125"/>
    </row>
    <row r="14" spans="2:15" ht="15" thickBot="1" x14ac:dyDescent="0.4">
      <c r="B14" s="191" t="s">
        <v>36</v>
      </c>
      <c r="C14" s="192">
        <f>D13/C13</f>
        <v>241.68882118846579</v>
      </c>
      <c r="D14" s="193"/>
      <c r="E14" s="100"/>
      <c r="G14" s="127"/>
      <c r="H14" s="108"/>
      <c r="I14" s="128"/>
      <c r="J14" s="129"/>
      <c r="K14" s="130" t="s">
        <v>53</v>
      </c>
      <c r="L14" s="99">
        <f>+'Balance sheet '!C36</f>
        <v>1526847.65</v>
      </c>
      <c r="M14" s="125"/>
    </row>
    <row r="15" spans="2:15" ht="15" thickBot="1" x14ac:dyDescent="0.4">
      <c r="B15" s="80"/>
      <c r="D15" s="99"/>
      <c r="E15" s="100"/>
      <c r="G15" s="131">
        <f>+FLW!B26</f>
        <v>6274.8600000000015</v>
      </c>
      <c r="H15" s="108" t="s">
        <v>9</v>
      </c>
      <c r="I15" s="128"/>
      <c r="K15" s="113"/>
      <c r="L15" s="132">
        <f>SUM(L12:L14)</f>
        <v>1526847.65</v>
      </c>
      <c r="M15" s="115"/>
    </row>
    <row r="16" spans="2:15" x14ac:dyDescent="0.35">
      <c r="B16" s="245" t="s">
        <v>43</v>
      </c>
      <c r="C16" s="246"/>
      <c r="D16" s="247"/>
      <c r="E16" s="100"/>
      <c r="G16" s="133">
        <f>+FLW!D26</f>
        <v>2175209.6599999997</v>
      </c>
      <c r="H16" s="118" t="s">
        <v>12</v>
      </c>
      <c r="I16" s="128"/>
      <c r="J16" s="134"/>
    </row>
    <row r="17" spans="2:16" ht="16" thickBot="1" x14ac:dyDescent="0.4">
      <c r="B17" s="199"/>
      <c r="C17" s="221" t="s">
        <v>107</v>
      </c>
      <c r="D17" s="221" t="s">
        <v>95</v>
      </c>
      <c r="E17" s="100"/>
      <c r="G17" s="120">
        <f>+G16/G15</f>
        <v>346.65469189750831</v>
      </c>
      <c r="H17" s="135" t="s">
        <v>22</v>
      </c>
      <c r="I17" s="128"/>
      <c r="J17" s="136"/>
      <c r="O17" s="179"/>
    </row>
    <row r="18" spans="2:16" ht="15" thickBot="1" x14ac:dyDescent="0.4">
      <c r="B18" s="200"/>
      <c r="C18" s="203"/>
      <c r="D18" s="203"/>
      <c r="E18" s="100"/>
      <c r="G18" s="110"/>
      <c r="H18" s="99"/>
      <c r="I18" s="81"/>
      <c r="K18" s="84" t="s">
        <v>109</v>
      </c>
      <c r="O18" s="126"/>
    </row>
    <row r="19" spans="2:16" x14ac:dyDescent="0.35">
      <c r="B19" s="200" t="s">
        <v>50</v>
      </c>
      <c r="C19" s="203">
        <v>2702</v>
      </c>
      <c r="D19" s="203">
        <v>2416</v>
      </c>
      <c r="E19" s="100"/>
      <c r="G19" s="137" t="s">
        <v>27</v>
      </c>
      <c r="H19" s="138"/>
      <c r="I19" s="81"/>
      <c r="K19" s="1" t="s">
        <v>16</v>
      </c>
      <c r="L19" s="139">
        <f>+'Income Statement '!D6</f>
        <v>9328928.8800000008</v>
      </c>
      <c r="M19" s="1"/>
      <c r="O19" s="179"/>
    </row>
    <row r="20" spans="2:16" x14ac:dyDescent="0.35">
      <c r="B20" s="200" t="s">
        <v>49</v>
      </c>
      <c r="C20" s="203">
        <v>9663</v>
      </c>
      <c r="D20" s="203">
        <v>7996</v>
      </c>
      <c r="E20" s="100"/>
      <c r="G20" s="140" t="s">
        <v>24</v>
      </c>
      <c r="H20" s="141">
        <f>+'Debtors '!H177</f>
        <v>5628561.9100000001</v>
      </c>
      <c r="I20" s="81"/>
      <c r="K20" s="1" t="s">
        <v>1</v>
      </c>
      <c r="L20" s="139">
        <f>+'Income Statement '!D10-600000-85000</f>
        <v>7958547.2200000007</v>
      </c>
      <c r="M20" s="1"/>
      <c r="O20" t="s">
        <v>3016</v>
      </c>
      <c r="P20" s="179"/>
    </row>
    <row r="21" spans="2:16" x14ac:dyDescent="0.35">
      <c r="B21" s="200" t="s">
        <v>51</v>
      </c>
      <c r="C21" s="203">
        <v>14573</v>
      </c>
      <c r="D21" s="203">
        <v>13162</v>
      </c>
      <c r="E21" s="100"/>
      <c r="G21" s="140" t="s">
        <v>25</v>
      </c>
      <c r="H21" s="141">
        <f>+'Debtors '!G177</f>
        <v>2778610.7</v>
      </c>
      <c r="I21" s="81"/>
      <c r="K21" s="1" t="s">
        <v>17</v>
      </c>
      <c r="L21" s="139">
        <f>+L19-L20</f>
        <v>1370381.6600000001</v>
      </c>
      <c r="M21" s="142">
        <f>+L21/L19</f>
        <v>0.1468959274561433</v>
      </c>
    </row>
    <row r="22" spans="2:16" ht="15" thickBot="1" x14ac:dyDescent="0.4">
      <c r="B22" s="181" t="s">
        <v>44</v>
      </c>
      <c r="C22" s="219">
        <f>SUM(C19:C21)</f>
        <v>26938</v>
      </c>
      <c r="D22" s="220">
        <f>SUM(D19:D21)</f>
        <v>23574</v>
      </c>
      <c r="E22" s="100"/>
      <c r="G22" s="140" t="s">
        <v>26</v>
      </c>
      <c r="H22" s="141">
        <f>+'Debtors '!F177</f>
        <v>1093086.78</v>
      </c>
      <c r="I22" s="81"/>
      <c r="K22" s="1" t="s">
        <v>2</v>
      </c>
      <c r="L22" s="139">
        <f>+'Income Statement '!C13+'Income Statement '!C14</f>
        <v>280166.36</v>
      </c>
      <c r="M22" s="1"/>
    </row>
    <row r="23" spans="2:16" ht="15" thickBot="1" x14ac:dyDescent="0.4">
      <c r="B23" s="223"/>
      <c r="E23" s="100"/>
      <c r="G23" s="140" t="s">
        <v>30</v>
      </c>
      <c r="H23" s="141">
        <f>+'Debtors '!E177</f>
        <v>276517.89</v>
      </c>
      <c r="I23" s="81"/>
      <c r="K23" s="1" t="s">
        <v>3</v>
      </c>
      <c r="L23" s="143">
        <f>+'Income Statement '!D42</f>
        <v>953750.41</v>
      </c>
      <c r="M23" s="142">
        <f>L23/L19</f>
        <v>0.10223578958187962</v>
      </c>
    </row>
    <row r="24" spans="2:16" x14ac:dyDescent="0.35">
      <c r="B24" s="183" t="s">
        <v>19</v>
      </c>
      <c r="C24" s="184" t="s">
        <v>20</v>
      </c>
      <c r="D24" s="185" t="s">
        <v>21</v>
      </c>
      <c r="E24" s="100"/>
      <c r="G24" s="140" t="s">
        <v>32</v>
      </c>
      <c r="H24" s="141">
        <f>+'Debtors '!D177</f>
        <v>200499.67</v>
      </c>
      <c r="I24" s="81"/>
      <c r="K24" s="1" t="s">
        <v>18</v>
      </c>
      <c r="L24" s="143">
        <f>L21+L22-L23</f>
        <v>696797.61</v>
      </c>
      <c r="M24" s="142">
        <f>+L24/L19</f>
        <v>7.4692134430764348E-2</v>
      </c>
    </row>
    <row r="25" spans="2:16" ht="15" thickBot="1" x14ac:dyDescent="0.4">
      <c r="B25" s="186" t="s">
        <v>177</v>
      </c>
      <c r="C25" s="126">
        <v>2096.73</v>
      </c>
      <c r="D25" s="201">
        <v>507783.65</v>
      </c>
      <c r="E25" s="100"/>
      <c r="G25" s="144"/>
      <c r="H25" s="145">
        <f>SUM(H20:H24)</f>
        <v>9977276.9499999993</v>
      </c>
      <c r="J25" s="134"/>
      <c r="O25" s="171"/>
    </row>
    <row r="26" spans="2:16" ht="18" customHeight="1" thickBot="1" x14ac:dyDescent="0.4">
      <c r="B26" s="186" t="s">
        <v>178</v>
      </c>
      <c r="C26" s="126">
        <v>1132.23</v>
      </c>
      <c r="D26" s="201">
        <v>300040.95</v>
      </c>
      <c r="E26" s="100"/>
      <c r="K26" s="84" t="s">
        <v>38</v>
      </c>
    </row>
    <row r="27" spans="2:16" x14ac:dyDescent="0.35">
      <c r="B27" s="186" t="s">
        <v>179</v>
      </c>
      <c r="C27" s="126">
        <v>1078.98</v>
      </c>
      <c r="D27" s="201">
        <v>308631.8</v>
      </c>
      <c r="E27" s="100"/>
      <c r="G27" s="146" t="s">
        <v>23</v>
      </c>
      <c r="H27" s="138"/>
      <c r="I27" s="147"/>
      <c r="K27" s="1" t="s">
        <v>16</v>
      </c>
      <c r="L27" s="139">
        <f>+'Year to date'!D6</f>
        <v>26210086.030000001</v>
      </c>
      <c r="M27" s="1"/>
      <c r="O27" s="99"/>
    </row>
    <row r="28" spans="2:16" x14ac:dyDescent="0.35">
      <c r="B28" s="186" t="s">
        <v>180</v>
      </c>
      <c r="C28" s="126">
        <v>967.14</v>
      </c>
      <c r="D28" s="201">
        <v>336584.75</v>
      </c>
      <c r="E28" s="100"/>
      <c r="G28" s="140" t="s">
        <v>24</v>
      </c>
      <c r="H28" s="141">
        <f>+'Suppliers '!H17</f>
        <v>2599600.0499999998</v>
      </c>
      <c r="K28" s="1" t="s">
        <v>1</v>
      </c>
      <c r="L28" s="139">
        <f>+'Year to date'!D10</f>
        <v>22855532.859999999</v>
      </c>
      <c r="M28" s="1"/>
      <c r="O28" s="99" t="s">
        <v>3113</v>
      </c>
    </row>
    <row r="29" spans="2:16" x14ac:dyDescent="0.35">
      <c r="B29" s="186" t="s">
        <v>181</v>
      </c>
      <c r="C29" s="126">
        <v>816.29</v>
      </c>
      <c r="D29" s="201">
        <v>207347.1</v>
      </c>
      <c r="E29" s="100"/>
      <c r="G29" s="140" t="s">
        <v>25</v>
      </c>
      <c r="H29" s="141">
        <f>+'Suppliers '!G20</f>
        <v>0</v>
      </c>
      <c r="K29" s="1" t="s">
        <v>17</v>
      </c>
      <c r="L29" s="139">
        <f>L27-L28</f>
        <v>3354553.1700000018</v>
      </c>
      <c r="M29" s="142">
        <f>+L29/L27</f>
        <v>0.12798711023536466</v>
      </c>
      <c r="O29" s="99"/>
    </row>
    <row r="30" spans="2:16" x14ac:dyDescent="0.35">
      <c r="B30" s="186" t="s">
        <v>182</v>
      </c>
      <c r="C30" s="126">
        <v>787.87</v>
      </c>
      <c r="D30" s="201">
        <v>183644.35</v>
      </c>
      <c r="E30" s="100"/>
      <c r="G30" s="140" t="s">
        <v>26</v>
      </c>
      <c r="H30" s="141">
        <v>0</v>
      </c>
      <c r="K30" s="1" t="s">
        <v>2</v>
      </c>
      <c r="L30" s="139">
        <f>+'Year to date'!D16</f>
        <v>878329.36</v>
      </c>
      <c r="M30" s="1"/>
      <c r="O30" s="99"/>
    </row>
    <row r="31" spans="2:16" ht="15" thickBot="1" x14ac:dyDescent="0.4">
      <c r="B31" s="186" t="s">
        <v>183</v>
      </c>
      <c r="C31" s="126">
        <v>683.91</v>
      </c>
      <c r="D31" s="201">
        <v>174273.1</v>
      </c>
      <c r="E31" s="100"/>
      <c r="G31" s="148"/>
      <c r="H31" s="145">
        <f>SUM(H28:H30)</f>
        <v>2599600.0499999998</v>
      </c>
      <c r="K31" s="1" t="s">
        <v>3</v>
      </c>
      <c r="L31" s="139">
        <f>+'Year to date'!D44</f>
        <v>2860231.9</v>
      </c>
      <c r="M31" s="142">
        <f>L31/L27</f>
        <v>0.10912714657732087</v>
      </c>
      <c r="O31" s="99"/>
    </row>
    <row r="32" spans="2:16" ht="15" thickBot="1" x14ac:dyDescent="0.4">
      <c r="B32" s="186" t="s">
        <v>184</v>
      </c>
      <c r="C32" s="126">
        <v>629.04</v>
      </c>
      <c r="D32" s="201">
        <v>190119.2</v>
      </c>
      <c r="E32" s="100"/>
      <c r="K32" s="1" t="s">
        <v>18</v>
      </c>
      <c r="L32" s="139">
        <f>L29+L30-L31</f>
        <v>1372650.6300000022</v>
      </c>
      <c r="M32" s="142">
        <f>+L32/L27</f>
        <v>5.2371084491247742E-2</v>
      </c>
    </row>
    <row r="33" spans="2:16" ht="15" thickBot="1" x14ac:dyDescent="0.4">
      <c r="B33" s="186" t="s">
        <v>185</v>
      </c>
      <c r="C33" s="126">
        <v>574.4</v>
      </c>
      <c r="D33" s="201">
        <v>211188.95</v>
      </c>
      <c r="E33" s="100"/>
      <c r="G33" s="90" t="s">
        <v>28</v>
      </c>
      <c r="H33" s="82">
        <f>+M40</f>
        <v>26440667.421992406</v>
      </c>
      <c r="L33" s="99"/>
      <c r="M33" s="149"/>
    </row>
    <row r="34" spans="2:16" ht="15" thickBot="1" x14ac:dyDescent="0.4">
      <c r="B34" s="186" t="s">
        <v>186</v>
      </c>
      <c r="C34" s="126">
        <v>510.48</v>
      </c>
      <c r="D34" s="201">
        <v>211266.6</v>
      </c>
      <c r="E34" s="100"/>
      <c r="G34" s="80" t="s">
        <v>29</v>
      </c>
      <c r="H34" s="150">
        <f>+H25</f>
        <v>9977276.9499999993</v>
      </c>
      <c r="K34" s="240" t="s">
        <v>108</v>
      </c>
      <c r="L34" s="241"/>
      <c r="M34" s="242"/>
      <c r="O34" s="206"/>
    </row>
    <row r="35" spans="2:16" ht="15" thickBot="1" x14ac:dyDescent="0.4">
      <c r="B35" s="212"/>
      <c r="C35" s="215"/>
      <c r="D35" s="216"/>
      <c r="E35" s="100"/>
      <c r="G35" s="80"/>
      <c r="H35" s="151"/>
      <c r="K35" s="90"/>
      <c r="L35" s="152" t="s">
        <v>9</v>
      </c>
      <c r="M35" s="152" t="s">
        <v>21</v>
      </c>
      <c r="O35" s="198"/>
      <c r="P35" s="81"/>
    </row>
    <row r="36" spans="2:16" ht="15" thickBot="1" x14ac:dyDescent="0.4">
      <c r="B36" s="212" t="s">
        <v>52</v>
      </c>
      <c r="C36" s="213">
        <f>+C48</f>
        <v>0.34438331277393713</v>
      </c>
      <c r="D36" s="214"/>
      <c r="E36" s="100"/>
      <c r="G36" s="80" t="s">
        <v>31</v>
      </c>
      <c r="H36" s="153">
        <f>+L7+L6</f>
        <v>9221404.629999999</v>
      </c>
      <c r="K36" s="80" t="s">
        <v>48</v>
      </c>
      <c r="L36" s="154">
        <f>17224+56968+4055</f>
        <v>78247</v>
      </c>
      <c r="M36" s="155">
        <f>6053294+13449228+688425+336375</f>
        <v>20527322</v>
      </c>
      <c r="O36" s="171"/>
      <c r="P36" s="207"/>
    </row>
    <row r="37" spans="2:16" ht="15" thickBot="1" x14ac:dyDescent="0.4">
      <c r="B37" s="197" t="s">
        <v>3015</v>
      </c>
      <c r="C37" s="196" t="s">
        <v>3014</v>
      </c>
      <c r="D37" s="225">
        <v>482483</v>
      </c>
      <c r="E37" s="100"/>
      <c r="G37" s="80" t="s">
        <v>33</v>
      </c>
      <c r="H37" s="150">
        <f>-H31</f>
        <v>-2599600.0499999998</v>
      </c>
      <c r="K37" s="156" t="s">
        <v>40</v>
      </c>
      <c r="L37" s="157">
        <f>14304+1843+712</f>
        <v>16859</v>
      </c>
      <c r="M37" s="202">
        <f>2978120+619367+106800</f>
        <v>3704287</v>
      </c>
      <c r="O37" s="171">
        <f>+M37/L37</f>
        <v>219.72163236253633</v>
      </c>
      <c r="P37" s="81"/>
    </row>
    <row r="38" spans="2:16" x14ac:dyDescent="0.35">
      <c r="B38" s="80"/>
      <c r="E38" s="100"/>
      <c r="G38" s="80"/>
      <c r="H38" s="150"/>
      <c r="K38" s="80" t="s">
        <v>41</v>
      </c>
      <c r="L38" s="157">
        <v>4205</v>
      </c>
      <c r="M38" s="155">
        <v>999564.09</v>
      </c>
      <c r="O38" s="171"/>
      <c r="P38" s="81"/>
    </row>
    <row r="39" spans="2:16" x14ac:dyDescent="0.35">
      <c r="B39" s="80"/>
      <c r="E39" s="100"/>
      <c r="G39" s="80"/>
      <c r="H39" s="150"/>
      <c r="K39" s="156" t="s">
        <v>54</v>
      </c>
      <c r="L39" s="158"/>
      <c r="M39" s="159">
        <f>+[1]Gameskin!$F$52</f>
        <v>1209494.3319924069</v>
      </c>
      <c r="O39" s="171"/>
      <c r="P39" s="81"/>
    </row>
    <row r="40" spans="2:16" ht="15" thickBot="1" x14ac:dyDescent="0.4">
      <c r="B40" s="224"/>
      <c r="C40" s="166"/>
      <c r="D40" s="166"/>
      <c r="E40" s="193"/>
      <c r="G40" s="160" t="s">
        <v>35</v>
      </c>
      <c r="H40" s="161">
        <f>SUM(H33:H39)</f>
        <v>43039748.951992407</v>
      </c>
      <c r="K40" s="80"/>
      <c r="L40" s="162" t="s">
        <v>34</v>
      </c>
      <c r="M40" s="163">
        <f>SUM(M36:M39)</f>
        <v>26440667.421992406</v>
      </c>
      <c r="N40" s="164"/>
      <c r="O40" s="14"/>
    </row>
    <row r="41" spans="2:16" ht="15" thickBot="1" x14ac:dyDescent="0.4">
      <c r="K41" s="165"/>
      <c r="L41" s="166"/>
      <c r="M41" s="167"/>
      <c r="N41" s="81"/>
      <c r="O41" s="189"/>
    </row>
    <row r="42" spans="2:16" x14ac:dyDescent="0.35">
      <c r="D42" s="206">
        <f>+D37/D9</f>
        <v>5.1719013640931517E-2</v>
      </c>
      <c r="O42" s="168"/>
    </row>
    <row r="43" spans="2:16" ht="3.75" customHeight="1" x14ac:dyDescent="0.35">
      <c r="L43" s="198"/>
      <c r="M43" s="81"/>
    </row>
    <row r="44" spans="2:16" ht="16" x14ac:dyDescent="0.4">
      <c r="D44" s="81"/>
      <c r="K44" s="179">
        <f>+M40-M39</f>
        <v>25231173.09</v>
      </c>
      <c r="L44" s="198"/>
      <c r="M44" s="81"/>
      <c r="O44" s="231"/>
    </row>
    <row r="45" spans="2:16" x14ac:dyDescent="0.35">
      <c r="D45" s="179"/>
      <c r="E45" s="149"/>
      <c r="K45" s="171">
        <f>+L36+L37+L38</f>
        <v>99311</v>
      </c>
      <c r="L45" s="198"/>
      <c r="M45" s="81">
        <f>+'[2]Monthly sheet '!$M$40</f>
        <v>25469457.781992406</v>
      </c>
      <c r="O45" s="171"/>
    </row>
    <row r="46" spans="2:16" ht="23.25" customHeight="1" x14ac:dyDescent="0.35">
      <c r="C46" s="179"/>
      <c r="D46" s="179">
        <f>+D37/D9</f>
        <v>5.1719013640931517E-2</v>
      </c>
      <c r="J46" s="169"/>
      <c r="K46" s="171">
        <f>+K44/K45</f>
        <v>254.06221959299575</v>
      </c>
      <c r="L46" s="171"/>
      <c r="M46" s="207">
        <f>+M40-M45</f>
        <v>971209.6400000006</v>
      </c>
      <c r="O46" s="232"/>
    </row>
    <row r="47" spans="2:16" ht="15" customHeight="1" x14ac:dyDescent="0.35">
      <c r="C47" s="126">
        <f>+C25+C26+C27+C28+C29+C30+C32+C31+C33+C34</f>
        <v>9277.07</v>
      </c>
      <c r="D47" s="179">
        <f>+D25+D26+D27+D28+D29+D30+D31+D32+D33+D34</f>
        <v>2630880.4500000007</v>
      </c>
      <c r="I47" s="170"/>
      <c r="J47" s="169"/>
      <c r="L47" s="171"/>
      <c r="M47" s="81">
        <f>+L32+M46</f>
        <v>2343860.2700000028</v>
      </c>
      <c r="O47" s="126"/>
    </row>
    <row r="48" spans="2:16" ht="15" customHeight="1" x14ac:dyDescent="0.35">
      <c r="C48">
        <f>+C47/C11</f>
        <v>0.34438331277393713</v>
      </c>
      <c r="D48" s="179">
        <f>+D47/D11</f>
        <v>0.3020558094809806</v>
      </c>
      <c r="I48" s="170"/>
      <c r="J48" s="169"/>
      <c r="L48" s="233"/>
      <c r="M48" s="123"/>
      <c r="N48" s="81"/>
      <c r="P48" s="81"/>
    </row>
    <row r="49" spans="2:17" ht="15" customHeight="1" x14ac:dyDescent="0.35">
      <c r="D49" s="179">
        <f>+D37/D9</f>
        <v>5.1719013640931517E-2</v>
      </c>
      <c r="I49" s="170"/>
      <c r="J49" s="169"/>
      <c r="K49" s="126"/>
      <c r="L49" s="171"/>
      <c r="M49" s="81"/>
      <c r="N49" s="81"/>
      <c r="O49" s="179"/>
      <c r="P49" s="81"/>
    </row>
    <row r="50" spans="2:17" x14ac:dyDescent="0.35">
      <c r="B50" s="171"/>
      <c r="C50" s="171"/>
      <c r="D50" s="171"/>
      <c r="E50" s="149"/>
      <c r="J50" s="126"/>
      <c r="L50" s="198"/>
      <c r="M50" s="81"/>
      <c r="N50" s="99"/>
      <c r="O50" s="179"/>
    </row>
    <row r="51" spans="2:17" x14ac:dyDescent="0.35">
      <c r="G51" s="172"/>
      <c r="I51" s="83"/>
      <c r="K51" s="171"/>
      <c r="L51" s="171"/>
      <c r="M51" s="207"/>
      <c r="O51" s="179"/>
    </row>
    <row r="52" spans="2:17" x14ac:dyDescent="0.35">
      <c r="G52" s="172"/>
      <c r="H52" s="99"/>
      <c r="I52" s="173"/>
      <c r="L52" s="171"/>
      <c r="M52" s="81"/>
      <c r="O52" s="179"/>
    </row>
    <row r="53" spans="2:17" x14ac:dyDescent="0.35">
      <c r="G53" s="172"/>
      <c r="H53" s="99"/>
      <c r="I53" s="3"/>
      <c r="K53" s="171"/>
      <c r="L53" s="171"/>
      <c r="M53" s="81"/>
      <c r="O53" s="179"/>
    </row>
    <row r="54" spans="2:17" x14ac:dyDescent="0.35">
      <c r="D54" s="179"/>
      <c r="G54" s="172"/>
      <c r="H54" s="99"/>
      <c r="I54" s="173"/>
      <c r="L54" s="233"/>
      <c r="M54" s="123"/>
    </row>
    <row r="55" spans="2:17" x14ac:dyDescent="0.35">
      <c r="G55" s="172"/>
      <c r="H55" s="123"/>
      <c r="I55" s="147"/>
      <c r="L55" s="171"/>
      <c r="M55" s="81"/>
    </row>
    <row r="56" spans="2:17" x14ac:dyDescent="0.35">
      <c r="G56" s="172"/>
      <c r="H56" s="174"/>
      <c r="I56" s="147"/>
      <c r="L56" s="171"/>
      <c r="O56" s="235"/>
      <c r="P56" s="236"/>
      <c r="Q56" s="236"/>
    </row>
    <row r="57" spans="2:17" x14ac:dyDescent="0.35">
      <c r="G57" s="175"/>
      <c r="H57" s="176"/>
      <c r="L57" s="171"/>
      <c r="P57" s="86"/>
      <c r="Q57" s="86"/>
    </row>
    <row r="58" spans="2:17" ht="15.5" x14ac:dyDescent="0.35">
      <c r="G58" s="175"/>
      <c r="H58" s="177"/>
      <c r="L58" s="126"/>
      <c r="M58" s="171"/>
      <c r="O58" s="217"/>
      <c r="P58" s="198"/>
      <c r="Q58" s="81"/>
    </row>
    <row r="59" spans="2:17" ht="15.5" x14ac:dyDescent="0.35">
      <c r="D59" s="179"/>
      <c r="O59" s="218"/>
      <c r="P59" s="171"/>
      <c r="Q59" s="81"/>
    </row>
    <row r="60" spans="2:17" x14ac:dyDescent="0.35">
      <c r="L60" s="126"/>
      <c r="O60" s="171"/>
      <c r="P60" s="171"/>
      <c r="Q60" s="81"/>
    </row>
    <row r="61" spans="2:17" x14ac:dyDescent="0.35">
      <c r="O61" s="171"/>
      <c r="P61" s="171"/>
      <c r="Q61" s="81"/>
    </row>
    <row r="62" spans="2:17" x14ac:dyDescent="0.35">
      <c r="P62" s="204"/>
      <c r="Q62" s="123"/>
    </row>
    <row r="63" spans="2:17" x14ac:dyDescent="0.35">
      <c r="L63" s="126"/>
      <c r="O63" s="171"/>
      <c r="Q63" s="99"/>
    </row>
  </sheetData>
  <mergeCells count="5">
    <mergeCell ref="O56:Q56"/>
    <mergeCell ref="B4:D4"/>
    <mergeCell ref="K34:M34"/>
    <mergeCell ref="G4:H4"/>
    <mergeCell ref="B16:D16"/>
  </mergeCells>
  <pageMargins left="0.51181102362204722" right="0.31496062992125984" top="0.35433070866141736" bottom="0.15748031496062992" header="0" footer="0"/>
  <pageSetup paperSize="9" scale="66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opLeftCell="A19" workbookViewId="0">
      <selection sqref="A1:E44"/>
    </sheetView>
  </sheetViews>
  <sheetFormatPr defaultRowHeight="14.5" x14ac:dyDescent="0.35"/>
  <cols>
    <col min="1" max="1" width="62.1796875" bestFit="1" customWidth="1"/>
    <col min="2" max="2" width="33.08984375" bestFit="1" customWidth="1"/>
  </cols>
  <sheetData>
    <row r="1" spans="1:5" x14ac:dyDescent="0.35">
      <c r="A1" s="178" t="s">
        <v>56</v>
      </c>
    </row>
    <row r="2" spans="1:5" x14ac:dyDescent="0.35">
      <c r="A2" s="178" t="s">
        <v>3020</v>
      </c>
    </row>
    <row r="3" spans="1:5" x14ac:dyDescent="0.35">
      <c r="A3" s="178" t="s">
        <v>57</v>
      </c>
      <c r="B3" s="178" t="s">
        <v>57</v>
      </c>
      <c r="C3" s="178" t="s">
        <v>57</v>
      </c>
    </row>
    <row r="4" spans="1:5" x14ac:dyDescent="0.35">
      <c r="A4" s="178" t="s">
        <v>3021</v>
      </c>
      <c r="B4" s="178" t="s">
        <v>57</v>
      </c>
      <c r="C4" s="178" t="s">
        <v>57</v>
      </c>
    </row>
    <row r="5" spans="1:5" x14ac:dyDescent="0.35">
      <c r="A5" s="178" t="s">
        <v>3022</v>
      </c>
      <c r="B5" s="178" t="s">
        <v>57</v>
      </c>
      <c r="C5" s="178" t="s">
        <v>57</v>
      </c>
    </row>
    <row r="6" spans="1:5" x14ac:dyDescent="0.35">
      <c r="A6" s="178" t="s">
        <v>57</v>
      </c>
      <c r="B6" s="178" t="s">
        <v>57</v>
      </c>
      <c r="C6" s="178" t="s">
        <v>57</v>
      </c>
    </row>
    <row r="7" spans="1:5" x14ac:dyDescent="0.35">
      <c r="A7" s="178" t="s">
        <v>3023</v>
      </c>
      <c r="B7" s="178" t="s">
        <v>57</v>
      </c>
      <c r="C7" s="178" t="s">
        <v>57</v>
      </c>
    </row>
    <row r="8" spans="1:5" x14ac:dyDescent="0.35">
      <c r="A8" s="178" t="s">
        <v>57</v>
      </c>
      <c r="B8" s="178" t="s">
        <v>3024</v>
      </c>
      <c r="C8">
        <v>100</v>
      </c>
      <c r="D8">
        <v>100</v>
      </c>
    </row>
    <row r="9" spans="1:5" x14ac:dyDescent="0.35">
      <c r="A9" s="178" t="s">
        <v>3025</v>
      </c>
      <c r="B9" s="178" t="s">
        <v>57</v>
      </c>
      <c r="C9" s="178" t="s">
        <v>57</v>
      </c>
    </row>
    <row r="10" spans="1:5" x14ac:dyDescent="0.35">
      <c r="A10" s="178" t="s">
        <v>57</v>
      </c>
      <c r="B10" s="178" t="s">
        <v>3026</v>
      </c>
      <c r="C10">
        <v>33130566.18</v>
      </c>
      <c r="D10" s="178" t="s">
        <v>57</v>
      </c>
    </row>
    <row r="11" spans="1:5" x14ac:dyDescent="0.35">
      <c r="A11" s="178" t="s">
        <v>57</v>
      </c>
      <c r="B11" s="178" t="s">
        <v>3027</v>
      </c>
      <c r="C11">
        <v>1372650.6300000099</v>
      </c>
      <c r="D11">
        <v>34503216.810000002</v>
      </c>
      <c r="E11">
        <v>34503316.810000002</v>
      </c>
    </row>
    <row r="12" spans="1:5" x14ac:dyDescent="0.35">
      <c r="A12" s="178" t="s">
        <v>57</v>
      </c>
      <c r="B12" s="178" t="s">
        <v>57</v>
      </c>
      <c r="C12" s="178" t="s">
        <v>57</v>
      </c>
    </row>
    <row r="13" spans="1:5" x14ac:dyDescent="0.35">
      <c r="A13" s="178" t="s">
        <v>3028</v>
      </c>
      <c r="B13" s="178" t="s">
        <v>57</v>
      </c>
      <c r="C13" s="178" t="s">
        <v>57</v>
      </c>
    </row>
    <row r="14" spans="1:5" x14ac:dyDescent="0.35">
      <c r="A14" s="178" t="s">
        <v>3029</v>
      </c>
      <c r="B14" s="178" t="s">
        <v>57</v>
      </c>
      <c r="C14" s="178" t="s">
        <v>57</v>
      </c>
    </row>
    <row r="15" spans="1:5" x14ac:dyDescent="0.35">
      <c r="A15" s="178" t="s">
        <v>57</v>
      </c>
      <c r="B15" s="178" t="s">
        <v>57</v>
      </c>
      <c r="C15" s="178" t="s">
        <v>57</v>
      </c>
    </row>
    <row r="16" spans="1:5" x14ac:dyDescent="0.35">
      <c r="A16" s="178" t="s">
        <v>57</v>
      </c>
      <c r="B16" s="178" t="s">
        <v>57</v>
      </c>
      <c r="C16" s="178" t="s">
        <v>57</v>
      </c>
      <c r="D16">
        <v>34503316.810000002</v>
      </c>
    </row>
    <row r="17" spans="1:5" x14ac:dyDescent="0.35">
      <c r="A17" s="178" t="s">
        <v>3030</v>
      </c>
      <c r="B17" s="178" t="s">
        <v>57</v>
      </c>
      <c r="C17" s="178" t="s">
        <v>57</v>
      </c>
    </row>
    <row r="18" spans="1:5" x14ac:dyDescent="0.35">
      <c r="A18" s="178" t="s">
        <v>57</v>
      </c>
      <c r="B18" s="178" t="s">
        <v>3031</v>
      </c>
      <c r="C18">
        <v>2851.61</v>
      </c>
      <c r="D18" s="178" t="s">
        <v>57</v>
      </c>
    </row>
    <row r="19" spans="1:5" x14ac:dyDescent="0.35">
      <c r="A19" s="178" t="s">
        <v>57</v>
      </c>
      <c r="B19" s="178" t="s">
        <v>3032</v>
      </c>
      <c r="C19">
        <v>53830.66</v>
      </c>
      <c r="D19" s="178" t="s">
        <v>57</v>
      </c>
    </row>
    <row r="20" spans="1:5" x14ac:dyDescent="0.35">
      <c r="A20" s="178" t="s">
        <v>57</v>
      </c>
      <c r="B20" s="178" t="s">
        <v>3033</v>
      </c>
      <c r="C20">
        <v>2599600.0499999998</v>
      </c>
      <c r="D20" s="178" t="s">
        <v>57</v>
      </c>
    </row>
    <row r="21" spans="1:5" x14ac:dyDescent="0.35">
      <c r="A21" s="178" t="s">
        <v>57</v>
      </c>
      <c r="B21" s="178" t="s">
        <v>3034</v>
      </c>
      <c r="C21">
        <v>100754.87</v>
      </c>
      <c r="D21" s="178" t="s">
        <v>57</v>
      </c>
    </row>
    <row r="22" spans="1:5" x14ac:dyDescent="0.35">
      <c r="A22" s="178" t="s">
        <v>57</v>
      </c>
      <c r="B22" s="178" t="s">
        <v>3035</v>
      </c>
      <c r="C22">
        <v>83312.25</v>
      </c>
      <c r="D22">
        <v>2840349.44</v>
      </c>
      <c r="E22">
        <v>2840349.44</v>
      </c>
    </row>
    <row r="23" spans="1:5" x14ac:dyDescent="0.35">
      <c r="A23" s="178" t="s">
        <v>3036</v>
      </c>
      <c r="B23" s="178" t="s">
        <v>57</v>
      </c>
      <c r="C23" s="178" t="s">
        <v>57</v>
      </c>
      <c r="D23">
        <v>37343666.25</v>
      </c>
    </row>
    <row r="24" spans="1:5" x14ac:dyDescent="0.35">
      <c r="A24" s="178" t="s">
        <v>57</v>
      </c>
      <c r="B24" s="178" t="s">
        <v>57</v>
      </c>
      <c r="C24" s="178" t="s">
        <v>57</v>
      </c>
    </row>
    <row r="25" spans="1:5" x14ac:dyDescent="0.35">
      <c r="A25" s="178" t="s">
        <v>3037</v>
      </c>
      <c r="B25" s="178" t="s">
        <v>57</v>
      </c>
      <c r="C25" s="178" t="s">
        <v>57</v>
      </c>
    </row>
    <row r="26" spans="1:5" x14ac:dyDescent="0.35">
      <c r="A26" s="178" t="s">
        <v>3038</v>
      </c>
      <c r="B26" s="178" t="s">
        <v>57</v>
      </c>
      <c r="C26" s="178" t="s">
        <v>57</v>
      </c>
    </row>
    <row r="27" spans="1:5" x14ac:dyDescent="0.35">
      <c r="A27" s="178" t="s">
        <v>57</v>
      </c>
      <c r="B27" s="178" t="s">
        <v>57</v>
      </c>
      <c r="C27" s="178" t="s">
        <v>57</v>
      </c>
    </row>
    <row r="28" spans="1:5" x14ac:dyDescent="0.35">
      <c r="A28" s="178" t="s">
        <v>3039</v>
      </c>
      <c r="B28" s="178" t="s">
        <v>57</v>
      </c>
      <c r="C28" s="178" t="s">
        <v>57</v>
      </c>
    </row>
    <row r="29" spans="1:5" x14ac:dyDescent="0.35">
      <c r="A29" s="178" t="s">
        <v>57</v>
      </c>
      <c r="B29" s="178" t="s">
        <v>3040</v>
      </c>
      <c r="C29">
        <v>1438086.08</v>
      </c>
      <c r="D29" s="178" t="s">
        <v>57</v>
      </c>
    </row>
    <row r="30" spans="1:5" x14ac:dyDescent="0.35">
      <c r="A30" s="178" t="s">
        <v>57</v>
      </c>
      <c r="B30" s="178" t="s">
        <v>3041</v>
      </c>
      <c r="C30">
        <v>49169.98</v>
      </c>
      <c r="D30" s="178" t="s">
        <v>57</v>
      </c>
    </row>
    <row r="31" spans="1:5" x14ac:dyDescent="0.35">
      <c r="A31" s="178" t="s">
        <v>57</v>
      </c>
      <c r="B31" s="178" t="s">
        <v>3042</v>
      </c>
      <c r="C31">
        <v>16195.62</v>
      </c>
      <c r="D31">
        <v>1503451.68</v>
      </c>
      <c r="E31">
        <v>1503451.68</v>
      </c>
    </row>
    <row r="32" spans="1:5" x14ac:dyDescent="0.35">
      <c r="A32" s="178" t="s">
        <v>3043</v>
      </c>
      <c r="B32" s="178" t="s">
        <v>57</v>
      </c>
      <c r="C32" s="178" t="s">
        <v>57</v>
      </c>
    </row>
    <row r="33" spans="1:5" x14ac:dyDescent="0.35">
      <c r="A33" s="178" t="s">
        <v>57</v>
      </c>
      <c r="B33" s="178" t="s">
        <v>3044</v>
      </c>
      <c r="C33" s="178" t="s">
        <v>57</v>
      </c>
      <c r="D33" s="178" t="s">
        <v>57</v>
      </c>
    </row>
    <row r="34" spans="1:5" x14ac:dyDescent="0.35">
      <c r="A34" s="178" t="s">
        <v>57</v>
      </c>
      <c r="B34" s="178" t="s">
        <v>57</v>
      </c>
      <c r="C34" s="178" t="s">
        <v>3044</v>
      </c>
      <c r="D34">
        <v>12760583.699999999</v>
      </c>
      <c r="E34" s="178" t="s">
        <v>57</v>
      </c>
    </row>
    <row r="35" spans="1:5" x14ac:dyDescent="0.35">
      <c r="A35" s="178" t="s">
        <v>57</v>
      </c>
      <c r="B35" s="178" t="s">
        <v>3045</v>
      </c>
      <c r="C35">
        <v>28882.2</v>
      </c>
      <c r="D35" s="178" t="s">
        <v>57</v>
      </c>
    </row>
    <row r="36" spans="1:5" x14ac:dyDescent="0.35">
      <c r="A36" s="178" t="s">
        <v>57</v>
      </c>
      <c r="B36" s="178" t="s">
        <v>3046</v>
      </c>
      <c r="C36">
        <v>1526847.65</v>
      </c>
      <c r="D36" s="178" t="s">
        <v>57</v>
      </c>
    </row>
    <row r="37" spans="1:5" x14ac:dyDescent="0.35">
      <c r="A37" s="178" t="s">
        <v>57</v>
      </c>
      <c r="B37" s="178" t="s">
        <v>3047</v>
      </c>
      <c r="C37">
        <v>9724487.1300000008</v>
      </c>
      <c r="D37" s="178" t="s">
        <v>57</v>
      </c>
    </row>
    <row r="38" spans="1:5" x14ac:dyDescent="0.35">
      <c r="A38" s="178" t="s">
        <v>57</v>
      </c>
      <c r="B38" s="178" t="s">
        <v>3048</v>
      </c>
      <c r="C38">
        <v>1922533.49</v>
      </c>
      <c r="D38" s="178" t="s">
        <v>57</v>
      </c>
    </row>
    <row r="39" spans="1:5" x14ac:dyDescent="0.35">
      <c r="A39" s="178" t="s">
        <v>57</v>
      </c>
      <c r="B39" s="178" t="s">
        <v>3049</v>
      </c>
      <c r="C39">
        <v>7298871.1399999997</v>
      </c>
      <c r="D39" s="178" t="s">
        <v>57</v>
      </c>
    </row>
    <row r="40" spans="1:5" x14ac:dyDescent="0.35">
      <c r="A40" s="178" t="s">
        <v>57</v>
      </c>
      <c r="B40" s="178" t="s">
        <v>3050</v>
      </c>
      <c r="C40">
        <v>5331.85</v>
      </c>
      <c r="D40" s="178" t="s">
        <v>57</v>
      </c>
    </row>
    <row r="41" spans="1:5" x14ac:dyDescent="0.35">
      <c r="A41" s="178" t="s">
        <v>57</v>
      </c>
      <c r="B41" s="178" t="s">
        <v>3051</v>
      </c>
      <c r="C41">
        <v>42070.69</v>
      </c>
      <c r="D41" s="178" t="s">
        <v>57</v>
      </c>
    </row>
    <row r="42" spans="1:5" x14ac:dyDescent="0.35">
      <c r="A42" s="178" t="s">
        <v>57</v>
      </c>
      <c r="B42" s="178" t="s">
        <v>3052</v>
      </c>
      <c r="C42">
        <v>80463.899999999994</v>
      </c>
      <c r="D42" s="178" t="s">
        <v>57</v>
      </c>
    </row>
    <row r="43" spans="1:5" x14ac:dyDescent="0.35">
      <c r="A43" s="178" t="s">
        <v>57</v>
      </c>
      <c r="B43" s="178" t="s">
        <v>3053</v>
      </c>
      <c r="C43">
        <v>2450142.8199999998</v>
      </c>
      <c r="D43">
        <v>35840214.57</v>
      </c>
      <c r="E43">
        <v>35840214.57</v>
      </c>
    </row>
    <row r="44" spans="1:5" x14ac:dyDescent="0.35">
      <c r="A44" s="178" t="s">
        <v>3054</v>
      </c>
      <c r="B44" s="178" t="s">
        <v>57</v>
      </c>
      <c r="C44" s="178" t="s">
        <v>57</v>
      </c>
      <c r="D44">
        <v>37343666.25</v>
      </c>
    </row>
    <row r="45" spans="1:5" x14ac:dyDescent="0.35">
      <c r="A45" s="178"/>
      <c r="B45" s="178"/>
    </row>
    <row r="46" spans="1:5" x14ac:dyDescent="0.35">
      <c r="A46" s="178"/>
      <c r="B46" s="178"/>
      <c r="C46" s="178"/>
    </row>
    <row r="47" spans="1:5" x14ac:dyDescent="0.35">
      <c r="A47" s="178"/>
      <c r="B47" s="178"/>
      <c r="D47" s="178"/>
    </row>
    <row r="48" spans="1:5" x14ac:dyDescent="0.35">
      <c r="A48" s="178"/>
      <c r="B48" s="178"/>
      <c r="D48" s="178"/>
    </row>
    <row r="49" spans="1:3" x14ac:dyDescent="0.35">
      <c r="A49" s="178"/>
      <c r="B49" s="178"/>
    </row>
    <row r="50" spans="1:3" x14ac:dyDescent="0.35">
      <c r="A50" s="178"/>
      <c r="B50" s="178"/>
      <c r="C50" s="1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46"/>
  <sheetViews>
    <sheetView topLeftCell="A13" workbookViewId="0">
      <selection activeCell="E10" sqref="E10"/>
    </sheetView>
  </sheetViews>
  <sheetFormatPr defaultRowHeight="14.5" x14ac:dyDescent="0.35"/>
  <cols>
    <col min="1" max="1" width="27.453125" customWidth="1"/>
    <col min="2" max="2" width="25.1796875" bestFit="1" customWidth="1"/>
    <col min="3" max="4" width="16.81640625" style="179" customWidth="1"/>
  </cols>
  <sheetData>
    <row r="1" spans="1:4" x14ac:dyDescent="0.35">
      <c r="A1" s="178" t="s">
        <v>56</v>
      </c>
      <c r="C1"/>
      <c r="D1"/>
    </row>
    <row r="2" spans="1:4" x14ac:dyDescent="0.35">
      <c r="A2" s="178" t="s">
        <v>2974</v>
      </c>
      <c r="C2"/>
      <c r="D2"/>
    </row>
    <row r="3" spans="1:4" x14ac:dyDescent="0.35">
      <c r="A3" s="178" t="s">
        <v>0</v>
      </c>
      <c r="C3"/>
      <c r="D3"/>
    </row>
    <row r="4" spans="1:4" x14ac:dyDescent="0.35">
      <c r="A4" s="178" t="s">
        <v>57</v>
      </c>
      <c r="B4" s="178" t="s">
        <v>2975</v>
      </c>
      <c r="C4">
        <v>9189378.9600000009</v>
      </c>
      <c r="D4"/>
    </row>
    <row r="5" spans="1:4" x14ac:dyDescent="0.35">
      <c r="A5" s="178" t="s">
        <v>57</v>
      </c>
      <c r="B5" s="178" t="s">
        <v>2976</v>
      </c>
      <c r="C5">
        <v>5027.5</v>
      </c>
      <c r="D5"/>
    </row>
    <row r="6" spans="1:4" x14ac:dyDescent="0.35">
      <c r="A6" s="178" t="s">
        <v>57</v>
      </c>
      <c r="B6" s="178" t="s">
        <v>2977</v>
      </c>
      <c r="C6">
        <v>134522.42000000001</v>
      </c>
      <c r="D6">
        <v>9328928.8800000008</v>
      </c>
    </row>
    <row r="7" spans="1:4" x14ac:dyDescent="0.35">
      <c r="A7" s="178" t="s">
        <v>1</v>
      </c>
      <c r="C7"/>
      <c r="D7"/>
    </row>
    <row r="8" spans="1:4" x14ac:dyDescent="0.35">
      <c r="A8" s="178" t="s">
        <v>57</v>
      </c>
      <c r="B8" s="178" t="s">
        <v>2978</v>
      </c>
      <c r="C8">
        <v>8442947.3699999992</v>
      </c>
      <c r="D8"/>
    </row>
    <row r="9" spans="1:4" x14ac:dyDescent="0.35">
      <c r="A9" s="178" t="s">
        <v>57</v>
      </c>
      <c r="B9" s="178" t="s">
        <v>2979</v>
      </c>
      <c r="C9">
        <v>75013.33</v>
      </c>
      <c r="D9"/>
    </row>
    <row r="10" spans="1:4" x14ac:dyDescent="0.35">
      <c r="A10" s="178" t="s">
        <v>57</v>
      </c>
      <c r="B10" s="178" t="s">
        <v>2980</v>
      </c>
      <c r="C10">
        <v>125586.52</v>
      </c>
      <c r="D10">
        <v>8643547.2200000007</v>
      </c>
    </row>
    <row r="11" spans="1:4" x14ac:dyDescent="0.35">
      <c r="A11" s="178" t="s">
        <v>2981</v>
      </c>
      <c r="B11" s="178" t="s">
        <v>57</v>
      </c>
      <c r="C11">
        <v>685381.66000000201</v>
      </c>
      <c r="D11"/>
    </row>
    <row r="12" spans="1:4" x14ac:dyDescent="0.35">
      <c r="A12" s="178" t="s">
        <v>2</v>
      </c>
      <c r="C12"/>
      <c r="D12"/>
    </row>
    <row r="13" spans="1:4" x14ac:dyDescent="0.35">
      <c r="A13" s="178" t="s">
        <v>57</v>
      </c>
      <c r="B13" s="178" t="s">
        <v>2982</v>
      </c>
      <c r="C13">
        <v>270351.35999999999</v>
      </c>
      <c r="D13"/>
    </row>
    <row r="14" spans="1:4" x14ac:dyDescent="0.35">
      <c r="A14" s="178" t="s">
        <v>57</v>
      </c>
      <c r="B14" s="178" t="s">
        <v>2983</v>
      </c>
      <c r="C14">
        <v>9815</v>
      </c>
      <c r="D14"/>
    </row>
    <row r="15" spans="1:4" x14ac:dyDescent="0.35">
      <c r="A15" s="178" t="s">
        <v>57</v>
      </c>
      <c r="B15" s="178" t="s">
        <v>2984</v>
      </c>
      <c r="C15">
        <v>-200308.67</v>
      </c>
      <c r="D15">
        <v>79857.69</v>
      </c>
    </row>
    <row r="16" spans="1:4" x14ac:dyDescent="0.35">
      <c r="A16" s="178" t="s">
        <v>57</v>
      </c>
      <c r="B16" s="178" t="s">
        <v>57</v>
      </c>
      <c r="C16">
        <v>765239.35000000196</v>
      </c>
      <c r="D16"/>
    </row>
    <row r="17" spans="1:3" x14ac:dyDescent="0.35">
      <c r="A17" s="178" t="s">
        <v>3</v>
      </c>
      <c r="C17"/>
    </row>
    <row r="18" spans="1:3" x14ac:dyDescent="0.35">
      <c r="A18" s="178" t="s">
        <v>57</v>
      </c>
      <c r="B18" s="178" t="s">
        <v>2985</v>
      </c>
      <c r="C18">
        <v>5958.33</v>
      </c>
    </row>
    <row r="19" spans="1:3" x14ac:dyDescent="0.35">
      <c r="A19" s="178" t="s">
        <v>57</v>
      </c>
      <c r="B19" s="178" t="s">
        <v>2986</v>
      </c>
      <c r="C19">
        <v>3078.6</v>
      </c>
    </row>
    <row r="20" spans="1:3" x14ac:dyDescent="0.35">
      <c r="A20" s="178" t="s">
        <v>57</v>
      </c>
      <c r="B20" s="178" t="s">
        <v>2987</v>
      </c>
      <c r="C20">
        <v>4336.58</v>
      </c>
    </row>
    <row r="21" spans="1:3" x14ac:dyDescent="0.35">
      <c r="A21" s="178" t="s">
        <v>57</v>
      </c>
      <c r="B21" s="178" t="s">
        <v>2988</v>
      </c>
      <c r="C21">
        <v>1050.58</v>
      </c>
    </row>
    <row r="22" spans="1:3" x14ac:dyDescent="0.35">
      <c r="A22" s="178" t="s">
        <v>57</v>
      </c>
      <c r="B22" s="178" t="s">
        <v>2989</v>
      </c>
      <c r="C22">
        <v>9289.67</v>
      </c>
    </row>
    <row r="23" spans="1:3" x14ac:dyDescent="0.35">
      <c r="A23" s="178" t="s">
        <v>57</v>
      </c>
      <c r="B23" s="178" t="s">
        <v>2990</v>
      </c>
      <c r="C23">
        <v>13086.88</v>
      </c>
    </row>
    <row r="24" spans="1:3" x14ac:dyDescent="0.35">
      <c r="A24" s="178" t="s">
        <v>57</v>
      </c>
      <c r="B24" s="178" t="s">
        <v>2991</v>
      </c>
      <c r="C24">
        <v>15832.6</v>
      </c>
    </row>
    <row r="25" spans="1:3" x14ac:dyDescent="0.35">
      <c r="A25" s="178" t="s">
        <v>57</v>
      </c>
      <c r="B25" s="178" t="s">
        <v>2992</v>
      </c>
      <c r="C25">
        <v>-37.43</v>
      </c>
    </row>
    <row r="26" spans="1:3" x14ac:dyDescent="0.35">
      <c r="A26" s="178" t="s">
        <v>57</v>
      </c>
      <c r="B26" s="178" t="s">
        <v>2993</v>
      </c>
      <c r="C26">
        <v>10119.030000000001</v>
      </c>
    </row>
    <row r="27" spans="1:3" x14ac:dyDescent="0.35">
      <c r="A27" s="178" t="s">
        <v>57</v>
      </c>
      <c r="B27" s="178" t="s">
        <v>2994</v>
      </c>
      <c r="C27">
        <v>9129</v>
      </c>
    </row>
    <row r="28" spans="1:3" x14ac:dyDescent="0.35">
      <c r="A28" s="178" t="s">
        <v>57</v>
      </c>
      <c r="B28" s="178" t="s">
        <v>2995</v>
      </c>
      <c r="C28">
        <v>29342.51</v>
      </c>
    </row>
    <row r="29" spans="1:3" x14ac:dyDescent="0.35">
      <c r="A29" s="178" t="s">
        <v>57</v>
      </c>
      <c r="B29" s="178" t="s">
        <v>2996</v>
      </c>
      <c r="C29">
        <v>744.13</v>
      </c>
    </row>
    <row r="30" spans="1:3" x14ac:dyDescent="0.35">
      <c r="A30" s="178" t="s">
        <v>57</v>
      </c>
      <c r="B30" s="178" t="s">
        <v>2997</v>
      </c>
      <c r="C30">
        <v>5185</v>
      </c>
    </row>
    <row r="31" spans="1:3" x14ac:dyDescent="0.35">
      <c r="A31" s="178" t="s">
        <v>57</v>
      </c>
      <c r="B31" s="178" t="s">
        <v>2998</v>
      </c>
      <c r="C31">
        <v>61004.98</v>
      </c>
    </row>
    <row r="32" spans="1:3" x14ac:dyDescent="0.35">
      <c r="A32" s="178" t="s">
        <v>57</v>
      </c>
      <c r="B32" s="178" t="s">
        <v>2999</v>
      </c>
      <c r="C32">
        <v>6857.33</v>
      </c>
    </row>
    <row r="33" spans="1:4" x14ac:dyDescent="0.35">
      <c r="A33" s="178" t="s">
        <v>57</v>
      </c>
      <c r="B33" s="178" t="s">
        <v>3000</v>
      </c>
      <c r="C33">
        <v>131914.43</v>
      </c>
      <c r="D33"/>
    </row>
    <row r="34" spans="1:4" x14ac:dyDescent="0.35">
      <c r="A34" s="178" t="s">
        <v>57</v>
      </c>
      <c r="B34" s="178" t="s">
        <v>3001</v>
      </c>
      <c r="C34">
        <v>928.4</v>
      </c>
      <c r="D34"/>
    </row>
    <row r="35" spans="1:4" x14ac:dyDescent="0.35">
      <c r="A35" s="178" t="s">
        <v>57</v>
      </c>
      <c r="B35" s="178" t="s">
        <v>3002</v>
      </c>
      <c r="C35">
        <v>27836.25</v>
      </c>
      <c r="D35"/>
    </row>
    <row r="36" spans="1:4" x14ac:dyDescent="0.35">
      <c r="A36" s="178" t="s">
        <v>57</v>
      </c>
      <c r="B36" s="178" t="s">
        <v>3003</v>
      </c>
      <c r="C36">
        <v>455093.49</v>
      </c>
      <c r="D36"/>
    </row>
    <row r="37" spans="1:4" x14ac:dyDescent="0.35">
      <c r="A37" s="178" t="s">
        <v>57</v>
      </c>
      <c r="B37" s="178" t="s">
        <v>3004</v>
      </c>
      <c r="C37">
        <v>100754.87</v>
      </c>
      <c r="D37"/>
    </row>
    <row r="38" spans="1:4" x14ac:dyDescent="0.35">
      <c r="A38" s="178" t="s">
        <v>57</v>
      </c>
      <c r="B38" s="178" t="s">
        <v>3005</v>
      </c>
      <c r="C38">
        <v>746.41</v>
      </c>
      <c r="D38"/>
    </row>
    <row r="39" spans="1:4" x14ac:dyDescent="0.35">
      <c r="A39" s="178" t="s">
        <v>57</v>
      </c>
      <c r="B39" s="178" t="s">
        <v>3006</v>
      </c>
      <c r="C39">
        <v>403.41</v>
      </c>
      <c r="D39"/>
    </row>
    <row r="40" spans="1:4" x14ac:dyDescent="0.35">
      <c r="A40" s="178" t="s">
        <v>57</v>
      </c>
      <c r="B40" s="178" t="s">
        <v>3007</v>
      </c>
      <c r="C40">
        <v>3519.04</v>
      </c>
      <c r="D40"/>
    </row>
    <row r="41" spans="1:4" x14ac:dyDescent="0.35">
      <c r="A41" s="178" t="s">
        <v>57</v>
      </c>
      <c r="B41" s="178" t="s">
        <v>3008</v>
      </c>
      <c r="C41">
        <v>14271.5</v>
      </c>
      <c r="D41"/>
    </row>
    <row r="42" spans="1:4" x14ac:dyDescent="0.35">
      <c r="A42" s="178" t="s">
        <v>57</v>
      </c>
      <c r="B42" s="178" t="s">
        <v>3009</v>
      </c>
      <c r="C42">
        <v>43304.82</v>
      </c>
      <c r="D42">
        <v>953750.41</v>
      </c>
    </row>
    <row r="43" spans="1:4" x14ac:dyDescent="0.35">
      <c r="A43" s="178" t="s">
        <v>3010</v>
      </c>
      <c r="B43" s="178" t="s">
        <v>57</v>
      </c>
      <c r="C43">
        <v>-188511.05999999799</v>
      </c>
      <c r="D43"/>
    </row>
    <row r="44" spans="1:4" x14ac:dyDescent="0.35">
      <c r="A44" s="178" t="s">
        <v>3011</v>
      </c>
      <c r="C44"/>
      <c r="D44"/>
    </row>
    <row r="45" spans="1:4" x14ac:dyDescent="0.35">
      <c r="A45" s="178" t="s">
        <v>3012</v>
      </c>
      <c r="C45"/>
      <c r="D45"/>
    </row>
    <row r="46" spans="1:4" x14ac:dyDescent="0.35">
      <c r="A46" s="178" t="s">
        <v>3013</v>
      </c>
      <c r="B46" s="178" t="s">
        <v>57</v>
      </c>
      <c r="C46">
        <v>-188511.05999999799</v>
      </c>
      <c r="D46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8"/>
  <sheetViews>
    <sheetView topLeftCell="A4" workbookViewId="0">
      <selection activeCell="F14" sqref="F14"/>
    </sheetView>
  </sheetViews>
  <sheetFormatPr defaultRowHeight="14.5" x14ac:dyDescent="0.35"/>
  <cols>
    <col min="2" max="2" width="25.1796875" bestFit="1" customWidth="1"/>
    <col min="3" max="4" width="13.453125" style="179" bestFit="1" customWidth="1"/>
  </cols>
  <sheetData>
    <row r="1" spans="1:4" x14ac:dyDescent="0.35">
      <c r="A1" s="178" t="s">
        <v>56</v>
      </c>
    </row>
    <row r="2" spans="1:4" x14ac:dyDescent="0.35">
      <c r="A2" s="178" t="s">
        <v>3017</v>
      </c>
    </row>
    <row r="3" spans="1:4" x14ac:dyDescent="0.35">
      <c r="A3" s="178" t="s">
        <v>0</v>
      </c>
    </row>
    <row r="4" spans="1:4" x14ac:dyDescent="0.35">
      <c r="A4" s="178" t="s">
        <v>57</v>
      </c>
      <c r="B4" s="178" t="s">
        <v>2975</v>
      </c>
      <c r="C4" s="179">
        <v>25520856.300000001</v>
      </c>
    </row>
    <row r="5" spans="1:4" x14ac:dyDescent="0.35">
      <c r="A5" s="178" t="s">
        <v>57</v>
      </c>
      <c r="B5" s="178" t="s">
        <v>2976</v>
      </c>
      <c r="C5" s="179">
        <v>11098.48</v>
      </c>
    </row>
    <row r="6" spans="1:4" x14ac:dyDescent="0.35">
      <c r="A6" s="178" t="s">
        <v>57</v>
      </c>
      <c r="B6" s="178" t="s">
        <v>2977</v>
      </c>
      <c r="C6" s="179">
        <v>678131.25</v>
      </c>
      <c r="D6" s="179">
        <v>26210086.030000001</v>
      </c>
    </row>
    <row r="7" spans="1:4" x14ac:dyDescent="0.35">
      <c r="A7" s="178" t="s">
        <v>1</v>
      </c>
    </row>
    <row r="8" spans="1:4" x14ac:dyDescent="0.35">
      <c r="A8" s="178" t="s">
        <v>57</v>
      </c>
      <c r="B8" s="178" t="s">
        <v>2978</v>
      </c>
      <c r="C8" s="179">
        <v>22262559.640000001</v>
      </c>
    </row>
    <row r="9" spans="1:4" x14ac:dyDescent="0.35">
      <c r="A9" s="178" t="s">
        <v>57</v>
      </c>
      <c r="B9" s="178" t="s">
        <v>2979</v>
      </c>
      <c r="C9" s="179">
        <v>154573.1</v>
      </c>
    </row>
    <row r="10" spans="1:4" x14ac:dyDescent="0.35">
      <c r="A10" s="178" t="s">
        <v>57</v>
      </c>
      <c r="B10" s="178" t="s">
        <v>2980</v>
      </c>
      <c r="C10" s="179">
        <v>438400.12</v>
      </c>
      <c r="D10" s="179">
        <v>22855532.859999999</v>
      </c>
    </row>
    <row r="11" spans="1:4" x14ac:dyDescent="0.35">
      <c r="A11" s="178" t="s">
        <v>2981</v>
      </c>
      <c r="B11" s="178" t="s">
        <v>57</v>
      </c>
      <c r="C11" s="179">
        <v>3354553.17</v>
      </c>
    </row>
    <row r="12" spans="1:4" x14ac:dyDescent="0.35">
      <c r="A12" s="178" t="s">
        <v>2</v>
      </c>
    </row>
    <row r="13" spans="1:4" x14ac:dyDescent="0.35">
      <c r="A13" s="178" t="s">
        <v>57</v>
      </c>
      <c r="B13" s="178" t="s">
        <v>2982</v>
      </c>
      <c r="C13" s="179">
        <v>742531.64</v>
      </c>
    </row>
    <row r="14" spans="1:4" x14ac:dyDescent="0.35">
      <c r="A14" s="178" t="s">
        <v>57</v>
      </c>
      <c r="B14" s="178" t="s">
        <v>2983</v>
      </c>
      <c r="C14" s="179">
        <v>27853.05</v>
      </c>
    </row>
    <row r="15" spans="1:4" x14ac:dyDescent="0.35">
      <c r="A15" s="178" t="s">
        <v>57</v>
      </c>
      <c r="B15" s="178" t="s">
        <v>3018</v>
      </c>
      <c r="C15" s="179">
        <v>3293.41</v>
      </c>
    </row>
    <row r="16" spans="1:4" x14ac:dyDescent="0.35">
      <c r="A16" s="178" t="s">
        <v>57</v>
      </c>
      <c r="B16" s="178" t="s">
        <v>2984</v>
      </c>
      <c r="C16" s="179">
        <v>104651.26</v>
      </c>
      <c r="D16" s="179">
        <v>878329.36</v>
      </c>
    </row>
    <row r="17" spans="1:3" x14ac:dyDescent="0.35">
      <c r="A17" s="178" t="s">
        <v>57</v>
      </c>
      <c r="B17" s="178" t="s">
        <v>57</v>
      </c>
      <c r="C17" s="179">
        <v>4232882.53</v>
      </c>
    </row>
    <row r="18" spans="1:3" x14ac:dyDescent="0.35">
      <c r="A18" s="178" t="s">
        <v>3</v>
      </c>
    </row>
    <row r="19" spans="1:3" x14ac:dyDescent="0.35">
      <c r="A19" s="178" t="s">
        <v>57</v>
      </c>
      <c r="B19" s="178" t="s">
        <v>3019</v>
      </c>
      <c r="C19" s="179">
        <v>5929</v>
      </c>
    </row>
    <row r="20" spans="1:3" x14ac:dyDescent="0.35">
      <c r="A20" s="178" t="s">
        <v>57</v>
      </c>
      <c r="B20" s="178" t="s">
        <v>2985</v>
      </c>
      <c r="C20" s="179">
        <v>15625</v>
      </c>
    </row>
    <row r="21" spans="1:3" x14ac:dyDescent="0.35">
      <c r="A21" s="178" t="s">
        <v>57</v>
      </c>
      <c r="B21" s="178" t="s">
        <v>2986</v>
      </c>
      <c r="C21" s="179">
        <v>40819.06</v>
      </c>
    </row>
    <row r="22" spans="1:3" x14ac:dyDescent="0.35">
      <c r="A22" s="178" t="s">
        <v>57</v>
      </c>
      <c r="B22" s="178" t="s">
        <v>2987</v>
      </c>
      <c r="C22" s="179">
        <v>17020.3</v>
      </c>
    </row>
    <row r="23" spans="1:3" x14ac:dyDescent="0.35">
      <c r="A23" s="178" t="s">
        <v>57</v>
      </c>
      <c r="B23" s="178" t="s">
        <v>2988</v>
      </c>
      <c r="C23" s="179">
        <v>7980.54</v>
      </c>
    </row>
    <row r="24" spans="1:3" x14ac:dyDescent="0.35">
      <c r="A24" s="178" t="s">
        <v>57</v>
      </c>
      <c r="B24" s="178" t="s">
        <v>2989</v>
      </c>
      <c r="C24" s="179">
        <v>52653.17</v>
      </c>
    </row>
    <row r="25" spans="1:3" x14ac:dyDescent="0.35">
      <c r="A25" s="178" t="s">
        <v>57</v>
      </c>
      <c r="B25" s="178" t="s">
        <v>2990</v>
      </c>
      <c r="C25" s="179">
        <v>48961.29</v>
      </c>
    </row>
    <row r="26" spans="1:3" x14ac:dyDescent="0.35">
      <c r="A26" s="178" t="s">
        <v>57</v>
      </c>
      <c r="B26" s="178" t="s">
        <v>2991</v>
      </c>
      <c r="C26" s="179">
        <v>36715.24</v>
      </c>
    </row>
    <row r="27" spans="1:3" x14ac:dyDescent="0.35">
      <c r="A27" s="178" t="s">
        <v>57</v>
      </c>
      <c r="B27" s="178" t="s">
        <v>2992</v>
      </c>
      <c r="C27" s="179">
        <v>346.89</v>
      </c>
    </row>
    <row r="28" spans="1:3" x14ac:dyDescent="0.35">
      <c r="A28" s="178" t="s">
        <v>57</v>
      </c>
      <c r="B28" s="178" t="s">
        <v>2993</v>
      </c>
      <c r="C28" s="179">
        <v>53634.85</v>
      </c>
    </row>
    <row r="29" spans="1:3" x14ac:dyDescent="0.35">
      <c r="A29" s="178" t="s">
        <v>57</v>
      </c>
      <c r="B29" s="178" t="s">
        <v>2994</v>
      </c>
      <c r="C29" s="179">
        <v>9129</v>
      </c>
    </row>
    <row r="30" spans="1:3" x14ac:dyDescent="0.35">
      <c r="A30" s="178" t="s">
        <v>57</v>
      </c>
      <c r="B30" s="178" t="s">
        <v>2995</v>
      </c>
      <c r="C30" s="179">
        <v>84542.48</v>
      </c>
    </row>
    <row r="31" spans="1:3" x14ac:dyDescent="0.35">
      <c r="A31" s="178" t="s">
        <v>57</v>
      </c>
      <c r="B31" s="178" t="s">
        <v>2996</v>
      </c>
      <c r="C31" s="179">
        <v>1500.85</v>
      </c>
    </row>
    <row r="32" spans="1:3" x14ac:dyDescent="0.35">
      <c r="A32" s="178" t="s">
        <v>57</v>
      </c>
      <c r="B32" s="178" t="s">
        <v>2997</v>
      </c>
      <c r="C32" s="179">
        <v>5385</v>
      </c>
    </row>
    <row r="33" spans="1:4" x14ac:dyDescent="0.35">
      <c r="A33" s="178" t="s">
        <v>57</v>
      </c>
      <c r="B33" s="178" t="s">
        <v>2998</v>
      </c>
      <c r="C33" s="179">
        <v>142660.04</v>
      </c>
    </row>
    <row r="34" spans="1:4" x14ac:dyDescent="0.35">
      <c r="A34" s="178" t="s">
        <v>57</v>
      </c>
      <c r="B34" s="178" t="s">
        <v>2999</v>
      </c>
      <c r="C34" s="179">
        <v>19507.79</v>
      </c>
    </row>
    <row r="35" spans="1:4" x14ac:dyDescent="0.35">
      <c r="A35" s="178" t="s">
        <v>57</v>
      </c>
      <c r="B35" s="178" t="s">
        <v>3000</v>
      </c>
      <c r="C35" s="179">
        <v>425743.29</v>
      </c>
    </row>
    <row r="36" spans="1:4" x14ac:dyDescent="0.35">
      <c r="A36" s="178" t="s">
        <v>57</v>
      </c>
      <c r="B36" s="178" t="s">
        <v>3001</v>
      </c>
      <c r="C36" s="179">
        <v>5560.61</v>
      </c>
    </row>
    <row r="37" spans="1:4" x14ac:dyDescent="0.35">
      <c r="A37" s="178" t="s">
        <v>57</v>
      </c>
      <c r="B37" s="178" t="s">
        <v>3002</v>
      </c>
      <c r="C37" s="179">
        <v>30470.16</v>
      </c>
    </row>
    <row r="38" spans="1:4" x14ac:dyDescent="0.35">
      <c r="A38" s="178" t="s">
        <v>57</v>
      </c>
      <c r="B38" s="178" t="s">
        <v>3003</v>
      </c>
      <c r="C38" s="179">
        <v>1366551.79</v>
      </c>
    </row>
    <row r="39" spans="1:4" x14ac:dyDescent="0.35">
      <c r="A39" s="178" t="s">
        <v>57</v>
      </c>
      <c r="B39" s="178" t="s">
        <v>3004</v>
      </c>
      <c r="C39" s="179">
        <v>301094.82</v>
      </c>
    </row>
    <row r="40" spans="1:4" x14ac:dyDescent="0.35">
      <c r="A40" s="178" t="s">
        <v>57</v>
      </c>
      <c r="B40" s="178" t="s">
        <v>3005</v>
      </c>
      <c r="C40" s="179">
        <v>6185.58</v>
      </c>
    </row>
    <row r="41" spans="1:4" x14ac:dyDescent="0.35">
      <c r="A41" s="178" t="s">
        <v>57</v>
      </c>
      <c r="B41" s="178" t="s">
        <v>3006</v>
      </c>
      <c r="C41" s="179">
        <v>8185.51</v>
      </c>
    </row>
    <row r="42" spans="1:4" x14ac:dyDescent="0.35">
      <c r="A42" s="178" t="s">
        <v>57</v>
      </c>
      <c r="B42" s="178" t="s">
        <v>3007</v>
      </c>
      <c r="C42" s="179">
        <v>27464.92</v>
      </c>
    </row>
    <row r="43" spans="1:4" x14ac:dyDescent="0.35">
      <c r="A43" s="178" t="s">
        <v>57</v>
      </c>
      <c r="B43" s="178" t="s">
        <v>3008</v>
      </c>
      <c r="C43" s="179">
        <v>42654.07</v>
      </c>
    </row>
    <row r="44" spans="1:4" x14ac:dyDescent="0.35">
      <c r="A44" s="178" t="s">
        <v>57</v>
      </c>
      <c r="B44" s="178" t="s">
        <v>3009</v>
      </c>
      <c r="C44" s="179">
        <v>103910.65</v>
      </c>
      <c r="D44" s="179">
        <v>2860231.9</v>
      </c>
    </row>
    <row r="45" spans="1:4" x14ac:dyDescent="0.35">
      <c r="A45" s="178" t="s">
        <v>3010</v>
      </c>
      <c r="B45" s="178" t="s">
        <v>57</v>
      </c>
      <c r="C45" s="179">
        <v>1372650.63</v>
      </c>
    </row>
    <row r="46" spans="1:4" x14ac:dyDescent="0.35">
      <c r="A46" s="178" t="s">
        <v>3011</v>
      </c>
    </row>
    <row r="47" spans="1:4" x14ac:dyDescent="0.35">
      <c r="A47" s="178" t="s">
        <v>3012</v>
      </c>
    </row>
    <row r="48" spans="1:4" x14ac:dyDescent="0.35">
      <c r="A48" s="178" t="s">
        <v>3013</v>
      </c>
      <c r="B48" s="178" t="s">
        <v>57</v>
      </c>
      <c r="C48" s="179">
        <v>1372650.63</v>
      </c>
    </row>
    <row r="49" spans="1:2" x14ac:dyDescent="0.35">
      <c r="A49" s="178"/>
      <c r="B49" s="178"/>
    </row>
    <row r="50" spans="1:2" x14ac:dyDescent="0.35">
      <c r="A50" s="178"/>
      <c r="B50" s="178"/>
    </row>
    <row r="51" spans="1:2" x14ac:dyDescent="0.35">
      <c r="A51" s="178"/>
      <c r="B51" s="178"/>
    </row>
    <row r="52" spans="1:2" x14ac:dyDescent="0.35">
      <c r="A52" s="178"/>
      <c r="B52" s="178"/>
    </row>
    <row r="53" spans="1:2" x14ac:dyDescent="0.35">
      <c r="A53" s="178"/>
      <c r="B53" s="178"/>
    </row>
    <row r="54" spans="1:2" x14ac:dyDescent="0.35">
      <c r="A54" s="178"/>
      <c r="B54" s="178"/>
    </row>
    <row r="55" spans="1:2" x14ac:dyDescent="0.35">
      <c r="A55" s="178"/>
    </row>
    <row r="56" spans="1:2" x14ac:dyDescent="0.35">
      <c r="A56" s="178"/>
    </row>
    <row r="57" spans="1:2" x14ac:dyDescent="0.35">
      <c r="A57" s="178"/>
      <c r="B57" s="178"/>
    </row>
    <row r="58" spans="1:2" x14ac:dyDescent="0.35">
      <c r="A58" s="178"/>
      <c r="B58" s="17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8"/>
  <sheetViews>
    <sheetView topLeftCell="A174" workbookViewId="0">
      <selection activeCell="D7" sqref="D7"/>
    </sheetView>
  </sheetViews>
  <sheetFormatPr defaultRowHeight="14.5" x14ac:dyDescent="0.35"/>
  <cols>
    <col min="1" max="1" width="57.54296875" customWidth="1"/>
    <col min="2" max="2" width="10.90625" style="179" hidden="1" customWidth="1"/>
    <col min="3" max="3" width="12.36328125" style="179" hidden="1" customWidth="1"/>
    <col min="4" max="5" width="12.453125" style="179" bestFit="1" customWidth="1"/>
    <col min="6" max="8" width="12.36328125" style="179" bestFit="1" customWidth="1"/>
    <col min="9" max="9" width="13.453125" style="179" bestFit="1" customWidth="1"/>
  </cols>
  <sheetData>
    <row r="1" spans="1:9" x14ac:dyDescent="0.35">
      <c r="A1" s="178" t="s">
        <v>56</v>
      </c>
      <c r="B1"/>
      <c r="C1"/>
    </row>
    <row r="2" spans="1:9" x14ac:dyDescent="0.35">
      <c r="A2" s="178" t="s">
        <v>3055</v>
      </c>
      <c r="B2"/>
      <c r="C2"/>
    </row>
    <row r="3" spans="1:9" x14ac:dyDescent="0.35">
      <c r="A3" s="178" t="s">
        <v>3056</v>
      </c>
      <c r="B3" s="178" t="s">
        <v>57</v>
      </c>
      <c r="C3" s="178" t="s">
        <v>57</v>
      </c>
      <c r="D3" s="180" t="s">
        <v>3057</v>
      </c>
      <c r="E3" s="180" t="s">
        <v>3058</v>
      </c>
      <c r="F3" s="180" t="s">
        <v>3059</v>
      </c>
      <c r="G3" s="180" t="s">
        <v>3060</v>
      </c>
      <c r="H3" s="180" t="s">
        <v>3061</v>
      </c>
      <c r="I3" s="180" t="s">
        <v>3062</v>
      </c>
    </row>
    <row r="4" spans="1:9" x14ac:dyDescent="0.35">
      <c r="A4" s="178" t="s">
        <v>197</v>
      </c>
      <c r="B4" s="178" t="s">
        <v>57</v>
      </c>
      <c r="C4" s="178" t="s">
        <v>57</v>
      </c>
      <c r="D4" s="179">
        <v>0</v>
      </c>
      <c r="E4" s="179">
        <v>0</v>
      </c>
      <c r="F4" s="179">
        <v>282273.87</v>
      </c>
      <c r="G4" s="179">
        <v>7789.76</v>
      </c>
      <c r="H4" s="179">
        <v>132556.49</v>
      </c>
      <c r="I4" s="179">
        <v>422620.12</v>
      </c>
    </row>
    <row r="5" spans="1:9" x14ac:dyDescent="0.35">
      <c r="A5" s="178" t="s">
        <v>420</v>
      </c>
      <c r="B5" s="178" t="s">
        <v>57</v>
      </c>
      <c r="C5" s="178" t="s">
        <v>57</v>
      </c>
      <c r="D5" s="179">
        <v>0</v>
      </c>
      <c r="E5" s="179">
        <v>38584.629999999997</v>
      </c>
      <c r="F5" s="179">
        <v>30209</v>
      </c>
      <c r="G5" s="179">
        <v>12919.91</v>
      </c>
      <c r="H5" s="179">
        <v>5986.9</v>
      </c>
      <c r="I5" s="179">
        <v>87700.44</v>
      </c>
    </row>
    <row r="6" spans="1:9" x14ac:dyDescent="0.35">
      <c r="A6" s="178" t="s">
        <v>179</v>
      </c>
      <c r="B6" s="178" t="s">
        <v>57</v>
      </c>
      <c r="C6" s="178" t="s">
        <v>57</v>
      </c>
      <c r="D6" s="179">
        <v>0</v>
      </c>
      <c r="E6" s="179">
        <v>0</v>
      </c>
      <c r="F6" s="179">
        <v>0</v>
      </c>
      <c r="G6" s="179">
        <v>0</v>
      </c>
      <c r="H6" s="179">
        <v>177856.76</v>
      </c>
      <c r="I6" s="179">
        <v>177856.76</v>
      </c>
    </row>
    <row r="7" spans="1:9" x14ac:dyDescent="0.35">
      <c r="A7" s="178" t="s">
        <v>3063</v>
      </c>
      <c r="B7" s="178" t="s">
        <v>57</v>
      </c>
      <c r="C7" s="178" t="s">
        <v>57</v>
      </c>
      <c r="D7" s="179">
        <v>0</v>
      </c>
      <c r="E7" s="179">
        <v>0</v>
      </c>
      <c r="F7" s="179">
        <v>30491.74</v>
      </c>
      <c r="G7" s="179">
        <v>0</v>
      </c>
      <c r="H7" s="179">
        <v>0</v>
      </c>
      <c r="I7" s="179">
        <v>30491.74</v>
      </c>
    </row>
    <row r="8" spans="1:9" x14ac:dyDescent="0.35">
      <c r="A8" s="178" t="s">
        <v>465</v>
      </c>
      <c r="B8" s="178" t="s">
        <v>57</v>
      </c>
      <c r="C8" s="178" t="s">
        <v>57</v>
      </c>
      <c r="D8" s="179">
        <v>0</v>
      </c>
      <c r="E8" s="179">
        <v>0</v>
      </c>
      <c r="F8" s="179">
        <v>0</v>
      </c>
      <c r="G8" s="179">
        <v>0</v>
      </c>
      <c r="H8" s="179">
        <v>3762.92</v>
      </c>
      <c r="I8" s="179">
        <v>3762.92</v>
      </c>
    </row>
    <row r="9" spans="1:9" x14ac:dyDescent="0.35">
      <c r="A9" s="178" t="s">
        <v>245</v>
      </c>
      <c r="B9" s="178" t="s">
        <v>57</v>
      </c>
      <c r="C9" s="178" t="s">
        <v>57</v>
      </c>
      <c r="D9" s="179">
        <v>0</v>
      </c>
      <c r="E9" s="179">
        <v>0</v>
      </c>
      <c r="F9" s="179">
        <v>0</v>
      </c>
      <c r="G9" s="179">
        <v>0</v>
      </c>
      <c r="H9" s="179">
        <v>30742.84</v>
      </c>
      <c r="I9" s="179">
        <v>30742.84</v>
      </c>
    </row>
    <row r="10" spans="1:9" x14ac:dyDescent="0.35">
      <c r="A10" s="178" t="s">
        <v>256</v>
      </c>
      <c r="B10" s="178" t="s">
        <v>57</v>
      </c>
      <c r="C10" s="178" t="s">
        <v>57</v>
      </c>
      <c r="D10" s="179">
        <v>0</v>
      </c>
      <c r="E10" s="179">
        <v>0</v>
      </c>
      <c r="F10" s="179">
        <v>0</v>
      </c>
      <c r="G10" s="179">
        <v>0</v>
      </c>
      <c r="H10" s="179">
        <v>3440.81</v>
      </c>
      <c r="I10" s="179">
        <v>3440.81</v>
      </c>
    </row>
    <row r="11" spans="1:9" x14ac:dyDescent="0.35">
      <c r="A11" s="178" t="s">
        <v>290</v>
      </c>
      <c r="B11" s="178" t="s">
        <v>57</v>
      </c>
      <c r="C11" s="178" t="s">
        <v>57</v>
      </c>
      <c r="D11" s="179">
        <v>0</v>
      </c>
      <c r="E11" s="179">
        <v>0</v>
      </c>
      <c r="F11" s="179">
        <v>9822.61</v>
      </c>
      <c r="G11" s="179">
        <v>21519.84</v>
      </c>
      <c r="H11" s="179">
        <v>21653.06</v>
      </c>
      <c r="I11" s="179">
        <v>52995.51</v>
      </c>
    </row>
    <row r="12" spans="1:9" x14ac:dyDescent="0.35">
      <c r="A12" s="178" t="s">
        <v>482</v>
      </c>
      <c r="B12" s="178" t="s">
        <v>57</v>
      </c>
      <c r="C12" s="178" t="s">
        <v>57</v>
      </c>
      <c r="D12" s="179">
        <v>0</v>
      </c>
      <c r="E12" s="179">
        <v>0</v>
      </c>
      <c r="F12" s="179">
        <v>0</v>
      </c>
      <c r="G12" s="179">
        <v>7145.12</v>
      </c>
      <c r="H12" s="179">
        <v>3431.95</v>
      </c>
      <c r="I12" s="179">
        <v>10577.07</v>
      </c>
    </row>
    <row r="13" spans="1:9" x14ac:dyDescent="0.35">
      <c r="A13" s="178" t="s">
        <v>298</v>
      </c>
      <c r="B13" s="178" t="s">
        <v>57</v>
      </c>
      <c r="C13" s="178" t="s">
        <v>57</v>
      </c>
      <c r="D13" s="179">
        <v>0</v>
      </c>
      <c r="E13" s="179">
        <v>0</v>
      </c>
      <c r="F13" s="179">
        <v>0</v>
      </c>
      <c r="G13" s="179">
        <v>0</v>
      </c>
      <c r="H13" s="179">
        <v>9693.06</v>
      </c>
      <c r="I13" s="179">
        <v>9693.06</v>
      </c>
    </row>
    <row r="14" spans="1:9" x14ac:dyDescent="0.35">
      <c r="A14" s="178" t="s">
        <v>180</v>
      </c>
      <c r="B14" s="178" t="s">
        <v>57</v>
      </c>
      <c r="C14" s="178" t="s">
        <v>57</v>
      </c>
      <c r="D14" s="179">
        <v>0</v>
      </c>
      <c r="E14" s="179">
        <v>0</v>
      </c>
      <c r="F14" s="179">
        <v>338028.69</v>
      </c>
      <c r="G14" s="179">
        <v>144497.10999999999</v>
      </c>
      <c r="H14" s="179">
        <v>387072.48</v>
      </c>
      <c r="I14" s="179">
        <v>869598.28</v>
      </c>
    </row>
    <row r="15" spans="1:9" x14ac:dyDescent="0.35">
      <c r="A15" s="178" t="s">
        <v>219</v>
      </c>
      <c r="B15" s="178" t="s">
        <v>57</v>
      </c>
      <c r="C15" s="178" t="s">
        <v>57</v>
      </c>
      <c r="D15" s="179">
        <v>0</v>
      </c>
      <c r="E15" s="179">
        <v>0</v>
      </c>
      <c r="F15" s="179">
        <v>0</v>
      </c>
      <c r="G15" s="179">
        <v>2306.8200000000002</v>
      </c>
      <c r="H15" s="179">
        <v>29189.84</v>
      </c>
      <c r="I15" s="179">
        <v>31496.66</v>
      </c>
    </row>
    <row r="16" spans="1:9" x14ac:dyDescent="0.35">
      <c r="A16" s="178" t="s">
        <v>410</v>
      </c>
      <c r="B16" s="178" t="s">
        <v>57</v>
      </c>
      <c r="C16" s="178" t="s">
        <v>57</v>
      </c>
      <c r="D16" s="179">
        <v>0</v>
      </c>
      <c r="E16" s="179">
        <v>0</v>
      </c>
      <c r="F16" s="179">
        <v>7843.11</v>
      </c>
      <c r="G16" s="179">
        <v>7424.12</v>
      </c>
      <c r="H16" s="179">
        <v>6757.86</v>
      </c>
      <c r="I16" s="179">
        <v>22025.09</v>
      </c>
    </row>
    <row r="17" spans="1:9" x14ac:dyDescent="0.35">
      <c r="A17" s="178" t="s">
        <v>328</v>
      </c>
      <c r="B17" s="178" t="s">
        <v>57</v>
      </c>
      <c r="C17" s="178" t="s">
        <v>57</v>
      </c>
      <c r="D17" s="179">
        <v>0</v>
      </c>
      <c r="E17" s="179">
        <v>0</v>
      </c>
      <c r="F17" s="179">
        <v>0</v>
      </c>
      <c r="G17" s="179">
        <v>40643.83</v>
      </c>
      <c r="H17" s="179">
        <v>21462.92</v>
      </c>
      <c r="I17" s="179">
        <v>62106.75</v>
      </c>
    </row>
    <row r="18" spans="1:9" x14ac:dyDescent="0.35">
      <c r="A18" s="178" t="s">
        <v>595</v>
      </c>
      <c r="B18" s="178" t="s">
        <v>57</v>
      </c>
      <c r="C18" s="178" t="s">
        <v>57</v>
      </c>
      <c r="D18" s="179">
        <v>0</v>
      </c>
      <c r="E18" s="179">
        <v>0</v>
      </c>
      <c r="F18" s="179">
        <v>0</v>
      </c>
      <c r="G18" s="179">
        <v>0</v>
      </c>
      <c r="H18" s="179">
        <v>1551.29</v>
      </c>
      <c r="I18" s="179">
        <v>1551.29</v>
      </c>
    </row>
    <row r="19" spans="1:9" x14ac:dyDescent="0.35">
      <c r="A19" s="178" t="s">
        <v>3064</v>
      </c>
      <c r="B19" s="178" t="s">
        <v>57</v>
      </c>
      <c r="C19" s="178" t="s">
        <v>57</v>
      </c>
      <c r="D19" s="179">
        <v>0</v>
      </c>
      <c r="E19" s="179">
        <v>0</v>
      </c>
      <c r="F19" s="179">
        <v>0</v>
      </c>
      <c r="G19" s="179">
        <v>30569.919999999998</v>
      </c>
      <c r="H19" s="179">
        <v>0</v>
      </c>
      <c r="I19" s="179">
        <v>30569.919999999998</v>
      </c>
    </row>
    <row r="20" spans="1:9" x14ac:dyDescent="0.35">
      <c r="A20" s="178" t="s">
        <v>3065</v>
      </c>
      <c r="B20" s="178" t="s">
        <v>57</v>
      </c>
      <c r="C20" s="178" t="s">
        <v>57</v>
      </c>
      <c r="D20" s="179">
        <v>0</v>
      </c>
      <c r="E20" s="179">
        <v>0</v>
      </c>
      <c r="F20" s="179">
        <v>0</v>
      </c>
      <c r="G20" s="179">
        <v>12862.88</v>
      </c>
      <c r="H20" s="179">
        <v>0</v>
      </c>
      <c r="I20" s="179">
        <v>12862.88</v>
      </c>
    </row>
    <row r="21" spans="1:9" x14ac:dyDescent="0.35">
      <c r="A21" s="178" t="s">
        <v>313</v>
      </c>
      <c r="B21" s="178" t="s">
        <v>57</v>
      </c>
      <c r="C21" s="178" t="s">
        <v>57</v>
      </c>
      <c r="D21" s="179">
        <v>0</v>
      </c>
      <c r="E21" s="179">
        <v>0</v>
      </c>
      <c r="F21" s="179">
        <v>0</v>
      </c>
      <c r="G21" s="179">
        <v>0</v>
      </c>
      <c r="H21" s="179">
        <v>3914.89</v>
      </c>
      <c r="I21" s="179">
        <v>3914.89</v>
      </c>
    </row>
    <row r="22" spans="1:9" x14ac:dyDescent="0.35">
      <c r="A22" s="178" t="s">
        <v>188</v>
      </c>
      <c r="B22" s="178" t="s">
        <v>57</v>
      </c>
      <c r="C22" s="178" t="s">
        <v>57</v>
      </c>
      <c r="D22" s="179">
        <v>0</v>
      </c>
      <c r="E22" s="179">
        <v>0</v>
      </c>
      <c r="F22" s="179">
        <v>0</v>
      </c>
      <c r="G22" s="179">
        <v>65815.23</v>
      </c>
      <c r="H22" s="179">
        <v>188929.32</v>
      </c>
      <c r="I22" s="179">
        <v>254744.55</v>
      </c>
    </row>
    <row r="23" spans="1:9" x14ac:dyDescent="0.35">
      <c r="A23" s="178" t="s">
        <v>269</v>
      </c>
      <c r="B23" s="178" t="s">
        <v>57</v>
      </c>
      <c r="C23" s="178" t="s">
        <v>57</v>
      </c>
      <c r="D23" s="179">
        <v>0</v>
      </c>
      <c r="E23" s="179">
        <v>0</v>
      </c>
      <c r="F23" s="179">
        <v>0</v>
      </c>
      <c r="G23" s="179">
        <v>42434.09</v>
      </c>
      <c r="H23" s="179">
        <v>23891.26</v>
      </c>
      <c r="I23" s="179">
        <v>66325.350000000006</v>
      </c>
    </row>
    <row r="24" spans="1:9" x14ac:dyDescent="0.35">
      <c r="A24" s="178" t="s">
        <v>296</v>
      </c>
      <c r="B24" s="178" t="s">
        <v>57</v>
      </c>
      <c r="C24" s="178" t="s">
        <v>57</v>
      </c>
      <c r="D24" s="179">
        <v>0</v>
      </c>
      <c r="E24" s="179">
        <v>0</v>
      </c>
      <c r="F24" s="179">
        <v>0</v>
      </c>
      <c r="G24" s="179">
        <v>0</v>
      </c>
      <c r="H24" s="179">
        <v>18152.2</v>
      </c>
      <c r="I24" s="179">
        <v>18152.2</v>
      </c>
    </row>
    <row r="25" spans="1:9" x14ac:dyDescent="0.35">
      <c r="A25" s="178" t="s">
        <v>504</v>
      </c>
      <c r="B25" s="178" t="s">
        <v>57</v>
      </c>
      <c r="C25" s="178" t="s">
        <v>57</v>
      </c>
      <c r="D25" s="179">
        <v>0</v>
      </c>
      <c r="E25" s="179">
        <v>0</v>
      </c>
      <c r="F25" s="179">
        <v>0</v>
      </c>
      <c r="G25" s="179">
        <v>2348.08</v>
      </c>
      <c r="H25" s="179">
        <v>4543.1400000000003</v>
      </c>
      <c r="I25" s="179">
        <v>6891.22</v>
      </c>
    </row>
    <row r="26" spans="1:9" x14ac:dyDescent="0.35">
      <c r="A26" s="178" t="s">
        <v>603</v>
      </c>
      <c r="B26" s="178" t="s">
        <v>57</v>
      </c>
      <c r="C26" s="178" t="s">
        <v>57</v>
      </c>
      <c r="D26" s="179">
        <v>0</v>
      </c>
      <c r="E26" s="179">
        <v>0</v>
      </c>
      <c r="F26" s="179">
        <v>0</v>
      </c>
      <c r="G26" s="179">
        <v>0</v>
      </c>
      <c r="H26" s="179">
        <v>7607.25</v>
      </c>
      <c r="I26" s="179">
        <v>7607.25</v>
      </c>
    </row>
    <row r="27" spans="1:9" x14ac:dyDescent="0.35">
      <c r="A27" s="178" t="s">
        <v>287</v>
      </c>
      <c r="B27" s="178" t="s">
        <v>57</v>
      </c>
      <c r="C27" s="178" t="s">
        <v>57</v>
      </c>
      <c r="D27" s="179">
        <v>0</v>
      </c>
      <c r="E27" s="179">
        <v>0</v>
      </c>
      <c r="F27" s="179">
        <v>0</v>
      </c>
      <c r="G27" s="179">
        <v>0</v>
      </c>
      <c r="H27" s="179">
        <v>19567.02</v>
      </c>
      <c r="I27" s="179">
        <v>19567.02</v>
      </c>
    </row>
    <row r="28" spans="1:9" x14ac:dyDescent="0.35">
      <c r="A28" s="178" t="s">
        <v>3066</v>
      </c>
      <c r="B28" s="178" t="s">
        <v>57</v>
      </c>
      <c r="C28" s="178" t="s">
        <v>57</v>
      </c>
      <c r="D28" s="179">
        <v>0</v>
      </c>
      <c r="E28" s="179">
        <v>21329.78</v>
      </c>
      <c r="F28" s="179">
        <v>28702.52</v>
      </c>
      <c r="G28" s="179">
        <v>0</v>
      </c>
      <c r="H28" s="179">
        <v>0</v>
      </c>
      <c r="I28" s="179">
        <v>50032.3</v>
      </c>
    </row>
    <row r="29" spans="1:9" x14ac:dyDescent="0.35">
      <c r="A29" s="178" t="s">
        <v>3067</v>
      </c>
      <c r="B29" s="178" t="s">
        <v>57</v>
      </c>
      <c r="C29" s="178" t="s">
        <v>57</v>
      </c>
      <c r="D29" s="179">
        <v>0</v>
      </c>
      <c r="E29" s="179">
        <v>0</v>
      </c>
      <c r="F29" s="179">
        <v>56813.52</v>
      </c>
      <c r="G29" s="179">
        <v>9445.41</v>
      </c>
      <c r="H29" s="179">
        <v>0</v>
      </c>
      <c r="I29" s="179">
        <v>66258.929999999993</v>
      </c>
    </row>
    <row r="30" spans="1:9" x14ac:dyDescent="0.35">
      <c r="A30" s="178" t="s">
        <v>3068</v>
      </c>
      <c r="B30" s="178" t="s">
        <v>57</v>
      </c>
      <c r="C30" s="178" t="s">
        <v>57</v>
      </c>
      <c r="D30" s="179">
        <v>0</v>
      </c>
      <c r="E30" s="179">
        <v>0</v>
      </c>
      <c r="F30" s="179">
        <v>26987.5</v>
      </c>
      <c r="G30" s="179">
        <v>0</v>
      </c>
      <c r="H30" s="179">
        <v>0</v>
      </c>
      <c r="I30" s="179">
        <v>26987.5</v>
      </c>
    </row>
    <row r="31" spans="1:9" x14ac:dyDescent="0.35">
      <c r="A31" s="178" t="s">
        <v>466</v>
      </c>
      <c r="B31" s="178" t="s">
        <v>57</v>
      </c>
      <c r="C31" s="178" t="s">
        <v>57</v>
      </c>
      <c r="D31" s="179">
        <v>0</v>
      </c>
      <c r="E31" s="179">
        <v>0</v>
      </c>
      <c r="F31" s="179">
        <v>0</v>
      </c>
      <c r="G31" s="179">
        <v>0</v>
      </c>
      <c r="H31" s="179">
        <v>3551.03</v>
      </c>
      <c r="I31" s="179">
        <v>3551.03</v>
      </c>
    </row>
    <row r="32" spans="1:9" x14ac:dyDescent="0.35">
      <c r="A32" s="178" t="s">
        <v>228</v>
      </c>
      <c r="B32" s="178" t="s">
        <v>57</v>
      </c>
      <c r="C32" s="178" t="s">
        <v>57</v>
      </c>
      <c r="D32" s="179">
        <v>0</v>
      </c>
      <c r="E32" s="179">
        <v>0</v>
      </c>
      <c r="F32" s="179">
        <v>0</v>
      </c>
      <c r="G32" s="179">
        <v>0</v>
      </c>
      <c r="H32" s="179">
        <v>70129.990000000005</v>
      </c>
      <c r="I32" s="179">
        <v>70129.990000000005</v>
      </c>
    </row>
    <row r="33" spans="1:9" x14ac:dyDescent="0.35">
      <c r="A33" s="178" t="s">
        <v>3069</v>
      </c>
      <c r="B33" s="178" t="s">
        <v>57</v>
      </c>
      <c r="C33" s="178" t="s">
        <v>57</v>
      </c>
      <c r="D33" s="179">
        <v>0</v>
      </c>
      <c r="E33" s="179">
        <v>0</v>
      </c>
      <c r="F33" s="179">
        <v>0</v>
      </c>
      <c r="G33" s="179">
        <v>8925.15</v>
      </c>
      <c r="H33" s="179">
        <v>0</v>
      </c>
      <c r="I33" s="179">
        <v>8925.15</v>
      </c>
    </row>
    <row r="34" spans="1:9" x14ac:dyDescent="0.35">
      <c r="A34" s="178" t="s">
        <v>423</v>
      </c>
      <c r="B34" s="178" t="s">
        <v>57</v>
      </c>
      <c r="C34" s="178" t="s">
        <v>57</v>
      </c>
      <c r="D34" s="179">
        <v>0</v>
      </c>
      <c r="E34" s="179">
        <v>0</v>
      </c>
      <c r="F34" s="179">
        <v>0</v>
      </c>
      <c r="G34" s="179">
        <v>0</v>
      </c>
      <c r="H34" s="179">
        <v>6532.35</v>
      </c>
      <c r="I34" s="179">
        <v>6532.35</v>
      </c>
    </row>
    <row r="35" spans="1:9" x14ac:dyDescent="0.35">
      <c r="A35" s="178" t="s">
        <v>307</v>
      </c>
      <c r="B35" s="178" t="s">
        <v>57</v>
      </c>
      <c r="C35" s="178" t="s">
        <v>57</v>
      </c>
      <c r="D35" s="179">
        <v>0</v>
      </c>
      <c r="E35" s="179">
        <v>0</v>
      </c>
      <c r="F35" s="179">
        <v>0</v>
      </c>
      <c r="G35" s="179">
        <v>0</v>
      </c>
      <c r="H35" s="179">
        <v>16169.25</v>
      </c>
      <c r="I35" s="179">
        <v>16169.25</v>
      </c>
    </row>
    <row r="36" spans="1:9" x14ac:dyDescent="0.35">
      <c r="A36" s="178" t="s">
        <v>3070</v>
      </c>
      <c r="B36" s="178" t="s">
        <v>57</v>
      </c>
      <c r="C36" s="178" t="s">
        <v>57</v>
      </c>
      <c r="D36" s="179">
        <v>2907.63</v>
      </c>
      <c r="E36" s="179">
        <v>0</v>
      </c>
      <c r="F36" s="179">
        <v>0</v>
      </c>
      <c r="G36" s="179">
        <v>0</v>
      </c>
      <c r="H36" s="179">
        <v>0</v>
      </c>
      <c r="I36" s="179">
        <v>2907.63</v>
      </c>
    </row>
    <row r="37" spans="1:9" x14ac:dyDescent="0.35">
      <c r="A37" s="178" t="s">
        <v>293</v>
      </c>
      <c r="B37" s="178" t="s">
        <v>57</v>
      </c>
      <c r="C37" s="178" t="s">
        <v>57</v>
      </c>
      <c r="D37" s="179">
        <v>0</v>
      </c>
      <c r="E37" s="179">
        <v>0</v>
      </c>
      <c r="F37" s="179">
        <v>0</v>
      </c>
      <c r="G37" s="179">
        <v>27716.65</v>
      </c>
      <c r="H37" s="179">
        <v>12912.44</v>
      </c>
      <c r="I37" s="179">
        <v>40629.089999999997</v>
      </c>
    </row>
    <row r="38" spans="1:9" x14ac:dyDescent="0.35">
      <c r="A38" s="178" t="s">
        <v>3071</v>
      </c>
      <c r="B38" s="178" t="s">
        <v>57</v>
      </c>
      <c r="C38" s="178" t="s">
        <v>57</v>
      </c>
      <c r="D38" s="179">
        <v>0</v>
      </c>
      <c r="E38" s="179">
        <v>0</v>
      </c>
      <c r="F38" s="179">
        <v>0</v>
      </c>
      <c r="G38" s="179">
        <v>17611.330000000002</v>
      </c>
      <c r="H38" s="179">
        <v>0</v>
      </c>
      <c r="I38" s="179">
        <v>17611.330000000002</v>
      </c>
    </row>
    <row r="39" spans="1:9" x14ac:dyDescent="0.35">
      <c r="A39" s="178" t="s">
        <v>461</v>
      </c>
      <c r="B39" s="178" t="s">
        <v>57</v>
      </c>
      <c r="C39" s="178" t="s">
        <v>57</v>
      </c>
      <c r="D39" s="179">
        <v>0</v>
      </c>
      <c r="E39" s="179">
        <v>0</v>
      </c>
      <c r="F39" s="179">
        <v>0</v>
      </c>
      <c r="G39" s="179">
        <v>0</v>
      </c>
      <c r="H39" s="179">
        <v>2717.53</v>
      </c>
      <c r="I39" s="179">
        <v>2717.53</v>
      </c>
    </row>
    <row r="40" spans="1:9" x14ac:dyDescent="0.35">
      <c r="A40" s="178" t="s">
        <v>569</v>
      </c>
      <c r="B40" s="178" t="s">
        <v>57</v>
      </c>
      <c r="C40" s="178" t="s">
        <v>57</v>
      </c>
      <c r="D40" s="179">
        <v>0</v>
      </c>
      <c r="E40" s="179">
        <v>0</v>
      </c>
      <c r="F40" s="179">
        <v>0</v>
      </c>
      <c r="G40" s="179">
        <v>0</v>
      </c>
      <c r="H40" s="179">
        <v>1070.3599999999999</v>
      </c>
      <c r="I40" s="179">
        <v>1070.3599999999999</v>
      </c>
    </row>
    <row r="41" spans="1:9" x14ac:dyDescent="0.35">
      <c r="A41" s="178" t="s">
        <v>193</v>
      </c>
      <c r="B41" s="178" t="s">
        <v>57</v>
      </c>
      <c r="C41" s="178" t="s">
        <v>57</v>
      </c>
      <c r="D41" s="179">
        <v>0</v>
      </c>
      <c r="E41" s="179">
        <v>0</v>
      </c>
      <c r="F41" s="179">
        <v>0</v>
      </c>
      <c r="G41" s="179">
        <v>0</v>
      </c>
      <c r="H41" s="179">
        <v>53572.18</v>
      </c>
      <c r="I41" s="179">
        <v>53572.18</v>
      </c>
    </row>
    <row r="42" spans="1:9" x14ac:dyDescent="0.35">
      <c r="A42" s="178" t="s">
        <v>422</v>
      </c>
      <c r="B42" s="178" t="s">
        <v>57</v>
      </c>
      <c r="C42" s="178" t="s">
        <v>57</v>
      </c>
      <c r="D42" s="179">
        <v>0</v>
      </c>
      <c r="E42" s="179">
        <v>0</v>
      </c>
      <c r="F42" s="179">
        <v>0</v>
      </c>
      <c r="G42" s="179">
        <v>0</v>
      </c>
      <c r="H42" s="179">
        <v>1052.5999999999999</v>
      </c>
      <c r="I42" s="179">
        <v>1052.5999999999999</v>
      </c>
    </row>
    <row r="43" spans="1:9" x14ac:dyDescent="0.35">
      <c r="A43" s="178" t="s">
        <v>190</v>
      </c>
      <c r="B43" s="178" t="s">
        <v>57</v>
      </c>
      <c r="C43" s="178" t="s">
        <v>57</v>
      </c>
      <c r="D43" s="179">
        <v>0</v>
      </c>
      <c r="E43" s="179">
        <v>0</v>
      </c>
      <c r="F43" s="179">
        <v>0</v>
      </c>
      <c r="G43" s="179">
        <v>0</v>
      </c>
      <c r="H43" s="179">
        <v>14690.1</v>
      </c>
      <c r="I43" s="179">
        <v>14690.1</v>
      </c>
    </row>
    <row r="44" spans="1:9" x14ac:dyDescent="0.35">
      <c r="A44" s="178" t="s">
        <v>186</v>
      </c>
      <c r="B44" s="178" t="s">
        <v>57</v>
      </c>
      <c r="C44" s="178" t="s">
        <v>57</v>
      </c>
      <c r="D44" s="179">
        <v>0</v>
      </c>
      <c r="E44" s="179">
        <v>0</v>
      </c>
      <c r="F44" s="179">
        <v>0</v>
      </c>
      <c r="G44" s="179">
        <v>95095.03</v>
      </c>
      <c r="H44" s="179">
        <v>167956.64</v>
      </c>
      <c r="I44" s="179">
        <v>263051.67</v>
      </c>
    </row>
    <row r="45" spans="1:9" x14ac:dyDescent="0.35">
      <c r="A45" s="178" t="s">
        <v>379</v>
      </c>
      <c r="B45" s="178" t="s">
        <v>57</v>
      </c>
      <c r="C45" s="178" t="s">
        <v>57</v>
      </c>
      <c r="D45" s="179">
        <v>0</v>
      </c>
      <c r="E45" s="179">
        <v>0</v>
      </c>
      <c r="F45" s="179">
        <v>0</v>
      </c>
      <c r="G45" s="179">
        <v>0</v>
      </c>
      <c r="H45" s="179">
        <v>9834.86</v>
      </c>
      <c r="I45" s="179">
        <v>9834.86</v>
      </c>
    </row>
    <row r="46" spans="1:9" x14ac:dyDescent="0.35">
      <c r="A46" s="178" t="s">
        <v>208</v>
      </c>
      <c r="B46" s="178" t="s">
        <v>57</v>
      </c>
      <c r="C46" s="178" t="s">
        <v>57</v>
      </c>
      <c r="D46" s="179">
        <v>0</v>
      </c>
      <c r="E46" s="179">
        <v>0</v>
      </c>
      <c r="F46" s="179">
        <v>0</v>
      </c>
      <c r="G46" s="179">
        <v>71242.720000000001</v>
      </c>
      <c r="H46" s="179">
        <v>66328.39</v>
      </c>
      <c r="I46" s="179">
        <v>137571.10999999999</v>
      </c>
    </row>
    <row r="47" spans="1:9" x14ac:dyDescent="0.35">
      <c r="A47" s="178" t="s">
        <v>312</v>
      </c>
      <c r="B47" s="178" t="s">
        <v>57</v>
      </c>
      <c r="C47" s="178" t="s">
        <v>57</v>
      </c>
      <c r="D47" s="179">
        <v>0</v>
      </c>
      <c r="E47" s="179">
        <v>0</v>
      </c>
      <c r="F47" s="179">
        <v>0</v>
      </c>
      <c r="G47" s="179">
        <v>0</v>
      </c>
      <c r="H47" s="179">
        <v>13006.85</v>
      </c>
      <c r="I47" s="179">
        <v>13006.85</v>
      </c>
    </row>
    <row r="48" spans="1:9" x14ac:dyDescent="0.35">
      <c r="A48" s="178" t="s">
        <v>205</v>
      </c>
      <c r="B48" s="178" t="s">
        <v>57</v>
      </c>
      <c r="C48" s="178" t="s">
        <v>57</v>
      </c>
      <c r="D48" s="179">
        <v>0</v>
      </c>
      <c r="E48" s="179">
        <v>0</v>
      </c>
      <c r="F48" s="179">
        <v>0</v>
      </c>
      <c r="G48" s="179">
        <v>0</v>
      </c>
      <c r="H48" s="179">
        <v>84874.38</v>
      </c>
      <c r="I48" s="179">
        <v>84874.38</v>
      </c>
    </row>
    <row r="49" spans="1:9" x14ac:dyDescent="0.35">
      <c r="A49" s="178" t="s">
        <v>447</v>
      </c>
      <c r="B49" s="178" t="s">
        <v>57</v>
      </c>
      <c r="C49" s="178" t="s">
        <v>57</v>
      </c>
      <c r="D49" s="179">
        <v>0</v>
      </c>
      <c r="E49" s="179">
        <v>0</v>
      </c>
      <c r="F49" s="179">
        <v>0</v>
      </c>
      <c r="G49" s="179">
        <v>0</v>
      </c>
      <c r="H49" s="179">
        <v>3317.36</v>
      </c>
      <c r="I49" s="179">
        <v>3317.36</v>
      </c>
    </row>
    <row r="50" spans="1:9" x14ac:dyDescent="0.35">
      <c r="A50" s="178" t="s">
        <v>3072</v>
      </c>
      <c r="B50" s="178" t="s">
        <v>57</v>
      </c>
      <c r="C50" s="178" t="s">
        <v>57</v>
      </c>
      <c r="D50" s="179">
        <v>0</v>
      </c>
      <c r="E50" s="179">
        <v>0</v>
      </c>
      <c r="F50" s="179">
        <v>0</v>
      </c>
      <c r="G50" s="179">
        <v>3225.18</v>
      </c>
      <c r="H50" s="179">
        <v>0</v>
      </c>
      <c r="I50" s="179">
        <v>3225.18</v>
      </c>
    </row>
    <row r="51" spans="1:9" x14ac:dyDescent="0.35">
      <c r="A51" s="178" t="s">
        <v>212</v>
      </c>
      <c r="B51" s="178" t="s">
        <v>57</v>
      </c>
      <c r="C51" s="178" t="s">
        <v>57</v>
      </c>
      <c r="D51" s="179">
        <v>0</v>
      </c>
      <c r="E51" s="179">
        <v>0</v>
      </c>
      <c r="F51" s="179">
        <v>0</v>
      </c>
      <c r="G51" s="179">
        <v>0</v>
      </c>
      <c r="H51" s="179">
        <v>74472.899999999994</v>
      </c>
      <c r="I51" s="179">
        <v>74472.899999999994</v>
      </c>
    </row>
    <row r="52" spans="1:9" x14ac:dyDescent="0.35">
      <c r="A52" s="178" t="s">
        <v>247</v>
      </c>
      <c r="B52" s="178" t="s">
        <v>57</v>
      </c>
      <c r="C52" s="178" t="s">
        <v>57</v>
      </c>
      <c r="D52" s="179">
        <v>0</v>
      </c>
      <c r="E52" s="179">
        <v>0</v>
      </c>
      <c r="F52" s="179">
        <v>0</v>
      </c>
      <c r="G52" s="179">
        <v>29101.35</v>
      </c>
      <c r="H52" s="179">
        <v>33109.449999999997</v>
      </c>
      <c r="I52" s="179">
        <v>62210.8</v>
      </c>
    </row>
    <row r="53" spans="1:9" x14ac:dyDescent="0.35">
      <c r="A53" s="178" t="s">
        <v>494</v>
      </c>
      <c r="B53" s="178" t="s">
        <v>57</v>
      </c>
      <c r="C53" s="178" t="s">
        <v>57</v>
      </c>
      <c r="D53" s="179">
        <v>0</v>
      </c>
      <c r="E53" s="179">
        <v>0</v>
      </c>
      <c r="F53" s="179">
        <v>0</v>
      </c>
      <c r="G53" s="179">
        <v>0</v>
      </c>
      <c r="H53" s="179">
        <v>9188.27</v>
      </c>
      <c r="I53" s="179">
        <v>9188.27</v>
      </c>
    </row>
    <row r="54" spans="1:9" x14ac:dyDescent="0.35">
      <c r="A54" s="178" t="s">
        <v>424</v>
      </c>
      <c r="B54" s="178" t="s">
        <v>57</v>
      </c>
      <c r="C54" s="178" t="s">
        <v>57</v>
      </c>
      <c r="D54" s="179">
        <v>0</v>
      </c>
      <c r="E54" s="179">
        <v>0</v>
      </c>
      <c r="F54" s="179">
        <v>0</v>
      </c>
      <c r="G54" s="179">
        <v>0</v>
      </c>
      <c r="H54" s="179">
        <v>1508.34</v>
      </c>
      <c r="I54" s="179">
        <v>1508.34</v>
      </c>
    </row>
    <row r="55" spans="1:9" x14ac:dyDescent="0.35">
      <c r="A55" s="178" t="s">
        <v>329</v>
      </c>
      <c r="B55" s="178" t="s">
        <v>57</v>
      </c>
      <c r="C55" s="178" t="s">
        <v>57</v>
      </c>
      <c r="D55" s="179">
        <v>0</v>
      </c>
      <c r="E55" s="179">
        <v>0</v>
      </c>
      <c r="F55" s="179">
        <v>0</v>
      </c>
      <c r="G55" s="179">
        <v>0</v>
      </c>
      <c r="H55" s="179">
        <v>9019</v>
      </c>
      <c r="I55" s="179">
        <v>9019</v>
      </c>
    </row>
    <row r="56" spans="1:9" x14ac:dyDescent="0.35">
      <c r="A56" s="178" t="s">
        <v>200</v>
      </c>
      <c r="B56" s="178" t="s">
        <v>57</v>
      </c>
      <c r="C56" s="178" t="s">
        <v>57</v>
      </c>
      <c r="D56" s="179">
        <v>0</v>
      </c>
      <c r="E56" s="179">
        <v>0</v>
      </c>
      <c r="F56" s="179">
        <v>0</v>
      </c>
      <c r="G56" s="179">
        <v>0</v>
      </c>
      <c r="H56" s="179">
        <v>110551.93</v>
      </c>
      <c r="I56" s="179">
        <v>110551.93</v>
      </c>
    </row>
    <row r="57" spans="1:9" x14ac:dyDescent="0.35">
      <c r="A57" s="178" t="s">
        <v>449</v>
      </c>
      <c r="B57" s="178" t="s">
        <v>57</v>
      </c>
      <c r="C57" s="178" t="s">
        <v>57</v>
      </c>
      <c r="D57" s="179">
        <v>0</v>
      </c>
      <c r="E57" s="179">
        <v>0</v>
      </c>
      <c r="F57" s="179">
        <v>0</v>
      </c>
      <c r="G57" s="179">
        <v>0</v>
      </c>
      <c r="H57" s="179">
        <v>1606.21</v>
      </c>
      <c r="I57" s="179">
        <v>1606.21</v>
      </c>
    </row>
    <row r="58" spans="1:9" x14ac:dyDescent="0.35">
      <c r="A58" s="178" t="s">
        <v>299</v>
      </c>
      <c r="B58" s="178" t="s">
        <v>57</v>
      </c>
      <c r="C58" s="178" t="s">
        <v>57</v>
      </c>
      <c r="D58" s="179">
        <v>0</v>
      </c>
      <c r="E58" s="179">
        <v>0</v>
      </c>
      <c r="F58" s="179">
        <v>0</v>
      </c>
      <c r="G58" s="179">
        <v>0</v>
      </c>
      <c r="H58" s="179">
        <v>7746.86</v>
      </c>
      <c r="I58" s="179">
        <v>7746.86</v>
      </c>
    </row>
    <row r="59" spans="1:9" x14ac:dyDescent="0.35">
      <c r="A59" s="178" t="s">
        <v>407</v>
      </c>
      <c r="B59" s="178" t="s">
        <v>57</v>
      </c>
      <c r="C59" s="178" t="s">
        <v>57</v>
      </c>
      <c r="D59" s="179">
        <v>0</v>
      </c>
      <c r="E59" s="179">
        <v>0</v>
      </c>
      <c r="F59" s="179">
        <v>0</v>
      </c>
      <c r="G59" s="179">
        <v>10972.98</v>
      </c>
      <c r="H59" s="179">
        <v>8025.74</v>
      </c>
      <c r="I59" s="179">
        <v>18998.72</v>
      </c>
    </row>
    <row r="60" spans="1:9" x14ac:dyDescent="0.35">
      <c r="A60" s="178" t="s">
        <v>297</v>
      </c>
      <c r="B60" s="178" t="s">
        <v>57</v>
      </c>
      <c r="C60" s="178" t="s">
        <v>57</v>
      </c>
      <c r="D60" s="179">
        <v>0</v>
      </c>
      <c r="E60" s="179">
        <v>0</v>
      </c>
      <c r="F60" s="179">
        <v>0</v>
      </c>
      <c r="G60" s="179">
        <v>42086.21</v>
      </c>
      <c r="H60" s="179">
        <v>22043.32</v>
      </c>
      <c r="I60" s="179">
        <v>64129.53</v>
      </c>
    </row>
    <row r="61" spans="1:9" x14ac:dyDescent="0.35">
      <c r="A61" s="178" t="s">
        <v>3073</v>
      </c>
      <c r="B61" s="178" t="s">
        <v>57</v>
      </c>
      <c r="C61" s="178" t="s">
        <v>57</v>
      </c>
      <c r="D61" s="179">
        <v>0</v>
      </c>
      <c r="E61" s="179">
        <v>0</v>
      </c>
      <c r="F61" s="179">
        <v>0</v>
      </c>
      <c r="G61" s="179">
        <v>900.45</v>
      </c>
      <c r="H61" s="179">
        <v>0</v>
      </c>
      <c r="I61" s="179">
        <v>900.45</v>
      </c>
    </row>
    <row r="62" spans="1:9" x14ac:dyDescent="0.35">
      <c r="A62" s="178" t="s">
        <v>268</v>
      </c>
      <c r="B62" s="178" t="s">
        <v>57</v>
      </c>
      <c r="C62" s="178" t="s">
        <v>57</v>
      </c>
      <c r="D62" s="179">
        <v>0</v>
      </c>
      <c r="E62" s="179">
        <v>0</v>
      </c>
      <c r="F62" s="179">
        <v>0</v>
      </c>
      <c r="G62" s="179">
        <v>0</v>
      </c>
      <c r="H62" s="179">
        <v>126157.82</v>
      </c>
      <c r="I62" s="179">
        <v>126157.82</v>
      </c>
    </row>
    <row r="63" spans="1:9" x14ac:dyDescent="0.35">
      <c r="A63" s="178" t="s">
        <v>3074</v>
      </c>
      <c r="B63" s="178" t="s">
        <v>57</v>
      </c>
      <c r="C63" s="178" t="s">
        <v>57</v>
      </c>
      <c r="D63" s="179">
        <v>427</v>
      </c>
      <c r="E63" s="179">
        <v>0</v>
      </c>
      <c r="F63" s="179">
        <v>0</v>
      </c>
      <c r="G63" s="179">
        <v>0</v>
      </c>
      <c r="H63" s="179">
        <v>0</v>
      </c>
      <c r="I63" s="179">
        <v>427</v>
      </c>
    </row>
    <row r="64" spans="1:9" x14ac:dyDescent="0.35">
      <c r="A64" s="178" t="s">
        <v>643</v>
      </c>
      <c r="B64" s="178" t="s">
        <v>57</v>
      </c>
      <c r="C64" s="178" t="s">
        <v>57</v>
      </c>
      <c r="D64" s="179">
        <v>0</v>
      </c>
      <c r="E64" s="179">
        <v>0</v>
      </c>
      <c r="F64" s="179">
        <v>0</v>
      </c>
      <c r="G64" s="179">
        <v>18369.29</v>
      </c>
      <c r="H64" s="179">
        <v>0</v>
      </c>
      <c r="I64" s="179">
        <v>18369.29</v>
      </c>
    </row>
    <row r="65" spans="1:9" x14ac:dyDescent="0.35">
      <c r="A65" s="178" t="s">
        <v>177</v>
      </c>
      <c r="B65" s="178" t="s">
        <v>57</v>
      </c>
      <c r="C65" s="178" t="s">
        <v>57</v>
      </c>
      <c r="D65" s="179">
        <v>0</v>
      </c>
      <c r="E65" s="179">
        <v>0</v>
      </c>
      <c r="F65" s="179">
        <v>0</v>
      </c>
      <c r="G65" s="179">
        <v>224324.42</v>
      </c>
      <c r="H65" s="179">
        <v>587246.68999999994</v>
      </c>
      <c r="I65" s="179">
        <v>811571.11</v>
      </c>
    </row>
    <row r="66" spans="1:9" x14ac:dyDescent="0.35">
      <c r="A66" s="178" t="s">
        <v>444</v>
      </c>
      <c r="B66" s="178" t="s">
        <v>57</v>
      </c>
      <c r="C66" s="178" t="s">
        <v>57</v>
      </c>
      <c r="D66" s="179">
        <v>0</v>
      </c>
      <c r="E66" s="179">
        <v>0</v>
      </c>
      <c r="F66" s="179">
        <v>0</v>
      </c>
      <c r="G66" s="179">
        <v>0</v>
      </c>
      <c r="H66" s="179">
        <v>4125.28</v>
      </c>
      <c r="I66" s="179">
        <v>4125.28</v>
      </c>
    </row>
    <row r="67" spans="1:9" x14ac:dyDescent="0.35">
      <c r="A67" s="178" t="s">
        <v>183</v>
      </c>
      <c r="B67" s="178" t="s">
        <v>57</v>
      </c>
      <c r="C67" s="178" t="s">
        <v>57</v>
      </c>
      <c r="D67" s="179">
        <v>0</v>
      </c>
      <c r="E67" s="179">
        <v>0</v>
      </c>
      <c r="F67" s="179">
        <v>0</v>
      </c>
      <c r="G67" s="179">
        <v>0</v>
      </c>
      <c r="H67" s="179">
        <v>1196.46</v>
      </c>
      <c r="I67" s="179">
        <v>1196.46</v>
      </c>
    </row>
    <row r="68" spans="1:9" x14ac:dyDescent="0.35">
      <c r="A68" s="178" t="s">
        <v>203</v>
      </c>
      <c r="B68" s="178" t="s">
        <v>57</v>
      </c>
      <c r="C68" s="178" t="s">
        <v>57</v>
      </c>
      <c r="D68" s="179">
        <v>0</v>
      </c>
      <c r="E68" s="179">
        <v>0</v>
      </c>
      <c r="F68" s="179">
        <v>0</v>
      </c>
      <c r="G68" s="179">
        <v>47175.99</v>
      </c>
      <c r="H68" s="179">
        <v>103091.06</v>
      </c>
      <c r="I68" s="179">
        <v>150267.04999999999</v>
      </c>
    </row>
    <row r="69" spans="1:9" x14ac:dyDescent="0.35">
      <c r="A69" s="178" t="s">
        <v>220</v>
      </c>
      <c r="B69" s="178" t="s">
        <v>57</v>
      </c>
      <c r="C69" s="178" t="s">
        <v>57</v>
      </c>
      <c r="D69" s="179">
        <v>0</v>
      </c>
      <c r="E69" s="179">
        <v>0</v>
      </c>
      <c r="F69" s="179">
        <v>0</v>
      </c>
      <c r="G69" s="179">
        <v>0</v>
      </c>
      <c r="H69" s="179">
        <v>2305.75</v>
      </c>
      <c r="I69" s="179">
        <v>2305.75</v>
      </c>
    </row>
    <row r="70" spans="1:9" x14ac:dyDescent="0.35">
      <c r="A70" s="178" t="s">
        <v>344</v>
      </c>
      <c r="B70" s="178" t="s">
        <v>57</v>
      </c>
      <c r="C70" s="178" t="s">
        <v>57</v>
      </c>
      <c r="D70" s="179">
        <v>0</v>
      </c>
      <c r="E70" s="179">
        <v>0</v>
      </c>
      <c r="F70" s="179">
        <v>0</v>
      </c>
      <c r="G70" s="179">
        <v>0</v>
      </c>
      <c r="H70" s="179">
        <v>12054.14</v>
      </c>
      <c r="I70" s="179">
        <v>12054.14</v>
      </c>
    </row>
    <row r="71" spans="1:9" x14ac:dyDescent="0.35">
      <c r="A71" s="178" t="s">
        <v>300</v>
      </c>
      <c r="B71" s="178" t="s">
        <v>57</v>
      </c>
      <c r="C71" s="178" t="s">
        <v>57</v>
      </c>
      <c r="D71" s="179">
        <v>0</v>
      </c>
      <c r="E71" s="179">
        <v>0</v>
      </c>
      <c r="F71" s="179">
        <v>0</v>
      </c>
      <c r="G71" s="179">
        <v>0</v>
      </c>
      <c r="H71" s="179">
        <v>20584.39</v>
      </c>
      <c r="I71" s="179">
        <v>20584.39</v>
      </c>
    </row>
    <row r="72" spans="1:9" x14ac:dyDescent="0.35">
      <c r="A72" s="178" t="s">
        <v>204</v>
      </c>
      <c r="B72" s="178" t="s">
        <v>57</v>
      </c>
      <c r="C72" s="178" t="s">
        <v>57</v>
      </c>
      <c r="D72" s="179">
        <v>0</v>
      </c>
      <c r="E72" s="179">
        <v>0</v>
      </c>
      <c r="F72" s="179">
        <v>0</v>
      </c>
      <c r="G72" s="179">
        <v>0</v>
      </c>
      <c r="H72" s="179">
        <v>7725.58</v>
      </c>
      <c r="I72" s="179">
        <v>7725.58</v>
      </c>
    </row>
    <row r="73" spans="1:9" x14ac:dyDescent="0.35">
      <c r="A73" s="178" t="s">
        <v>285</v>
      </c>
      <c r="B73" s="178" t="s">
        <v>57</v>
      </c>
      <c r="C73" s="178" t="s">
        <v>57</v>
      </c>
      <c r="D73" s="179">
        <v>0</v>
      </c>
      <c r="E73" s="179">
        <v>0</v>
      </c>
      <c r="F73" s="179">
        <v>0</v>
      </c>
      <c r="G73" s="179">
        <v>4364.1099999999997</v>
      </c>
      <c r="H73" s="179">
        <v>15870.58</v>
      </c>
      <c r="I73" s="179">
        <v>20234.689999999999</v>
      </c>
    </row>
    <row r="74" spans="1:9" x14ac:dyDescent="0.35">
      <c r="A74" s="178" t="s">
        <v>227</v>
      </c>
      <c r="B74" s="178" t="s">
        <v>57</v>
      </c>
      <c r="C74" s="178" t="s">
        <v>57</v>
      </c>
      <c r="D74" s="179">
        <v>0</v>
      </c>
      <c r="E74" s="179">
        <v>0</v>
      </c>
      <c r="F74" s="179">
        <v>0</v>
      </c>
      <c r="G74" s="179">
        <v>42928.26</v>
      </c>
      <c r="H74" s="179">
        <v>34245.1</v>
      </c>
      <c r="I74" s="179">
        <v>77173.36</v>
      </c>
    </row>
    <row r="75" spans="1:9" x14ac:dyDescent="0.35">
      <c r="A75" s="178" t="s">
        <v>178</v>
      </c>
      <c r="B75" s="178" t="s">
        <v>57</v>
      </c>
      <c r="C75" s="178" t="s">
        <v>57</v>
      </c>
      <c r="D75" s="179">
        <v>0</v>
      </c>
      <c r="E75" s="179">
        <v>0</v>
      </c>
      <c r="F75" s="179">
        <v>0</v>
      </c>
      <c r="G75" s="179">
        <v>148279.51</v>
      </c>
      <c r="H75" s="179">
        <v>345047.11</v>
      </c>
      <c r="I75" s="179">
        <v>493326.62</v>
      </c>
    </row>
    <row r="76" spans="1:9" x14ac:dyDescent="0.35">
      <c r="A76" s="178" t="s">
        <v>211</v>
      </c>
      <c r="B76" s="178" t="s">
        <v>57</v>
      </c>
      <c r="C76" s="178" t="s">
        <v>57</v>
      </c>
      <c r="D76" s="179">
        <v>0</v>
      </c>
      <c r="E76" s="179">
        <v>0</v>
      </c>
      <c r="F76" s="179">
        <v>0</v>
      </c>
      <c r="G76" s="179">
        <v>81979.67</v>
      </c>
      <c r="H76" s="179">
        <v>51161.78</v>
      </c>
      <c r="I76" s="179">
        <v>133141.45000000001</v>
      </c>
    </row>
    <row r="77" spans="1:9" x14ac:dyDescent="0.35">
      <c r="A77" s="178" t="s">
        <v>672</v>
      </c>
      <c r="B77" s="178" t="s">
        <v>57</v>
      </c>
      <c r="C77" s="178" t="s">
        <v>57</v>
      </c>
      <c r="D77" s="179">
        <v>0</v>
      </c>
      <c r="E77" s="179">
        <v>0</v>
      </c>
      <c r="F77" s="179">
        <v>0</v>
      </c>
      <c r="G77" s="179">
        <v>0</v>
      </c>
      <c r="H77" s="179">
        <v>685.86</v>
      </c>
      <c r="I77" s="179">
        <v>685.86</v>
      </c>
    </row>
    <row r="78" spans="1:9" x14ac:dyDescent="0.35">
      <c r="A78" s="178" t="s">
        <v>262</v>
      </c>
      <c r="B78" s="178" t="s">
        <v>57</v>
      </c>
      <c r="C78" s="178" t="s">
        <v>57</v>
      </c>
      <c r="D78" s="179">
        <v>0</v>
      </c>
      <c r="E78" s="179">
        <v>0</v>
      </c>
      <c r="F78" s="179">
        <v>0</v>
      </c>
      <c r="G78" s="179">
        <v>0</v>
      </c>
      <c r="H78" s="179">
        <v>21070.76</v>
      </c>
      <c r="I78" s="179">
        <v>21070.76</v>
      </c>
    </row>
    <row r="79" spans="1:9" x14ac:dyDescent="0.35">
      <c r="A79" s="178" t="s">
        <v>545</v>
      </c>
      <c r="B79" s="178" t="s">
        <v>57</v>
      </c>
      <c r="C79" s="178" t="s">
        <v>57</v>
      </c>
      <c r="D79" s="179">
        <v>0</v>
      </c>
      <c r="E79" s="179">
        <v>0</v>
      </c>
      <c r="F79" s="179">
        <v>0</v>
      </c>
      <c r="G79" s="179">
        <v>0</v>
      </c>
      <c r="H79" s="179">
        <v>1706.03</v>
      </c>
      <c r="I79" s="179">
        <v>1706.03</v>
      </c>
    </row>
    <row r="80" spans="1:9" x14ac:dyDescent="0.35">
      <c r="A80" s="178" t="s">
        <v>279</v>
      </c>
      <c r="B80" s="178" t="s">
        <v>57</v>
      </c>
      <c r="C80" s="178" t="s">
        <v>57</v>
      </c>
      <c r="D80" s="179">
        <v>0</v>
      </c>
      <c r="E80" s="179">
        <v>0</v>
      </c>
      <c r="F80" s="179">
        <v>0</v>
      </c>
      <c r="G80" s="179">
        <v>39391.35</v>
      </c>
      <c r="H80" s="179">
        <v>24301.81</v>
      </c>
      <c r="I80" s="179">
        <v>63693.16</v>
      </c>
    </row>
    <row r="81" spans="1:9" x14ac:dyDescent="0.35">
      <c r="A81" s="178" t="s">
        <v>374</v>
      </c>
      <c r="B81" s="178" t="s">
        <v>57</v>
      </c>
      <c r="C81" s="178" t="s">
        <v>57</v>
      </c>
      <c r="D81" s="179">
        <v>0</v>
      </c>
      <c r="E81" s="179">
        <v>0</v>
      </c>
      <c r="F81" s="179">
        <v>0</v>
      </c>
      <c r="G81" s="179">
        <v>0</v>
      </c>
      <c r="H81" s="179">
        <v>1376.79</v>
      </c>
      <c r="I81" s="179">
        <v>1376.79</v>
      </c>
    </row>
    <row r="82" spans="1:9" x14ac:dyDescent="0.35">
      <c r="A82" s="178" t="s">
        <v>234</v>
      </c>
      <c r="B82" s="178" t="s">
        <v>57</v>
      </c>
      <c r="C82" s="178" t="s">
        <v>57</v>
      </c>
      <c r="D82" s="179">
        <v>0</v>
      </c>
      <c r="E82" s="179">
        <v>0</v>
      </c>
      <c r="F82" s="179">
        <v>0</v>
      </c>
      <c r="G82" s="179">
        <v>22097.4</v>
      </c>
      <c r="H82" s="179">
        <v>46740.19</v>
      </c>
      <c r="I82" s="179">
        <v>68837.59</v>
      </c>
    </row>
    <row r="83" spans="1:9" x14ac:dyDescent="0.35">
      <c r="A83" s="178" t="s">
        <v>196</v>
      </c>
      <c r="B83" s="178" t="s">
        <v>57</v>
      </c>
      <c r="C83" s="178" t="s">
        <v>57</v>
      </c>
      <c r="D83" s="179">
        <v>0</v>
      </c>
      <c r="E83" s="179">
        <v>0</v>
      </c>
      <c r="F83" s="179">
        <v>0</v>
      </c>
      <c r="G83" s="179">
        <v>0</v>
      </c>
      <c r="H83" s="179">
        <v>18096.740000000002</v>
      </c>
      <c r="I83" s="179">
        <v>18096.740000000002</v>
      </c>
    </row>
    <row r="84" spans="1:9" x14ac:dyDescent="0.35">
      <c r="A84" s="178" t="s">
        <v>338</v>
      </c>
      <c r="B84" s="178" t="s">
        <v>57</v>
      </c>
      <c r="C84" s="178" t="s">
        <v>57</v>
      </c>
      <c r="D84" s="179">
        <v>0</v>
      </c>
      <c r="E84" s="179">
        <v>0</v>
      </c>
      <c r="F84" s="179">
        <v>0</v>
      </c>
      <c r="G84" s="179">
        <v>29723.73</v>
      </c>
      <c r="H84" s="179">
        <v>14345.73</v>
      </c>
      <c r="I84" s="179">
        <v>44069.46</v>
      </c>
    </row>
    <row r="85" spans="1:9" x14ac:dyDescent="0.35">
      <c r="A85" s="178" t="s">
        <v>181</v>
      </c>
      <c r="B85" s="178" t="s">
        <v>57</v>
      </c>
      <c r="C85" s="178" t="s">
        <v>57</v>
      </c>
      <c r="D85" s="179">
        <v>0</v>
      </c>
      <c r="E85" s="179">
        <v>0</v>
      </c>
      <c r="F85" s="179">
        <v>0</v>
      </c>
      <c r="G85" s="179">
        <v>21286.02</v>
      </c>
      <c r="H85" s="179">
        <v>238449.17</v>
      </c>
      <c r="I85" s="179">
        <v>259735.19</v>
      </c>
    </row>
    <row r="86" spans="1:9" x14ac:dyDescent="0.35">
      <c r="A86" s="178" t="s">
        <v>536</v>
      </c>
      <c r="B86" s="178" t="s">
        <v>57</v>
      </c>
      <c r="C86" s="178" t="s">
        <v>57</v>
      </c>
      <c r="D86" s="179">
        <v>0</v>
      </c>
      <c r="E86" s="179">
        <v>0</v>
      </c>
      <c r="F86" s="179">
        <v>0</v>
      </c>
      <c r="G86" s="179">
        <v>0</v>
      </c>
      <c r="H86" s="179">
        <v>249.97</v>
      </c>
      <c r="I86" s="179">
        <v>249.97</v>
      </c>
    </row>
    <row r="87" spans="1:9" x14ac:dyDescent="0.35">
      <c r="A87" s="178" t="s">
        <v>237</v>
      </c>
      <c r="B87" s="178" t="s">
        <v>57</v>
      </c>
      <c r="C87" s="178" t="s">
        <v>57</v>
      </c>
      <c r="D87" s="179">
        <v>0</v>
      </c>
      <c r="E87" s="179">
        <v>0</v>
      </c>
      <c r="F87" s="179">
        <v>0</v>
      </c>
      <c r="G87" s="179">
        <v>0</v>
      </c>
      <c r="H87" s="179">
        <v>42846.83</v>
      </c>
      <c r="I87" s="179">
        <v>42846.83</v>
      </c>
    </row>
    <row r="88" spans="1:9" x14ac:dyDescent="0.35">
      <c r="A88" s="178" t="s">
        <v>311</v>
      </c>
      <c r="B88" s="178" t="s">
        <v>57</v>
      </c>
      <c r="C88" s="178" t="s">
        <v>57</v>
      </c>
      <c r="D88" s="179">
        <v>0</v>
      </c>
      <c r="E88" s="179">
        <v>0</v>
      </c>
      <c r="F88" s="179">
        <v>0</v>
      </c>
      <c r="G88" s="179">
        <v>22764.26</v>
      </c>
      <c r="H88" s="179">
        <v>16179.42</v>
      </c>
      <c r="I88" s="179">
        <v>38943.68</v>
      </c>
    </row>
    <row r="89" spans="1:9" x14ac:dyDescent="0.35">
      <c r="A89" s="178" t="s">
        <v>590</v>
      </c>
      <c r="B89" s="178" t="s">
        <v>57</v>
      </c>
      <c r="C89" s="178" t="s">
        <v>57</v>
      </c>
      <c r="D89" s="179">
        <v>0</v>
      </c>
      <c r="E89" s="179">
        <v>0</v>
      </c>
      <c r="F89" s="179">
        <v>0</v>
      </c>
      <c r="G89" s="179">
        <v>0</v>
      </c>
      <c r="H89" s="179">
        <v>1880.49</v>
      </c>
      <c r="I89" s="179">
        <v>1880.49</v>
      </c>
    </row>
    <row r="90" spans="1:9" x14ac:dyDescent="0.35">
      <c r="A90" s="178" t="s">
        <v>609</v>
      </c>
      <c r="B90" s="178" t="s">
        <v>57</v>
      </c>
      <c r="C90" s="178" t="s">
        <v>57</v>
      </c>
      <c r="D90" s="179">
        <v>0</v>
      </c>
      <c r="E90" s="179">
        <v>0</v>
      </c>
      <c r="F90" s="179">
        <v>0</v>
      </c>
      <c r="G90" s="179">
        <v>0</v>
      </c>
      <c r="H90" s="179">
        <v>1680.73</v>
      </c>
      <c r="I90" s="179">
        <v>1680.73</v>
      </c>
    </row>
    <row r="91" spans="1:9" x14ac:dyDescent="0.35">
      <c r="A91" s="178" t="s">
        <v>363</v>
      </c>
      <c r="B91" s="178" t="s">
        <v>57</v>
      </c>
      <c r="C91" s="178" t="s">
        <v>57</v>
      </c>
      <c r="D91" s="179">
        <v>0</v>
      </c>
      <c r="E91" s="179">
        <v>0</v>
      </c>
      <c r="F91" s="179">
        <v>0</v>
      </c>
      <c r="G91" s="179">
        <v>0</v>
      </c>
      <c r="H91" s="179">
        <v>7257.94</v>
      </c>
      <c r="I91" s="179">
        <v>7257.94</v>
      </c>
    </row>
    <row r="92" spans="1:9" x14ac:dyDescent="0.35">
      <c r="A92" s="178" t="s">
        <v>335</v>
      </c>
      <c r="B92" s="178" t="s">
        <v>57</v>
      </c>
      <c r="C92" s="178" t="s">
        <v>57</v>
      </c>
      <c r="D92" s="179">
        <v>0</v>
      </c>
      <c r="E92" s="179">
        <v>0</v>
      </c>
      <c r="F92" s="179">
        <v>4199.1899999999996</v>
      </c>
      <c r="G92" s="179">
        <v>14307.71</v>
      </c>
      <c r="H92" s="179">
        <v>15486.46</v>
      </c>
      <c r="I92" s="179">
        <v>33993.360000000001</v>
      </c>
    </row>
    <row r="93" spans="1:9" x14ac:dyDescent="0.35">
      <c r="A93" s="178" t="s">
        <v>280</v>
      </c>
      <c r="B93" s="178" t="s">
        <v>57</v>
      </c>
      <c r="C93" s="178" t="s">
        <v>57</v>
      </c>
      <c r="D93" s="179">
        <v>0</v>
      </c>
      <c r="E93" s="179">
        <v>0</v>
      </c>
      <c r="F93" s="179">
        <v>0</v>
      </c>
      <c r="G93" s="179">
        <v>0</v>
      </c>
      <c r="H93" s="179">
        <v>10361.58</v>
      </c>
      <c r="I93" s="179">
        <v>10361.58</v>
      </c>
    </row>
    <row r="94" spans="1:9" x14ac:dyDescent="0.35">
      <c r="A94" s="178" t="s">
        <v>271</v>
      </c>
      <c r="B94" s="178" t="s">
        <v>57</v>
      </c>
      <c r="C94" s="178" t="s">
        <v>57</v>
      </c>
      <c r="D94" s="179">
        <v>0</v>
      </c>
      <c r="E94" s="179">
        <v>0</v>
      </c>
      <c r="F94" s="179">
        <v>0</v>
      </c>
      <c r="G94" s="179">
        <v>0</v>
      </c>
      <c r="H94" s="179">
        <v>29974.93</v>
      </c>
      <c r="I94" s="179">
        <v>29974.93</v>
      </c>
    </row>
    <row r="95" spans="1:9" x14ac:dyDescent="0.35">
      <c r="A95" s="178" t="s">
        <v>192</v>
      </c>
      <c r="B95" s="178" t="s">
        <v>57</v>
      </c>
      <c r="C95" s="178" t="s">
        <v>57</v>
      </c>
      <c r="D95" s="179">
        <v>0</v>
      </c>
      <c r="E95" s="179">
        <v>0</v>
      </c>
      <c r="F95" s="179">
        <v>0</v>
      </c>
      <c r="G95" s="179">
        <v>0</v>
      </c>
      <c r="H95" s="179">
        <v>91273.34</v>
      </c>
      <c r="I95" s="179">
        <v>91273.34</v>
      </c>
    </row>
    <row r="96" spans="1:9" x14ac:dyDescent="0.35">
      <c r="A96" s="178" t="s">
        <v>252</v>
      </c>
      <c r="B96" s="178" t="s">
        <v>57</v>
      </c>
      <c r="C96" s="178" t="s">
        <v>57</v>
      </c>
      <c r="D96" s="179">
        <v>0</v>
      </c>
      <c r="E96" s="179">
        <v>0</v>
      </c>
      <c r="F96" s="179">
        <v>0</v>
      </c>
      <c r="G96" s="179">
        <v>0</v>
      </c>
      <c r="H96" s="179">
        <v>9969.09</v>
      </c>
      <c r="I96" s="179">
        <v>9969.09</v>
      </c>
    </row>
    <row r="97" spans="1:9" x14ac:dyDescent="0.35">
      <c r="A97" s="178" t="s">
        <v>207</v>
      </c>
      <c r="B97" s="178" t="s">
        <v>57</v>
      </c>
      <c r="C97" s="178" t="s">
        <v>57</v>
      </c>
      <c r="D97" s="179">
        <v>0</v>
      </c>
      <c r="E97" s="179">
        <v>0</v>
      </c>
      <c r="F97" s="179">
        <v>0</v>
      </c>
      <c r="G97" s="179">
        <v>58040.86</v>
      </c>
      <c r="H97" s="179">
        <v>77369.36</v>
      </c>
      <c r="I97" s="179">
        <v>135410.22</v>
      </c>
    </row>
    <row r="98" spans="1:9" x14ac:dyDescent="0.35">
      <c r="A98" s="178" t="s">
        <v>477</v>
      </c>
      <c r="B98" s="178" t="s">
        <v>57</v>
      </c>
      <c r="C98" s="178" t="s">
        <v>57</v>
      </c>
      <c r="D98" s="179">
        <v>4914.51</v>
      </c>
      <c r="E98" s="179">
        <v>0</v>
      </c>
      <c r="F98" s="179">
        <v>0</v>
      </c>
      <c r="G98" s="179">
        <v>0</v>
      </c>
      <c r="H98" s="179">
        <v>2875.46</v>
      </c>
      <c r="I98" s="179">
        <v>7789.97</v>
      </c>
    </row>
    <row r="99" spans="1:9" x14ac:dyDescent="0.35">
      <c r="A99" s="178" t="s">
        <v>573</v>
      </c>
      <c r="B99" s="178" t="s">
        <v>57</v>
      </c>
      <c r="C99" s="178" t="s">
        <v>57</v>
      </c>
      <c r="D99" s="179">
        <v>0</v>
      </c>
      <c r="E99" s="179">
        <v>0</v>
      </c>
      <c r="F99" s="179">
        <v>2340.16</v>
      </c>
      <c r="G99" s="179">
        <v>0</v>
      </c>
      <c r="H99" s="179">
        <v>6721.75</v>
      </c>
      <c r="I99" s="179">
        <v>9061.91</v>
      </c>
    </row>
    <row r="100" spans="1:9" x14ac:dyDescent="0.35">
      <c r="A100" s="178" t="s">
        <v>448</v>
      </c>
      <c r="B100" s="178" t="s">
        <v>57</v>
      </c>
      <c r="C100" s="178" t="s">
        <v>57</v>
      </c>
      <c r="D100" s="179">
        <v>0</v>
      </c>
      <c r="E100" s="179">
        <v>0</v>
      </c>
      <c r="F100" s="179">
        <v>0</v>
      </c>
      <c r="G100" s="179">
        <v>0</v>
      </c>
      <c r="H100" s="179">
        <v>3237.25</v>
      </c>
      <c r="I100" s="179">
        <v>3237.25</v>
      </c>
    </row>
    <row r="101" spans="1:9" x14ac:dyDescent="0.35">
      <c r="A101" s="178" t="s">
        <v>464</v>
      </c>
      <c r="B101" s="178" t="s">
        <v>57</v>
      </c>
      <c r="C101" s="178" t="s">
        <v>57</v>
      </c>
      <c r="D101" s="179">
        <v>0</v>
      </c>
      <c r="E101" s="179">
        <v>0</v>
      </c>
      <c r="F101" s="179">
        <v>0</v>
      </c>
      <c r="G101" s="179">
        <v>1983.52</v>
      </c>
      <c r="H101" s="179">
        <v>4625.25</v>
      </c>
      <c r="I101" s="179">
        <v>6608.77</v>
      </c>
    </row>
    <row r="102" spans="1:9" x14ac:dyDescent="0.35">
      <c r="A102" s="178" t="s">
        <v>3075</v>
      </c>
      <c r="B102" s="178" t="s">
        <v>57</v>
      </c>
      <c r="C102" s="178" t="s">
        <v>57</v>
      </c>
      <c r="D102" s="179">
        <v>60245.58</v>
      </c>
      <c r="E102" s="179">
        <v>0</v>
      </c>
      <c r="F102" s="179">
        <v>0</v>
      </c>
      <c r="G102" s="179">
        <v>0</v>
      </c>
      <c r="H102" s="179">
        <v>0</v>
      </c>
      <c r="I102" s="179">
        <v>60245.58</v>
      </c>
    </row>
    <row r="103" spans="1:9" x14ac:dyDescent="0.35">
      <c r="A103" s="178" t="s">
        <v>292</v>
      </c>
      <c r="B103" s="178" t="s">
        <v>57</v>
      </c>
      <c r="C103" s="178" t="s">
        <v>57</v>
      </c>
      <c r="D103" s="179">
        <v>0</v>
      </c>
      <c r="E103" s="179">
        <v>0</v>
      </c>
      <c r="F103" s="179">
        <v>0</v>
      </c>
      <c r="G103" s="179">
        <v>26138.52</v>
      </c>
      <c r="H103" s="179">
        <v>18032.59</v>
      </c>
      <c r="I103" s="179">
        <v>44171.11</v>
      </c>
    </row>
    <row r="104" spans="1:9" x14ac:dyDescent="0.35">
      <c r="A104" s="178" t="s">
        <v>605</v>
      </c>
      <c r="B104" s="178" t="s">
        <v>57</v>
      </c>
      <c r="C104" s="178" t="s">
        <v>57</v>
      </c>
      <c r="D104" s="179">
        <v>0</v>
      </c>
      <c r="E104" s="179">
        <v>0</v>
      </c>
      <c r="F104" s="179">
        <v>0</v>
      </c>
      <c r="G104" s="179">
        <v>3007.71</v>
      </c>
      <c r="H104" s="179">
        <v>1552.5</v>
      </c>
      <c r="I104" s="179">
        <v>4560.21</v>
      </c>
    </row>
    <row r="105" spans="1:9" x14ac:dyDescent="0.35">
      <c r="A105" s="178" t="s">
        <v>503</v>
      </c>
      <c r="B105" s="178" t="s">
        <v>57</v>
      </c>
      <c r="C105" s="178" t="s">
        <v>57</v>
      </c>
      <c r="D105" s="179">
        <v>0</v>
      </c>
      <c r="E105" s="179">
        <v>0</v>
      </c>
      <c r="F105" s="179">
        <v>0</v>
      </c>
      <c r="G105" s="179">
        <v>0</v>
      </c>
      <c r="H105" s="179">
        <v>3704.61</v>
      </c>
      <c r="I105" s="179">
        <v>3704.61</v>
      </c>
    </row>
    <row r="106" spans="1:9" x14ac:dyDescent="0.35">
      <c r="A106" s="178" t="s">
        <v>238</v>
      </c>
      <c r="B106" s="178" t="s">
        <v>57</v>
      </c>
      <c r="C106" s="178" t="s">
        <v>57</v>
      </c>
      <c r="D106" s="179">
        <v>0</v>
      </c>
      <c r="E106" s="179">
        <v>0</v>
      </c>
      <c r="F106" s="179">
        <v>0</v>
      </c>
      <c r="G106" s="179">
        <v>18219.46</v>
      </c>
      <c r="H106" s="179">
        <v>36242.379999999997</v>
      </c>
      <c r="I106" s="179">
        <v>54461.84</v>
      </c>
    </row>
    <row r="107" spans="1:9" x14ac:dyDescent="0.35">
      <c r="A107" s="178" t="s">
        <v>217</v>
      </c>
      <c r="B107" s="178" t="s">
        <v>57</v>
      </c>
      <c r="C107" s="178" t="s">
        <v>57</v>
      </c>
      <c r="D107" s="179">
        <v>0</v>
      </c>
      <c r="E107" s="179">
        <v>0</v>
      </c>
      <c r="F107" s="179">
        <v>0</v>
      </c>
      <c r="G107" s="179">
        <v>0</v>
      </c>
      <c r="H107" s="179">
        <v>60038.02</v>
      </c>
      <c r="I107" s="179">
        <v>60038.02</v>
      </c>
    </row>
    <row r="108" spans="1:9" x14ac:dyDescent="0.35">
      <c r="A108" s="178" t="s">
        <v>692</v>
      </c>
      <c r="B108" s="178" t="s">
        <v>57</v>
      </c>
      <c r="C108" s="178" t="s">
        <v>57</v>
      </c>
      <c r="D108" s="179">
        <v>0</v>
      </c>
      <c r="E108" s="179">
        <v>0</v>
      </c>
      <c r="F108" s="179">
        <v>0</v>
      </c>
      <c r="G108" s="179">
        <v>15536.68</v>
      </c>
      <c r="H108" s="179">
        <v>0</v>
      </c>
      <c r="I108" s="179">
        <v>15536.68</v>
      </c>
    </row>
    <row r="109" spans="1:9" x14ac:dyDescent="0.35">
      <c r="A109" s="178" t="s">
        <v>331</v>
      </c>
      <c r="B109" s="178" t="s">
        <v>57</v>
      </c>
      <c r="C109" s="178" t="s">
        <v>57</v>
      </c>
      <c r="D109" s="179">
        <v>0</v>
      </c>
      <c r="E109" s="179">
        <v>0</v>
      </c>
      <c r="F109" s="179">
        <v>0</v>
      </c>
      <c r="G109" s="179">
        <v>0</v>
      </c>
      <c r="H109" s="179">
        <v>8603.16</v>
      </c>
      <c r="I109" s="179">
        <v>8603.16</v>
      </c>
    </row>
    <row r="110" spans="1:9" x14ac:dyDescent="0.35">
      <c r="A110" s="178" t="s">
        <v>3076</v>
      </c>
      <c r="B110" s="178" t="s">
        <v>57</v>
      </c>
      <c r="C110" s="178" t="s">
        <v>57</v>
      </c>
      <c r="D110" s="179">
        <v>2571.98</v>
      </c>
      <c r="E110" s="179">
        <v>0</v>
      </c>
      <c r="F110" s="179">
        <v>0</v>
      </c>
      <c r="G110" s="179">
        <v>0</v>
      </c>
      <c r="H110" s="179">
        <v>0</v>
      </c>
      <c r="I110" s="179">
        <v>2571.98</v>
      </c>
    </row>
    <row r="111" spans="1:9" x14ac:dyDescent="0.35">
      <c r="A111" s="178" t="s">
        <v>378</v>
      </c>
      <c r="B111" s="178" t="s">
        <v>57</v>
      </c>
      <c r="C111" s="178" t="s">
        <v>57</v>
      </c>
      <c r="D111" s="179">
        <v>0</v>
      </c>
      <c r="E111" s="179">
        <v>11498.63</v>
      </c>
      <c r="F111" s="179">
        <v>67786.38</v>
      </c>
      <c r="G111" s="179">
        <v>4415.05</v>
      </c>
      <c r="H111" s="179">
        <v>7105.91</v>
      </c>
      <c r="I111" s="179">
        <v>90805.97</v>
      </c>
    </row>
    <row r="112" spans="1:9" x14ac:dyDescent="0.35">
      <c r="A112" s="178" t="s">
        <v>281</v>
      </c>
      <c r="B112" s="178" t="s">
        <v>57</v>
      </c>
      <c r="C112" s="178" t="s">
        <v>57</v>
      </c>
      <c r="D112" s="179">
        <v>0</v>
      </c>
      <c r="E112" s="179">
        <v>0</v>
      </c>
      <c r="F112" s="179">
        <v>0</v>
      </c>
      <c r="G112" s="179">
        <v>0</v>
      </c>
      <c r="H112" s="179">
        <v>909.08</v>
      </c>
      <c r="I112" s="179">
        <v>909.08</v>
      </c>
    </row>
    <row r="113" spans="1:9" x14ac:dyDescent="0.35">
      <c r="A113" s="178" t="s">
        <v>445</v>
      </c>
      <c r="B113" s="178" t="s">
        <v>57</v>
      </c>
      <c r="C113" s="178" t="s">
        <v>57</v>
      </c>
      <c r="D113" s="179">
        <v>0</v>
      </c>
      <c r="E113" s="179">
        <v>0</v>
      </c>
      <c r="F113" s="179">
        <v>0</v>
      </c>
      <c r="G113" s="179">
        <v>0</v>
      </c>
      <c r="H113" s="179">
        <v>2027.45</v>
      </c>
      <c r="I113" s="179">
        <v>2027.45</v>
      </c>
    </row>
    <row r="114" spans="1:9" x14ac:dyDescent="0.35">
      <c r="A114" s="178" t="s">
        <v>199</v>
      </c>
      <c r="B114" s="178" t="s">
        <v>57</v>
      </c>
      <c r="C114" s="178" t="s">
        <v>57</v>
      </c>
      <c r="D114" s="179">
        <v>0</v>
      </c>
      <c r="E114" s="179">
        <v>0</v>
      </c>
      <c r="F114" s="179">
        <v>25318.51</v>
      </c>
      <c r="G114" s="179">
        <v>40107.980000000003</v>
      </c>
      <c r="H114" s="179">
        <v>94012.56</v>
      </c>
      <c r="I114" s="179">
        <v>159439.04999999999</v>
      </c>
    </row>
    <row r="115" spans="1:9" x14ac:dyDescent="0.35">
      <c r="A115" s="178" t="s">
        <v>561</v>
      </c>
      <c r="B115" s="178" t="s">
        <v>57</v>
      </c>
      <c r="C115" s="178" t="s">
        <v>57</v>
      </c>
      <c r="D115" s="179">
        <v>0</v>
      </c>
      <c r="E115" s="179">
        <v>0</v>
      </c>
      <c r="F115" s="179">
        <v>0</v>
      </c>
      <c r="G115" s="179">
        <v>0</v>
      </c>
      <c r="H115" s="179">
        <v>1560.09</v>
      </c>
      <c r="I115" s="179">
        <v>1560.09</v>
      </c>
    </row>
    <row r="116" spans="1:9" x14ac:dyDescent="0.35">
      <c r="A116" s="178" t="s">
        <v>189</v>
      </c>
      <c r="B116" s="178" t="s">
        <v>57</v>
      </c>
      <c r="C116" s="178" t="s">
        <v>57</v>
      </c>
      <c r="D116" s="179">
        <v>0</v>
      </c>
      <c r="E116" s="179">
        <v>0</v>
      </c>
      <c r="F116" s="179">
        <v>0</v>
      </c>
      <c r="G116" s="179">
        <v>10672.47</v>
      </c>
      <c r="H116" s="179">
        <v>32355.66</v>
      </c>
      <c r="I116" s="179">
        <v>43028.13</v>
      </c>
    </row>
    <row r="117" spans="1:9" x14ac:dyDescent="0.35">
      <c r="A117" s="178" t="s">
        <v>345</v>
      </c>
      <c r="B117" s="178" t="s">
        <v>57</v>
      </c>
      <c r="C117" s="178" t="s">
        <v>57</v>
      </c>
      <c r="D117" s="179">
        <v>0</v>
      </c>
      <c r="E117" s="179">
        <v>0</v>
      </c>
      <c r="F117" s="179">
        <v>0</v>
      </c>
      <c r="G117" s="179">
        <v>0</v>
      </c>
      <c r="H117" s="179">
        <v>5824.87</v>
      </c>
      <c r="I117" s="179">
        <v>5824.87</v>
      </c>
    </row>
    <row r="118" spans="1:9" x14ac:dyDescent="0.35">
      <c r="A118" s="178" t="s">
        <v>301</v>
      </c>
      <c r="B118" s="178" t="s">
        <v>57</v>
      </c>
      <c r="C118" s="178" t="s">
        <v>57</v>
      </c>
      <c r="D118" s="179">
        <v>0</v>
      </c>
      <c r="E118" s="179">
        <v>0</v>
      </c>
      <c r="F118" s="179">
        <v>0</v>
      </c>
      <c r="G118" s="179">
        <v>0</v>
      </c>
      <c r="H118" s="179">
        <v>10278.94</v>
      </c>
      <c r="I118" s="179">
        <v>10278.94</v>
      </c>
    </row>
    <row r="119" spans="1:9" x14ac:dyDescent="0.35">
      <c r="A119" s="178" t="s">
        <v>403</v>
      </c>
      <c r="B119" s="178" t="s">
        <v>57</v>
      </c>
      <c r="C119" s="178" t="s">
        <v>57</v>
      </c>
      <c r="D119" s="179">
        <v>0</v>
      </c>
      <c r="E119" s="179">
        <v>0</v>
      </c>
      <c r="F119" s="179">
        <v>0</v>
      </c>
      <c r="G119" s="179">
        <v>0</v>
      </c>
      <c r="H119" s="179">
        <v>7345.97</v>
      </c>
      <c r="I119" s="179">
        <v>7345.97</v>
      </c>
    </row>
    <row r="120" spans="1:9" x14ac:dyDescent="0.35">
      <c r="A120" s="178" t="s">
        <v>187</v>
      </c>
      <c r="B120" s="178" t="s">
        <v>57</v>
      </c>
      <c r="C120" s="178" t="s">
        <v>57</v>
      </c>
      <c r="D120" s="179">
        <v>0</v>
      </c>
      <c r="E120" s="179">
        <v>0</v>
      </c>
      <c r="F120" s="179">
        <v>0</v>
      </c>
      <c r="G120" s="179">
        <v>183966.31</v>
      </c>
      <c r="H120" s="179">
        <v>232119.22</v>
      </c>
      <c r="I120" s="179">
        <v>416085.53</v>
      </c>
    </row>
    <row r="121" spans="1:9" x14ac:dyDescent="0.35">
      <c r="A121" s="178" t="s">
        <v>478</v>
      </c>
      <c r="B121" s="178" t="s">
        <v>57</v>
      </c>
      <c r="C121" s="178" t="s">
        <v>57</v>
      </c>
      <c r="D121" s="179">
        <v>0</v>
      </c>
      <c r="E121" s="179">
        <v>0</v>
      </c>
      <c r="F121" s="179">
        <v>0</v>
      </c>
      <c r="G121" s="179">
        <v>0</v>
      </c>
      <c r="H121" s="179">
        <v>4854.1499999999996</v>
      </c>
      <c r="I121" s="179">
        <v>4854.1499999999996</v>
      </c>
    </row>
    <row r="122" spans="1:9" x14ac:dyDescent="0.35">
      <c r="A122" s="178" t="s">
        <v>191</v>
      </c>
      <c r="B122" s="178" t="s">
        <v>57</v>
      </c>
      <c r="C122" s="178" t="s">
        <v>57</v>
      </c>
      <c r="D122" s="179">
        <v>0</v>
      </c>
      <c r="E122" s="179">
        <v>0</v>
      </c>
      <c r="F122" s="179">
        <v>0</v>
      </c>
      <c r="G122" s="179">
        <v>0</v>
      </c>
      <c r="H122" s="179">
        <v>125972.44</v>
      </c>
      <c r="I122" s="179">
        <v>125972.44</v>
      </c>
    </row>
    <row r="123" spans="1:9" x14ac:dyDescent="0.35">
      <c r="A123" s="178" t="s">
        <v>432</v>
      </c>
      <c r="B123" s="178" t="s">
        <v>57</v>
      </c>
      <c r="C123" s="178" t="s">
        <v>57</v>
      </c>
      <c r="D123" s="179">
        <v>0</v>
      </c>
      <c r="E123" s="179">
        <v>0</v>
      </c>
      <c r="F123" s="179">
        <v>0</v>
      </c>
      <c r="G123" s="179">
        <v>0</v>
      </c>
      <c r="H123" s="179">
        <v>30</v>
      </c>
      <c r="I123" s="179">
        <v>30</v>
      </c>
    </row>
    <row r="124" spans="1:9" x14ac:dyDescent="0.35">
      <c r="A124" s="178" t="s">
        <v>261</v>
      </c>
      <c r="B124" s="178" t="s">
        <v>57</v>
      </c>
      <c r="C124" s="178" t="s">
        <v>57</v>
      </c>
      <c r="D124" s="179">
        <v>0</v>
      </c>
      <c r="E124" s="179">
        <v>0</v>
      </c>
      <c r="F124" s="179">
        <v>6908.21</v>
      </c>
      <c r="G124" s="179">
        <v>17736.009999999998</v>
      </c>
      <c r="H124" s="179">
        <v>27400.560000000001</v>
      </c>
      <c r="I124" s="179">
        <v>52044.78</v>
      </c>
    </row>
    <row r="125" spans="1:9" x14ac:dyDescent="0.35">
      <c r="A125" s="178" t="s">
        <v>437</v>
      </c>
      <c r="B125" s="178" t="s">
        <v>57</v>
      </c>
      <c r="C125" s="178" t="s">
        <v>57</v>
      </c>
      <c r="D125" s="179">
        <v>0</v>
      </c>
      <c r="E125" s="179">
        <v>0</v>
      </c>
      <c r="F125" s="179">
        <v>0</v>
      </c>
      <c r="G125" s="179">
        <v>2949.06</v>
      </c>
      <c r="H125" s="179">
        <v>4739.96</v>
      </c>
      <c r="I125" s="179">
        <v>7689.02</v>
      </c>
    </row>
    <row r="126" spans="1:9" x14ac:dyDescent="0.35">
      <c r="A126" s="178" t="s">
        <v>184</v>
      </c>
      <c r="B126" s="178" t="s">
        <v>57</v>
      </c>
      <c r="C126" s="178" t="s">
        <v>57</v>
      </c>
      <c r="D126" s="179">
        <v>0</v>
      </c>
      <c r="E126" s="179">
        <v>0</v>
      </c>
      <c r="F126" s="179">
        <v>0</v>
      </c>
      <c r="G126" s="179">
        <v>249759.54</v>
      </c>
      <c r="H126" s="179">
        <v>218637.08</v>
      </c>
      <c r="I126" s="179">
        <v>468396.62</v>
      </c>
    </row>
    <row r="127" spans="1:9" x14ac:dyDescent="0.35">
      <c r="A127" s="178" t="s">
        <v>218</v>
      </c>
      <c r="B127" s="178" t="s">
        <v>57</v>
      </c>
      <c r="C127" s="178" t="s">
        <v>57</v>
      </c>
      <c r="D127" s="179">
        <v>0</v>
      </c>
      <c r="E127" s="179">
        <v>0</v>
      </c>
      <c r="F127" s="179">
        <v>0</v>
      </c>
      <c r="G127" s="179">
        <v>0</v>
      </c>
      <c r="H127" s="179">
        <v>2434.9</v>
      </c>
      <c r="I127" s="179">
        <v>2434.9</v>
      </c>
    </row>
    <row r="128" spans="1:9" x14ac:dyDescent="0.35">
      <c r="A128" s="178" t="s">
        <v>240</v>
      </c>
      <c r="B128" s="178" t="s">
        <v>57</v>
      </c>
      <c r="C128" s="178" t="s">
        <v>57</v>
      </c>
      <c r="D128" s="179">
        <v>0</v>
      </c>
      <c r="E128" s="179">
        <v>0</v>
      </c>
      <c r="F128" s="179">
        <v>0</v>
      </c>
      <c r="G128" s="179">
        <v>45113.01</v>
      </c>
      <c r="H128" s="179">
        <v>42142.44</v>
      </c>
      <c r="I128" s="179">
        <v>87255.45</v>
      </c>
    </row>
    <row r="129" spans="1:9" x14ac:dyDescent="0.35">
      <c r="A129" s="178" t="s">
        <v>224</v>
      </c>
      <c r="B129" s="178" t="s">
        <v>57</v>
      </c>
      <c r="C129" s="178" t="s">
        <v>57</v>
      </c>
      <c r="D129" s="179">
        <v>0</v>
      </c>
      <c r="E129" s="179">
        <v>0</v>
      </c>
      <c r="F129" s="179">
        <v>0</v>
      </c>
      <c r="G129" s="179">
        <v>55290.28</v>
      </c>
      <c r="H129" s="179">
        <v>44597.46</v>
      </c>
      <c r="I129" s="179">
        <v>99887.74</v>
      </c>
    </row>
    <row r="130" spans="1:9" x14ac:dyDescent="0.35">
      <c r="A130" s="178" t="s">
        <v>319</v>
      </c>
      <c r="B130" s="178" t="s">
        <v>57</v>
      </c>
      <c r="C130" s="178" t="s">
        <v>57</v>
      </c>
      <c r="D130" s="179">
        <v>0</v>
      </c>
      <c r="E130" s="179">
        <v>0</v>
      </c>
      <c r="F130" s="179">
        <v>0</v>
      </c>
      <c r="G130" s="179">
        <v>0</v>
      </c>
      <c r="H130" s="179">
        <v>2967.81</v>
      </c>
      <c r="I130" s="179">
        <v>2967.81</v>
      </c>
    </row>
    <row r="131" spans="1:9" x14ac:dyDescent="0.35">
      <c r="A131" s="178" t="s">
        <v>568</v>
      </c>
      <c r="B131" s="178" t="s">
        <v>57</v>
      </c>
      <c r="C131" s="178" t="s">
        <v>57</v>
      </c>
      <c r="D131" s="179">
        <v>0</v>
      </c>
      <c r="E131" s="179">
        <v>0</v>
      </c>
      <c r="F131" s="179">
        <v>0</v>
      </c>
      <c r="G131" s="179">
        <v>0</v>
      </c>
      <c r="H131" s="179">
        <v>2024</v>
      </c>
      <c r="I131" s="179">
        <v>2024</v>
      </c>
    </row>
    <row r="132" spans="1:9" x14ac:dyDescent="0.35">
      <c r="A132" s="178" t="s">
        <v>396</v>
      </c>
      <c r="B132" s="178" t="s">
        <v>57</v>
      </c>
      <c r="C132" s="178" t="s">
        <v>57</v>
      </c>
      <c r="D132" s="179">
        <v>0</v>
      </c>
      <c r="E132" s="179">
        <v>0</v>
      </c>
      <c r="F132" s="179">
        <v>0</v>
      </c>
      <c r="G132" s="179">
        <v>0</v>
      </c>
      <c r="H132" s="179">
        <v>1604.42</v>
      </c>
      <c r="I132" s="179">
        <v>1604.42</v>
      </c>
    </row>
    <row r="133" spans="1:9" x14ac:dyDescent="0.35">
      <c r="A133" s="178" t="s">
        <v>460</v>
      </c>
      <c r="B133" s="178" t="s">
        <v>57</v>
      </c>
      <c r="C133" s="178" t="s">
        <v>57</v>
      </c>
      <c r="D133" s="179">
        <v>0</v>
      </c>
      <c r="E133" s="179">
        <v>0</v>
      </c>
      <c r="F133" s="179">
        <v>0</v>
      </c>
      <c r="G133" s="179">
        <v>0.38</v>
      </c>
      <c r="H133" s="179">
        <v>4546.01</v>
      </c>
      <c r="I133" s="179">
        <v>4546.3900000000003</v>
      </c>
    </row>
    <row r="134" spans="1:9" x14ac:dyDescent="0.35">
      <c r="A134" s="178" t="s">
        <v>682</v>
      </c>
      <c r="B134" s="178" t="s">
        <v>57</v>
      </c>
      <c r="C134" s="178" t="s">
        <v>57</v>
      </c>
      <c r="D134" s="179">
        <v>0</v>
      </c>
      <c r="E134" s="179">
        <v>0</v>
      </c>
      <c r="F134" s="179">
        <v>0</v>
      </c>
      <c r="G134" s="179">
        <v>0</v>
      </c>
      <c r="H134" s="179">
        <v>1194.1600000000001</v>
      </c>
      <c r="I134" s="179">
        <v>1194.1600000000001</v>
      </c>
    </row>
    <row r="135" spans="1:9" x14ac:dyDescent="0.35">
      <c r="A135" s="178" t="s">
        <v>599</v>
      </c>
      <c r="B135" s="178" t="s">
        <v>57</v>
      </c>
      <c r="C135" s="178" t="s">
        <v>57</v>
      </c>
      <c r="D135" s="179">
        <v>0</v>
      </c>
      <c r="E135" s="179">
        <v>0</v>
      </c>
      <c r="F135" s="179">
        <v>0</v>
      </c>
      <c r="G135" s="179">
        <v>5000.5</v>
      </c>
      <c r="H135" s="179">
        <v>1903.83</v>
      </c>
      <c r="I135" s="179">
        <v>6904.33</v>
      </c>
    </row>
    <row r="136" spans="1:9" x14ac:dyDescent="0.35">
      <c r="A136" s="178" t="s">
        <v>216</v>
      </c>
      <c r="B136" s="178" t="s">
        <v>57</v>
      </c>
      <c r="C136" s="178" t="s">
        <v>57</v>
      </c>
      <c r="D136" s="179">
        <v>0</v>
      </c>
      <c r="E136" s="179">
        <v>23883.95</v>
      </c>
      <c r="F136" s="179">
        <v>48969.42</v>
      </c>
      <c r="G136" s="179">
        <v>64030.57</v>
      </c>
      <c r="H136" s="179">
        <v>39392.79</v>
      </c>
      <c r="I136" s="179">
        <v>176276.73</v>
      </c>
    </row>
    <row r="137" spans="1:9" x14ac:dyDescent="0.35">
      <c r="A137" s="178" t="s">
        <v>209</v>
      </c>
      <c r="B137" s="178" t="s">
        <v>57</v>
      </c>
      <c r="C137" s="178" t="s">
        <v>57</v>
      </c>
      <c r="D137" s="179">
        <v>0</v>
      </c>
      <c r="E137" s="179">
        <v>0</v>
      </c>
      <c r="F137" s="179">
        <v>0</v>
      </c>
      <c r="G137" s="179">
        <v>0</v>
      </c>
      <c r="H137" s="179">
        <v>65063.27</v>
      </c>
      <c r="I137" s="179">
        <v>65063.27</v>
      </c>
    </row>
    <row r="138" spans="1:9" x14ac:dyDescent="0.35">
      <c r="A138" s="178" t="s">
        <v>415</v>
      </c>
      <c r="B138" s="178" t="s">
        <v>57</v>
      </c>
      <c r="C138" s="178" t="s">
        <v>57</v>
      </c>
      <c r="D138" s="179">
        <v>0</v>
      </c>
      <c r="E138" s="179">
        <v>0</v>
      </c>
      <c r="F138" s="179">
        <v>0</v>
      </c>
      <c r="G138" s="179">
        <v>0</v>
      </c>
      <c r="H138" s="179">
        <v>7593.79</v>
      </c>
      <c r="I138" s="179">
        <v>7593.79</v>
      </c>
    </row>
    <row r="139" spans="1:9" x14ac:dyDescent="0.35">
      <c r="A139" s="178" t="s">
        <v>236</v>
      </c>
      <c r="B139" s="178" t="s">
        <v>57</v>
      </c>
      <c r="C139" s="178" t="s">
        <v>57</v>
      </c>
      <c r="D139" s="179">
        <v>0</v>
      </c>
      <c r="E139" s="179">
        <v>43719.9</v>
      </c>
      <c r="F139" s="179">
        <v>31121.3</v>
      </c>
      <c r="G139" s="179">
        <v>57840.51</v>
      </c>
      <c r="H139" s="179">
        <v>39741.760000000002</v>
      </c>
      <c r="I139" s="179">
        <v>172423.47</v>
      </c>
    </row>
    <row r="140" spans="1:9" x14ac:dyDescent="0.35">
      <c r="A140" s="178" t="s">
        <v>385</v>
      </c>
      <c r="B140" s="178" t="s">
        <v>57</v>
      </c>
      <c r="C140" s="178" t="s">
        <v>57</v>
      </c>
      <c r="D140" s="179">
        <v>0</v>
      </c>
      <c r="E140" s="179">
        <v>0</v>
      </c>
      <c r="F140" s="179">
        <v>0</v>
      </c>
      <c r="G140" s="179">
        <v>0</v>
      </c>
      <c r="H140" s="179">
        <v>6237.14</v>
      </c>
      <c r="I140" s="179">
        <v>6237.14</v>
      </c>
    </row>
    <row r="141" spans="1:9" x14ac:dyDescent="0.35">
      <c r="A141" s="178" t="s">
        <v>3077</v>
      </c>
      <c r="B141" s="178" t="s">
        <v>57</v>
      </c>
      <c r="C141" s="178" t="s">
        <v>57</v>
      </c>
      <c r="D141" s="179">
        <v>15108.46</v>
      </c>
      <c r="E141" s="179">
        <v>0</v>
      </c>
      <c r="F141" s="179">
        <v>0</v>
      </c>
      <c r="G141" s="179">
        <v>0</v>
      </c>
      <c r="H141" s="179">
        <v>0</v>
      </c>
      <c r="I141" s="179">
        <v>15108.46</v>
      </c>
    </row>
    <row r="142" spans="1:9" x14ac:dyDescent="0.35">
      <c r="A142" s="178" t="s">
        <v>241</v>
      </c>
      <c r="B142" s="178" t="s">
        <v>57</v>
      </c>
      <c r="C142" s="178" t="s">
        <v>57</v>
      </c>
      <c r="D142" s="179">
        <v>0</v>
      </c>
      <c r="E142" s="179">
        <v>0</v>
      </c>
      <c r="F142" s="179">
        <v>0</v>
      </c>
      <c r="G142" s="179">
        <v>0</v>
      </c>
      <c r="H142" s="179">
        <v>34975.19</v>
      </c>
      <c r="I142" s="179">
        <v>34975.19</v>
      </c>
    </row>
    <row r="143" spans="1:9" x14ac:dyDescent="0.35">
      <c r="A143" s="178" t="s">
        <v>318</v>
      </c>
      <c r="B143" s="178" t="s">
        <v>57</v>
      </c>
      <c r="C143" s="178" t="s">
        <v>57</v>
      </c>
      <c r="D143" s="179">
        <v>0</v>
      </c>
      <c r="E143" s="179">
        <v>0</v>
      </c>
      <c r="F143" s="179">
        <v>0</v>
      </c>
      <c r="G143" s="179">
        <v>0</v>
      </c>
      <c r="H143" s="179">
        <v>10186.129999999999</v>
      </c>
      <c r="I143" s="179">
        <v>10186.129999999999</v>
      </c>
    </row>
    <row r="144" spans="1:9" x14ac:dyDescent="0.35">
      <c r="A144" s="178" t="s">
        <v>3078</v>
      </c>
      <c r="B144" s="178" t="s">
        <v>57</v>
      </c>
      <c r="C144" s="178" t="s">
        <v>57</v>
      </c>
      <c r="D144" s="179">
        <v>0</v>
      </c>
      <c r="E144" s="179">
        <v>66578.97</v>
      </c>
      <c r="F144" s="179">
        <v>9832.5</v>
      </c>
      <c r="G144" s="179">
        <v>3941.51</v>
      </c>
      <c r="H144" s="179">
        <v>0</v>
      </c>
      <c r="I144" s="179">
        <v>80352.98</v>
      </c>
    </row>
    <row r="145" spans="1:9" x14ac:dyDescent="0.35">
      <c r="A145" s="178" t="s">
        <v>377</v>
      </c>
      <c r="B145" s="178" t="s">
        <v>57</v>
      </c>
      <c r="C145" s="178" t="s">
        <v>57</v>
      </c>
      <c r="D145" s="179">
        <v>0</v>
      </c>
      <c r="E145" s="179">
        <v>0</v>
      </c>
      <c r="F145" s="179">
        <v>10782.98</v>
      </c>
      <c r="G145" s="179">
        <v>0</v>
      </c>
      <c r="H145" s="179">
        <v>9083.92</v>
      </c>
      <c r="I145" s="179">
        <v>19866.900000000001</v>
      </c>
    </row>
    <row r="146" spans="1:9" x14ac:dyDescent="0.35">
      <c r="A146" s="178" t="s">
        <v>390</v>
      </c>
      <c r="B146" s="178" t="s">
        <v>57</v>
      </c>
      <c r="C146" s="178" t="s">
        <v>57</v>
      </c>
      <c r="D146" s="179">
        <v>0</v>
      </c>
      <c r="E146" s="179">
        <v>0</v>
      </c>
      <c r="F146" s="179">
        <v>0</v>
      </c>
      <c r="G146" s="179">
        <v>14664.08</v>
      </c>
      <c r="H146" s="179">
        <v>6083.04</v>
      </c>
      <c r="I146" s="179">
        <v>20747.12</v>
      </c>
    </row>
    <row r="147" spans="1:9" x14ac:dyDescent="0.35">
      <c r="A147" s="178" t="s">
        <v>3079</v>
      </c>
      <c r="B147" s="178" t="s">
        <v>57</v>
      </c>
      <c r="C147" s="178" t="s">
        <v>57</v>
      </c>
      <c r="D147" s="179">
        <v>0</v>
      </c>
      <c r="E147" s="179">
        <v>0</v>
      </c>
      <c r="F147" s="179">
        <v>0</v>
      </c>
      <c r="G147" s="179">
        <v>14680.33</v>
      </c>
      <c r="H147" s="179">
        <v>0</v>
      </c>
      <c r="I147" s="179">
        <v>14680.33</v>
      </c>
    </row>
    <row r="148" spans="1:9" x14ac:dyDescent="0.35">
      <c r="A148" s="178" t="s">
        <v>3080</v>
      </c>
      <c r="B148" s="178" t="s">
        <v>57</v>
      </c>
      <c r="C148" s="178" t="s">
        <v>57</v>
      </c>
      <c r="D148" s="179">
        <v>47877.52</v>
      </c>
      <c r="E148" s="179">
        <v>0</v>
      </c>
      <c r="F148" s="179">
        <v>0</v>
      </c>
      <c r="G148" s="179">
        <v>0</v>
      </c>
      <c r="H148" s="179">
        <v>0</v>
      </c>
      <c r="I148" s="179">
        <v>47877.52</v>
      </c>
    </row>
    <row r="149" spans="1:9" x14ac:dyDescent="0.35">
      <c r="A149" s="178" t="s">
        <v>223</v>
      </c>
      <c r="B149" s="178" t="s">
        <v>57</v>
      </c>
      <c r="C149" s="178" t="s">
        <v>57</v>
      </c>
      <c r="D149" s="179">
        <v>0</v>
      </c>
      <c r="E149" s="179">
        <v>0</v>
      </c>
      <c r="F149" s="179">
        <v>0</v>
      </c>
      <c r="G149" s="179">
        <v>31917.74</v>
      </c>
      <c r="H149" s="179">
        <v>50593.86</v>
      </c>
      <c r="I149" s="179">
        <v>82511.600000000006</v>
      </c>
    </row>
    <row r="150" spans="1:9" x14ac:dyDescent="0.35">
      <c r="A150" s="178" t="s">
        <v>550</v>
      </c>
      <c r="B150" s="178" t="s">
        <v>57</v>
      </c>
      <c r="C150" s="178" t="s">
        <v>57</v>
      </c>
      <c r="D150" s="179">
        <v>0</v>
      </c>
      <c r="E150" s="179">
        <v>0</v>
      </c>
      <c r="F150" s="179">
        <v>0</v>
      </c>
      <c r="G150" s="179">
        <v>750.54</v>
      </c>
      <c r="H150" s="179">
        <v>0</v>
      </c>
      <c r="I150" s="179">
        <v>750.54</v>
      </c>
    </row>
    <row r="151" spans="1:9" x14ac:dyDescent="0.35">
      <c r="A151" s="178" t="s">
        <v>230</v>
      </c>
      <c r="B151" s="178" t="s">
        <v>57</v>
      </c>
      <c r="C151" s="178" t="s">
        <v>57</v>
      </c>
      <c r="D151" s="179">
        <v>0</v>
      </c>
      <c r="E151" s="179">
        <v>0</v>
      </c>
      <c r="F151" s="179">
        <v>0</v>
      </c>
      <c r="G151" s="179">
        <v>0</v>
      </c>
      <c r="H151" s="179">
        <v>51543.3</v>
      </c>
      <c r="I151" s="179">
        <v>51543.3</v>
      </c>
    </row>
    <row r="152" spans="1:9" x14ac:dyDescent="0.35">
      <c r="A152" s="178" t="s">
        <v>3081</v>
      </c>
      <c r="B152" s="178" t="s">
        <v>57</v>
      </c>
      <c r="C152" s="178" t="s">
        <v>57</v>
      </c>
      <c r="D152" s="179">
        <v>0</v>
      </c>
      <c r="E152" s="179">
        <v>0</v>
      </c>
      <c r="F152" s="179">
        <v>0</v>
      </c>
      <c r="G152" s="179">
        <v>20286.07</v>
      </c>
      <c r="H152" s="179">
        <v>0</v>
      </c>
      <c r="I152" s="179">
        <v>20286.07</v>
      </c>
    </row>
    <row r="153" spans="1:9" x14ac:dyDescent="0.35">
      <c r="A153" s="178" t="s">
        <v>388</v>
      </c>
      <c r="B153" s="178" t="s">
        <v>57</v>
      </c>
      <c r="C153" s="178" t="s">
        <v>57</v>
      </c>
      <c r="D153" s="179">
        <v>0</v>
      </c>
      <c r="E153" s="179">
        <v>0</v>
      </c>
      <c r="F153" s="179">
        <v>0</v>
      </c>
      <c r="G153" s="179">
        <v>0</v>
      </c>
      <c r="H153" s="179">
        <v>8470.7900000000009</v>
      </c>
      <c r="I153" s="179">
        <v>8470.7900000000009</v>
      </c>
    </row>
    <row r="154" spans="1:9" x14ac:dyDescent="0.35">
      <c r="A154" s="178" t="s">
        <v>317</v>
      </c>
      <c r="B154" s="178" t="s">
        <v>57</v>
      </c>
      <c r="C154" s="178" t="s">
        <v>57</v>
      </c>
      <c r="D154" s="179">
        <v>0</v>
      </c>
      <c r="E154" s="179">
        <v>0</v>
      </c>
      <c r="F154" s="179">
        <v>0</v>
      </c>
      <c r="G154" s="179">
        <v>0</v>
      </c>
      <c r="H154" s="179">
        <v>2507.0300000000002</v>
      </c>
      <c r="I154" s="179">
        <v>2507.0300000000002</v>
      </c>
    </row>
    <row r="155" spans="1:9" x14ac:dyDescent="0.35">
      <c r="A155" s="178" t="s">
        <v>3082</v>
      </c>
      <c r="B155" s="178" t="s">
        <v>57</v>
      </c>
      <c r="C155" s="178" t="s">
        <v>57</v>
      </c>
      <c r="D155" s="179">
        <v>0</v>
      </c>
      <c r="E155" s="179">
        <v>0</v>
      </c>
      <c r="F155" s="179">
        <v>0</v>
      </c>
      <c r="G155" s="179">
        <v>2709.35</v>
      </c>
      <c r="H155" s="179">
        <v>0</v>
      </c>
      <c r="I155" s="179">
        <v>2709.35</v>
      </c>
    </row>
    <row r="156" spans="1:9" x14ac:dyDescent="0.35">
      <c r="A156" s="178" t="s">
        <v>239</v>
      </c>
      <c r="B156" s="178" t="s">
        <v>57</v>
      </c>
      <c r="C156" s="178" t="s">
        <v>57</v>
      </c>
      <c r="D156" s="179">
        <v>0</v>
      </c>
      <c r="E156" s="179">
        <v>0</v>
      </c>
      <c r="F156" s="179">
        <v>0</v>
      </c>
      <c r="G156" s="179">
        <v>40809.03</v>
      </c>
      <c r="H156" s="179">
        <v>35691.18</v>
      </c>
      <c r="I156" s="179">
        <v>76500.210000000006</v>
      </c>
    </row>
    <row r="157" spans="1:9" x14ac:dyDescent="0.35">
      <c r="A157" s="178" t="s">
        <v>215</v>
      </c>
      <c r="B157" s="178" t="s">
        <v>57</v>
      </c>
      <c r="C157" s="178" t="s">
        <v>57</v>
      </c>
      <c r="D157" s="179">
        <v>0</v>
      </c>
      <c r="E157" s="179">
        <v>0</v>
      </c>
      <c r="F157" s="179">
        <v>0</v>
      </c>
      <c r="G157" s="179">
        <v>0</v>
      </c>
      <c r="H157" s="179">
        <v>65680.87</v>
      </c>
      <c r="I157" s="179">
        <v>65680.87</v>
      </c>
    </row>
    <row r="158" spans="1:9" x14ac:dyDescent="0.35">
      <c r="A158" s="178" t="s">
        <v>250</v>
      </c>
      <c r="B158" s="178" t="s">
        <v>57</v>
      </c>
      <c r="C158" s="178" t="s">
        <v>57</v>
      </c>
      <c r="D158" s="179">
        <v>0</v>
      </c>
      <c r="E158" s="179">
        <v>0</v>
      </c>
      <c r="F158" s="179">
        <v>0</v>
      </c>
      <c r="G158" s="179">
        <v>0</v>
      </c>
      <c r="H158" s="179">
        <v>21350.080000000002</v>
      </c>
      <c r="I158" s="179">
        <v>21350.080000000002</v>
      </c>
    </row>
    <row r="159" spans="1:9" x14ac:dyDescent="0.35">
      <c r="A159" s="178" t="s">
        <v>3083</v>
      </c>
      <c r="B159" s="178" t="s">
        <v>57</v>
      </c>
      <c r="C159" s="178" t="s">
        <v>57</v>
      </c>
      <c r="D159" s="179">
        <v>0</v>
      </c>
      <c r="E159" s="179">
        <v>0</v>
      </c>
      <c r="F159" s="179">
        <v>11031.94</v>
      </c>
      <c r="G159" s="179">
        <v>8279.43</v>
      </c>
      <c r="H159" s="179">
        <v>0</v>
      </c>
      <c r="I159" s="179">
        <v>19311.37</v>
      </c>
    </row>
    <row r="160" spans="1:9" x14ac:dyDescent="0.35">
      <c r="A160" s="178" t="s">
        <v>251</v>
      </c>
      <c r="B160" s="178" t="s">
        <v>57</v>
      </c>
      <c r="C160" s="178" t="s">
        <v>57</v>
      </c>
      <c r="D160" s="179">
        <v>0</v>
      </c>
      <c r="E160" s="179">
        <v>0</v>
      </c>
      <c r="F160" s="179">
        <v>0</v>
      </c>
      <c r="G160" s="179">
        <v>0</v>
      </c>
      <c r="H160" s="179">
        <v>12823.77</v>
      </c>
      <c r="I160" s="179">
        <v>12823.77</v>
      </c>
    </row>
    <row r="161" spans="1:9" x14ac:dyDescent="0.35">
      <c r="A161" s="178" t="s">
        <v>284</v>
      </c>
      <c r="B161" s="178" t="s">
        <v>57</v>
      </c>
      <c r="C161" s="178" t="s">
        <v>57</v>
      </c>
      <c r="D161" s="179">
        <v>39703.97</v>
      </c>
      <c r="E161" s="179">
        <v>37460.699999999997</v>
      </c>
      <c r="F161" s="179">
        <v>21248.29</v>
      </c>
      <c r="G161" s="179">
        <v>20992.6</v>
      </c>
      <c r="H161" s="179">
        <v>17261.5</v>
      </c>
      <c r="I161" s="179">
        <v>136667.06</v>
      </c>
    </row>
    <row r="162" spans="1:9" x14ac:dyDescent="0.35">
      <c r="A162" s="178" t="s">
        <v>3084</v>
      </c>
      <c r="B162" s="178" t="s">
        <v>57</v>
      </c>
      <c r="C162" s="178" t="s">
        <v>57</v>
      </c>
      <c r="D162" s="179">
        <v>0</v>
      </c>
      <c r="E162" s="179">
        <v>0</v>
      </c>
      <c r="F162" s="179">
        <v>4341.83</v>
      </c>
      <c r="G162" s="179">
        <v>0</v>
      </c>
      <c r="H162" s="179">
        <v>0</v>
      </c>
      <c r="I162" s="179">
        <v>4341.83</v>
      </c>
    </row>
    <row r="163" spans="1:9" x14ac:dyDescent="0.35">
      <c r="A163" s="178" t="s">
        <v>531</v>
      </c>
      <c r="B163" s="178" t="s">
        <v>57</v>
      </c>
      <c r="C163" s="178" t="s">
        <v>57</v>
      </c>
      <c r="D163" s="179">
        <v>0</v>
      </c>
      <c r="E163" s="179">
        <v>0</v>
      </c>
      <c r="F163" s="179">
        <v>0</v>
      </c>
      <c r="G163" s="179">
        <v>0</v>
      </c>
      <c r="H163" s="179">
        <v>6866.54</v>
      </c>
      <c r="I163" s="179">
        <v>6866.54</v>
      </c>
    </row>
    <row r="164" spans="1:9" x14ac:dyDescent="0.35">
      <c r="A164" s="178" t="s">
        <v>286</v>
      </c>
      <c r="B164" s="178" t="s">
        <v>57</v>
      </c>
      <c r="C164" s="178" t="s">
        <v>57</v>
      </c>
      <c r="D164" s="179">
        <v>0</v>
      </c>
      <c r="E164" s="179">
        <v>0</v>
      </c>
      <c r="F164" s="179">
        <v>0</v>
      </c>
      <c r="G164" s="179">
        <v>14497.25</v>
      </c>
      <c r="H164" s="179">
        <v>16173.95</v>
      </c>
      <c r="I164" s="179">
        <v>30671.200000000001</v>
      </c>
    </row>
    <row r="165" spans="1:9" x14ac:dyDescent="0.35">
      <c r="A165" s="178" t="s">
        <v>387</v>
      </c>
      <c r="B165" s="178" t="s">
        <v>57</v>
      </c>
      <c r="C165" s="178" t="s">
        <v>57</v>
      </c>
      <c r="D165" s="179">
        <v>11834.33</v>
      </c>
      <c r="E165" s="179">
        <v>1759.5</v>
      </c>
      <c r="F165" s="179">
        <v>26104.1</v>
      </c>
      <c r="G165" s="179">
        <v>6363.81</v>
      </c>
      <c r="H165" s="179">
        <v>2938.26</v>
      </c>
      <c r="I165" s="179">
        <v>49000</v>
      </c>
    </row>
    <row r="166" spans="1:9" x14ac:dyDescent="0.35">
      <c r="A166" s="178" t="s">
        <v>198</v>
      </c>
      <c r="B166" s="178" t="s">
        <v>57</v>
      </c>
      <c r="C166" s="178" t="s">
        <v>57</v>
      </c>
      <c r="D166" s="179">
        <v>0</v>
      </c>
      <c r="E166" s="179">
        <v>0</v>
      </c>
      <c r="F166" s="179">
        <v>0</v>
      </c>
      <c r="G166" s="179">
        <v>258917.18</v>
      </c>
      <c r="H166" s="179">
        <v>114055.42</v>
      </c>
      <c r="I166" s="179">
        <v>372972.6</v>
      </c>
    </row>
    <row r="167" spans="1:9" x14ac:dyDescent="0.35">
      <c r="A167" s="178" t="s">
        <v>221</v>
      </c>
      <c r="B167" s="178" t="s">
        <v>57</v>
      </c>
      <c r="C167" s="178" t="s">
        <v>57</v>
      </c>
      <c r="D167" s="179">
        <v>0</v>
      </c>
      <c r="E167" s="179">
        <v>0</v>
      </c>
      <c r="F167" s="179">
        <v>0</v>
      </c>
      <c r="G167" s="179">
        <v>0</v>
      </c>
      <c r="H167" s="179">
        <v>11810.67</v>
      </c>
      <c r="I167" s="179">
        <v>11810.67</v>
      </c>
    </row>
    <row r="168" spans="1:9" x14ac:dyDescent="0.35">
      <c r="A168" s="178" t="s">
        <v>3085</v>
      </c>
      <c r="B168" s="178" t="s">
        <v>57</v>
      </c>
      <c r="C168" s="178" t="s">
        <v>57</v>
      </c>
      <c r="D168" s="179">
        <v>0</v>
      </c>
      <c r="E168" s="179">
        <v>0</v>
      </c>
      <c r="F168" s="179">
        <v>0</v>
      </c>
      <c r="G168" s="179">
        <v>7457.52</v>
      </c>
      <c r="H168" s="179">
        <v>0</v>
      </c>
      <c r="I168" s="179">
        <v>7457.52</v>
      </c>
    </row>
    <row r="169" spans="1:9" x14ac:dyDescent="0.35">
      <c r="A169" s="178" t="s">
        <v>288</v>
      </c>
      <c r="B169" s="178" t="s">
        <v>57</v>
      </c>
      <c r="C169" s="178" t="s">
        <v>57</v>
      </c>
      <c r="D169" s="179">
        <v>0</v>
      </c>
      <c r="E169" s="179">
        <v>31701.83</v>
      </c>
      <c r="F169" s="179">
        <v>11929.41</v>
      </c>
      <c r="G169" s="179">
        <v>40944.949999999997</v>
      </c>
      <c r="H169" s="179">
        <v>19995.509999999998</v>
      </c>
      <c r="I169" s="179">
        <v>104571.7</v>
      </c>
    </row>
    <row r="170" spans="1:9" x14ac:dyDescent="0.35">
      <c r="A170" s="178" t="s">
        <v>408</v>
      </c>
      <c r="B170" s="178" t="s">
        <v>57</v>
      </c>
      <c r="C170" s="178" t="s">
        <v>57</v>
      </c>
      <c r="D170" s="179">
        <v>0</v>
      </c>
      <c r="E170" s="179">
        <v>0</v>
      </c>
      <c r="F170" s="179">
        <v>0</v>
      </c>
      <c r="G170" s="179">
        <v>0</v>
      </c>
      <c r="H170" s="179">
        <v>1787.33</v>
      </c>
      <c r="I170" s="179">
        <v>1787.33</v>
      </c>
    </row>
    <row r="171" spans="1:9" x14ac:dyDescent="0.35">
      <c r="A171" s="178" t="s">
        <v>225</v>
      </c>
      <c r="B171" s="178" t="s">
        <v>57</v>
      </c>
      <c r="C171" s="178" t="s">
        <v>57</v>
      </c>
      <c r="D171" s="179">
        <v>0</v>
      </c>
      <c r="E171" s="179">
        <v>0</v>
      </c>
      <c r="F171" s="179">
        <v>0</v>
      </c>
      <c r="G171" s="179">
        <v>0</v>
      </c>
      <c r="H171" s="179">
        <v>12388.04</v>
      </c>
      <c r="I171" s="179">
        <v>12388.04</v>
      </c>
    </row>
    <row r="172" spans="1:9" x14ac:dyDescent="0.35">
      <c r="A172" s="178" t="s">
        <v>229</v>
      </c>
      <c r="B172" s="178" t="s">
        <v>57</v>
      </c>
      <c r="C172" s="178" t="s">
        <v>57</v>
      </c>
      <c r="D172" s="179">
        <v>0</v>
      </c>
      <c r="E172" s="179">
        <v>0</v>
      </c>
      <c r="F172" s="179">
        <v>0</v>
      </c>
      <c r="G172" s="179">
        <v>0</v>
      </c>
      <c r="H172" s="179">
        <v>19747.47</v>
      </c>
      <c r="I172" s="179">
        <v>19747.47</v>
      </c>
    </row>
    <row r="173" spans="1:9" x14ac:dyDescent="0.35">
      <c r="A173" s="178" t="s">
        <v>3086</v>
      </c>
      <c r="B173" s="178" t="s">
        <v>57</v>
      </c>
      <c r="C173" s="178" t="s">
        <v>57</v>
      </c>
      <c r="D173" s="179">
        <v>14908.69</v>
      </c>
      <c r="E173" s="179">
        <v>0</v>
      </c>
      <c r="F173" s="179">
        <v>0</v>
      </c>
      <c r="G173" s="179">
        <v>0</v>
      </c>
      <c r="H173" s="179">
        <v>0</v>
      </c>
      <c r="I173" s="179">
        <v>14908.69</v>
      </c>
    </row>
    <row r="174" spans="1:9" x14ac:dyDescent="0.35">
      <c r="A174" s="178" t="s">
        <v>413</v>
      </c>
      <c r="B174" s="178" t="s">
        <v>57</v>
      </c>
      <c r="C174" s="178" t="s">
        <v>57</v>
      </c>
      <c r="D174" s="179">
        <v>0</v>
      </c>
      <c r="E174" s="179">
        <v>0</v>
      </c>
      <c r="F174" s="179">
        <v>0</v>
      </c>
      <c r="G174" s="179">
        <v>0</v>
      </c>
      <c r="H174" s="179">
        <v>7686.63</v>
      </c>
      <c r="I174" s="179">
        <v>7686.63</v>
      </c>
    </row>
    <row r="175" spans="1:9" x14ac:dyDescent="0.35">
      <c r="A175" s="178" t="s">
        <v>373</v>
      </c>
      <c r="B175" s="178" t="s">
        <v>57</v>
      </c>
      <c r="C175" s="178" t="s">
        <v>57</v>
      </c>
      <c r="D175" s="179">
        <v>0</v>
      </c>
      <c r="E175" s="179">
        <v>0</v>
      </c>
      <c r="F175" s="179">
        <v>0</v>
      </c>
      <c r="G175" s="179">
        <v>0</v>
      </c>
      <c r="H175" s="179">
        <v>2596.13</v>
      </c>
      <c r="I175" s="179">
        <v>2596.13</v>
      </c>
    </row>
    <row r="176" spans="1:9" x14ac:dyDescent="0.35">
      <c r="A176" s="178" t="s">
        <v>195</v>
      </c>
      <c r="B176" s="178" t="s">
        <v>57</v>
      </c>
      <c r="C176" s="178" t="s">
        <v>57</v>
      </c>
      <c r="D176" s="179">
        <v>0</v>
      </c>
      <c r="E176" s="179">
        <v>0</v>
      </c>
      <c r="F176" s="179">
        <v>0</v>
      </c>
      <c r="G176" s="179">
        <v>0</v>
      </c>
      <c r="H176" s="179">
        <v>15147.06</v>
      </c>
      <c r="I176" s="179">
        <v>15147.06</v>
      </c>
    </row>
    <row r="177" spans="1:9" x14ac:dyDescent="0.35">
      <c r="A177" s="178" t="s">
        <v>3087</v>
      </c>
      <c r="B177" s="178" t="s">
        <v>57</v>
      </c>
      <c r="C177" s="178" t="s">
        <v>57</v>
      </c>
      <c r="D177" s="179">
        <v>200499.67</v>
      </c>
      <c r="E177" s="179">
        <v>276517.89</v>
      </c>
      <c r="F177" s="179">
        <v>1093086.78</v>
      </c>
      <c r="G177" s="179">
        <v>2778610.7</v>
      </c>
      <c r="H177" s="179">
        <v>5628561.9100000001</v>
      </c>
      <c r="I177" s="179">
        <v>9977276.9499999993</v>
      </c>
    </row>
    <row r="178" spans="1:9" x14ac:dyDescent="0.35">
      <c r="A178" s="178" t="s">
        <v>3088</v>
      </c>
      <c r="B178" s="178" t="s">
        <v>57</v>
      </c>
      <c r="C178" s="178" t="s">
        <v>57</v>
      </c>
      <c r="D178" s="180" t="s">
        <v>3089</v>
      </c>
      <c r="E178" s="180" t="s">
        <v>3090</v>
      </c>
      <c r="F178" s="180" t="s">
        <v>3091</v>
      </c>
      <c r="G178" s="180" t="s">
        <v>3092</v>
      </c>
      <c r="H178" s="180" t="s">
        <v>3093</v>
      </c>
      <c r="I178" s="180" t="s">
        <v>3094</v>
      </c>
    </row>
    <row r="179" spans="1:9" x14ac:dyDescent="0.35">
      <c r="A179" s="178" t="s">
        <v>3095</v>
      </c>
      <c r="B179" s="178" t="s">
        <v>57</v>
      </c>
      <c r="C179" s="178" t="s">
        <v>57</v>
      </c>
      <c r="D179" s="180" t="s">
        <v>57</v>
      </c>
      <c r="E179" s="180" t="s">
        <v>57</v>
      </c>
      <c r="F179" s="180" t="s">
        <v>57</v>
      </c>
      <c r="G179" s="180" t="s">
        <v>57</v>
      </c>
      <c r="H179" s="180" t="s">
        <v>57</v>
      </c>
      <c r="I179" s="179">
        <v>9977276.9499999993</v>
      </c>
    </row>
    <row r="180" spans="1:9" x14ac:dyDescent="0.35">
      <c r="A180" s="178"/>
      <c r="B180" s="178"/>
      <c r="C180" s="178"/>
    </row>
    <row r="181" spans="1:9" x14ac:dyDescent="0.35">
      <c r="A181" s="178"/>
      <c r="B181" s="178"/>
      <c r="C181" s="178"/>
    </row>
    <row r="182" spans="1:9" x14ac:dyDescent="0.35">
      <c r="A182" s="178"/>
      <c r="B182" s="178"/>
      <c r="C182" s="178"/>
    </row>
    <row r="183" spans="1:9" x14ac:dyDescent="0.35">
      <c r="A183" s="178"/>
      <c r="B183" s="178"/>
      <c r="C183" s="178"/>
    </row>
    <row r="184" spans="1:9" x14ac:dyDescent="0.35">
      <c r="A184" s="178"/>
      <c r="B184" s="178"/>
      <c r="C184" s="178"/>
    </row>
    <row r="185" spans="1:9" x14ac:dyDescent="0.35">
      <c r="A185" s="178"/>
      <c r="B185" s="178"/>
      <c r="C185" s="178"/>
    </row>
    <row r="186" spans="1:9" x14ac:dyDescent="0.35">
      <c r="A186" s="178"/>
      <c r="B186" s="178"/>
      <c r="C186" s="178"/>
    </row>
    <row r="187" spans="1:9" x14ac:dyDescent="0.35">
      <c r="A187" s="178"/>
      <c r="B187" s="178"/>
      <c r="C187" s="178"/>
    </row>
    <row r="188" spans="1:9" x14ac:dyDescent="0.35">
      <c r="A188" s="178"/>
      <c r="B188" s="178"/>
      <c r="C188" s="178"/>
    </row>
    <row r="189" spans="1:9" x14ac:dyDescent="0.35">
      <c r="A189" s="178"/>
      <c r="B189" s="178"/>
      <c r="C189" s="178"/>
    </row>
    <row r="190" spans="1:9" x14ac:dyDescent="0.35">
      <c r="A190" s="178"/>
      <c r="B190" s="178"/>
      <c r="C190" s="178"/>
    </row>
    <row r="191" spans="1:9" x14ac:dyDescent="0.35">
      <c r="A191" s="178"/>
      <c r="B191" s="178"/>
      <c r="C191" s="178"/>
    </row>
    <row r="192" spans="1:9" x14ac:dyDescent="0.35">
      <c r="A192" s="178"/>
      <c r="B192" s="178"/>
      <c r="C192" s="178"/>
    </row>
    <row r="193" spans="1:3" x14ac:dyDescent="0.35">
      <c r="A193" s="178"/>
      <c r="B193" s="178"/>
      <c r="C193" s="178"/>
    </row>
    <row r="194" spans="1:3" x14ac:dyDescent="0.35">
      <c r="A194" s="178"/>
      <c r="B194" s="178"/>
      <c r="C194" s="178"/>
    </row>
    <row r="195" spans="1:3" x14ac:dyDescent="0.35">
      <c r="A195" s="178"/>
      <c r="B195" s="178"/>
      <c r="C195" s="178"/>
    </row>
    <row r="196" spans="1:3" x14ac:dyDescent="0.35">
      <c r="A196" s="178"/>
      <c r="B196" s="178"/>
      <c r="C196" s="178"/>
    </row>
    <row r="197" spans="1:3" x14ac:dyDescent="0.35">
      <c r="A197" s="178"/>
      <c r="B197" s="178"/>
      <c r="C197" s="178"/>
    </row>
    <row r="198" spans="1:3" x14ac:dyDescent="0.35">
      <c r="A198" s="178"/>
      <c r="B198" s="178"/>
      <c r="C198" s="178"/>
    </row>
    <row r="199" spans="1:3" x14ac:dyDescent="0.35">
      <c r="A199" s="178"/>
      <c r="B199" s="178"/>
      <c r="C199" s="178"/>
    </row>
    <row r="200" spans="1:3" x14ac:dyDescent="0.35">
      <c r="A200" s="178"/>
      <c r="B200" s="178"/>
      <c r="C200" s="178"/>
    </row>
    <row r="201" spans="1:3" x14ac:dyDescent="0.35">
      <c r="A201" s="178"/>
      <c r="B201" s="178"/>
      <c r="C201" s="178"/>
    </row>
    <row r="202" spans="1:3" x14ac:dyDescent="0.35">
      <c r="A202" s="178"/>
      <c r="B202" s="178"/>
      <c r="C202" s="178"/>
    </row>
    <row r="203" spans="1:3" x14ac:dyDescent="0.35">
      <c r="A203" s="178"/>
      <c r="B203" s="178"/>
      <c r="C203" s="178"/>
    </row>
    <row r="204" spans="1:3" x14ac:dyDescent="0.35">
      <c r="A204" s="178"/>
      <c r="B204" s="178"/>
      <c r="C204" s="178"/>
    </row>
    <row r="205" spans="1:3" x14ac:dyDescent="0.35">
      <c r="A205" s="178"/>
      <c r="B205" s="178"/>
      <c r="C205" s="178"/>
    </row>
    <row r="206" spans="1:3" x14ac:dyDescent="0.35">
      <c r="A206" s="178"/>
      <c r="B206" s="178"/>
      <c r="C206" s="178"/>
    </row>
    <row r="207" spans="1:3" x14ac:dyDescent="0.35">
      <c r="A207" s="178"/>
      <c r="B207" s="178"/>
      <c r="C207" s="178"/>
    </row>
    <row r="208" spans="1:3" x14ac:dyDescent="0.35">
      <c r="A208" s="178"/>
      <c r="B208" s="178"/>
      <c r="C208" s="178"/>
    </row>
    <row r="209" spans="1:9" x14ac:dyDescent="0.35">
      <c r="A209" s="178"/>
      <c r="B209" s="178"/>
      <c r="C209" s="178"/>
      <c r="D209" s="180"/>
      <c r="E209" s="180"/>
      <c r="F209" s="180"/>
      <c r="G209" s="180"/>
      <c r="H209" s="180"/>
      <c r="I209" s="180"/>
    </row>
    <row r="210" spans="1:9" x14ac:dyDescent="0.35">
      <c r="A210" s="178"/>
      <c r="B210" s="178"/>
      <c r="C210" s="178"/>
      <c r="D210" s="180"/>
      <c r="E210" s="180"/>
      <c r="F210" s="180"/>
      <c r="G210" s="180"/>
      <c r="H210" s="180"/>
    </row>
    <row r="211" spans="1:9" x14ac:dyDescent="0.35">
      <c r="A211" s="178"/>
    </row>
    <row r="212" spans="1:9" x14ac:dyDescent="0.35">
      <c r="A212" s="178"/>
    </row>
    <row r="213" spans="1:9" x14ac:dyDescent="0.35">
      <c r="A213" s="178"/>
    </row>
    <row r="214" spans="1:9" x14ac:dyDescent="0.35">
      <c r="A214" s="178"/>
    </row>
    <row r="215" spans="1:9" x14ac:dyDescent="0.35">
      <c r="A215" s="178"/>
    </row>
    <row r="216" spans="1:9" x14ac:dyDescent="0.35">
      <c r="A216" s="178"/>
    </row>
    <row r="217" spans="1:9" x14ac:dyDescent="0.35">
      <c r="A217" s="178"/>
    </row>
    <row r="218" spans="1:9" x14ac:dyDescent="0.35">
      <c r="A218" s="178"/>
    </row>
    <row r="219" spans="1:9" x14ac:dyDescent="0.35">
      <c r="A219" s="178"/>
    </row>
    <row r="220" spans="1:9" x14ac:dyDescent="0.35">
      <c r="A220" s="178"/>
    </row>
    <row r="221" spans="1:9" x14ac:dyDescent="0.35">
      <c r="A221" s="178"/>
    </row>
    <row r="222" spans="1:9" x14ac:dyDescent="0.35">
      <c r="A222" s="178"/>
    </row>
    <row r="223" spans="1:9" x14ac:dyDescent="0.35">
      <c r="A223" s="178"/>
    </row>
    <row r="224" spans="1:9" x14ac:dyDescent="0.35">
      <c r="A224" s="178"/>
    </row>
    <row r="225" spans="1:1" x14ac:dyDescent="0.35">
      <c r="A225" s="178"/>
    </row>
    <row r="226" spans="1:1" x14ac:dyDescent="0.35">
      <c r="A226" s="178"/>
    </row>
    <row r="227" spans="1:1" x14ac:dyDescent="0.35">
      <c r="A227" s="178"/>
    </row>
    <row r="228" spans="1:1" x14ac:dyDescent="0.35">
      <c r="A228" s="178"/>
    </row>
    <row r="229" spans="1:1" x14ac:dyDescent="0.35">
      <c r="A229" s="178"/>
    </row>
    <row r="230" spans="1:1" x14ac:dyDescent="0.35">
      <c r="A230" s="178"/>
    </row>
    <row r="231" spans="1:1" x14ac:dyDescent="0.35">
      <c r="A231" s="178"/>
    </row>
    <row r="232" spans="1:1" x14ac:dyDescent="0.35">
      <c r="A232" s="178"/>
    </row>
    <row r="233" spans="1:1" x14ac:dyDescent="0.35">
      <c r="A233" s="178"/>
    </row>
    <row r="234" spans="1:1" x14ac:dyDescent="0.35">
      <c r="A234" s="178"/>
    </row>
    <row r="235" spans="1:1" x14ac:dyDescent="0.35">
      <c r="A235" s="178"/>
    </row>
    <row r="236" spans="1:1" x14ac:dyDescent="0.35">
      <c r="A236" s="178"/>
    </row>
    <row r="237" spans="1:1" x14ac:dyDescent="0.35">
      <c r="A237" s="178"/>
    </row>
    <row r="238" spans="1:1" x14ac:dyDescent="0.35">
      <c r="A238" s="178"/>
    </row>
    <row r="239" spans="1:1" x14ac:dyDescent="0.35">
      <c r="A239" s="178"/>
    </row>
    <row r="240" spans="1:1" x14ac:dyDescent="0.35">
      <c r="A240" s="178"/>
    </row>
    <row r="241" spans="1:1" x14ac:dyDescent="0.35">
      <c r="A241" s="178"/>
    </row>
    <row r="242" spans="1:1" x14ac:dyDescent="0.35">
      <c r="A242" s="178"/>
    </row>
    <row r="243" spans="1:1" x14ac:dyDescent="0.35">
      <c r="A243" s="178"/>
    </row>
    <row r="244" spans="1:1" x14ac:dyDescent="0.35">
      <c r="A244" s="178"/>
    </row>
    <row r="245" spans="1:1" x14ac:dyDescent="0.35">
      <c r="A245" s="178"/>
    </row>
    <row r="246" spans="1:1" x14ac:dyDescent="0.35">
      <c r="A246" s="178"/>
    </row>
    <row r="247" spans="1:1" x14ac:dyDescent="0.35">
      <c r="A247" s="178"/>
    </row>
    <row r="248" spans="1:1" x14ac:dyDescent="0.35">
      <c r="A248" s="178"/>
    </row>
    <row r="249" spans="1:1" x14ac:dyDescent="0.35">
      <c r="A249" s="178"/>
    </row>
    <row r="250" spans="1:1" x14ac:dyDescent="0.35">
      <c r="A250" s="178"/>
    </row>
    <row r="251" spans="1:1" x14ac:dyDescent="0.35">
      <c r="A251" s="178"/>
    </row>
    <row r="252" spans="1:1" x14ac:dyDescent="0.35">
      <c r="A252" s="178"/>
    </row>
    <row r="253" spans="1:1" x14ac:dyDescent="0.35">
      <c r="A253" s="178"/>
    </row>
    <row r="254" spans="1:1" x14ac:dyDescent="0.35">
      <c r="A254" s="178"/>
    </row>
    <row r="255" spans="1:1" x14ac:dyDescent="0.35">
      <c r="A255" s="178"/>
    </row>
    <row r="256" spans="1:1" x14ac:dyDescent="0.35">
      <c r="A256" s="178"/>
    </row>
    <row r="257" spans="1:5" x14ac:dyDescent="0.35">
      <c r="A257" s="178"/>
    </row>
    <row r="258" spans="1:5" x14ac:dyDescent="0.35">
      <c r="A258" s="178"/>
    </row>
    <row r="259" spans="1:5" x14ac:dyDescent="0.35">
      <c r="A259" s="178"/>
    </row>
    <row r="260" spans="1:5" x14ac:dyDescent="0.35">
      <c r="A260" s="178"/>
    </row>
    <row r="261" spans="1:5" x14ac:dyDescent="0.35">
      <c r="A261" s="178"/>
    </row>
    <row r="262" spans="1:5" x14ac:dyDescent="0.35">
      <c r="A262" s="178"/>
    </row>
    <row r="263" spans="1:5" x14ac:dyDescent="0.35">
      <c r="A263" s="178"/>
    </row>
    <row r="264" spans="1:5" x14ac:dyDescent="0.35">
      <c r="A264" s="178"/>
    </row>
    <row r="265" spans="1:5" x14ac:dyDescent="0.35">
      <c r="A265" s="178"/>
    </row>
    <row r="266" spans="1:5" x14ac:dyDescent="0.35">
      <c r="A266" s="178"/>
    </row>
    <row r="267" spans="1:5" x14ac:dyDescent="0.35">
      <c r="A267" s="178"/>
      <c r="B267" s="180"/>
      <c r="C267" s="180"/>
      <c r="D267" s="180"/>
      <c r="E267" s="180"/>
    </row>
    <row r="268" spans="1:5" x14ac:dyDescent="0.35">
      <c r="A268" s="178"/>
      <c r="B268" s="180"/>
      <c r="C268" s="180"/>
      <c r="D268" s="18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workbookViewId="0">
      <selection activeCell="L7" sqref="L7"/>
    </sheetView>
  </sheetViews>
  <sheetFormatPr defaultRowHeight="14.5" x14ac:dyDescent="0.35"/>
  <cols>
    <col min="1" max="1" width="41.08984375" customWidth="1"/>
    <col min="2" max="3" width="8.81640625" style="179" hidden="1" customWidth="1"/>
    <col min="4" max="4" width="8.90625" style="126" bestFit="1" customWidth="1"/>
    <col min="5" max="5" width="9" style="126" bestFit="1" customWidth="1"/>
    <col min="6" max="7" width="12.453125" style="126" bestFit="1" customWidth="1"/>
    <col min="8" max="9" width="11.26953125" style="126" bestFit="1" customWidth="1"/>
  </cols>
  <sheetData>
    <row r="1" spans="1:9" x14ac:dyDescent="0.35">
      <c r="A1" s="178" t="s">
        <v>56</v>
      </c>
      <c r="B1"/>
      <c r="C1"/>
      <c r="D1"/>
      <c r="E1"/>
      <c r="F1"/>
      <c r="G1"/>
      <c r="H1"/>
      <c r="I1"/>
    </row>
    <row r="2" spans="1:9" x14ac:dyDescent="0.35">
      <c r="A2" s="178" t="s">
        <v>3096</v>
      </c>
      <c r="B2"/>
      <c r="C2"/>
      <c r="D2"/>
      <c r="E2"/>
      <c r="F2"/>
      <c r="G2"/>
      <c r="H2"/>
      <c r="I2"/>
    </row>
    <row r="3" spans="1:9" x14ac:dyDescent="0.35">
      <c r="A3" s="178" t="s">
        <v>3056</v>
      </c>
      <c r="B3" s="178" t="s">
        <v>57</v>
      </c>
      <c r="C3" s="178" t="s">
        <v>57</v>
      </c>
      <c r="D3" s="178" t="s">
        <v>3057</v>
      </c>
      <c r="E3" s="178" t="s">
        <v>3058</v>
      </c>
      <c r="F3" s="178" t="s">
        <v>3059</v>
      </c>
      <c r="G3" s="178" t="s">
        <v>3060</v>
      </c>
      <c r="H3" s="178" t="s">
        <v>3061</v>
      </c>
      <c r="I3" s="178" t="s">
        <v>3062</v>
      </c>
    </row>
    <row r="4" spans="1:9" x14ac:dyDescent="0.35">
      <c r="A4" s="178" t="s">
        <v>3097</v>
      </c>
      <c r="B4" s="178" t="s">
        <v>57</v>
      </c>
      <c r="C4" s="178" t="s">
        <v>57</v>
      </c>
      <c r="D4">
        <v>0</v>
      </c>
      <c r="E4">
        <v>0</v>
      </c>
      <c r="F4">
        <v>0</v>
      </c>
      <c r="G4">
        <v>0</v>
      </c>
      <c r="H4">
        <v>-56126.71</v>
      </c>
      <c r="I4">
        <v>-56126.71</v>
      </c>
    </row>
    <row r="5" spans="1:9" x14ac:dyDescent="0.35">
      <c r="A5" s="178" t="s">
        <v>3098</v>
      </c>
      <c r="B5" s="178" t="s">
        <v>57</v>
      </c>
      <c r="C5" s="178" t="s">
        <v>57</v>
      </c>
      <c r="D5">
        <v>0</v>
      </c>
      <c r="E5">
        <v>0</v>
      </c>
      <c r="F5">
        <v>0</v>
      </c>
      <c r="G5">
        <v>0</v>
      </c>
      <c r="H5">
        <v>14325.62</v>
      </c>
      <c r="I5">
        <v>14325.62</v>
      </c>
    </row>
    <row r="6" spans="1:9" x14ac:dyDescent="0.35">
      <c r="A6" s="178" t="s">
        <v>3099</v>
      </c>
      <c r="B6" s="178" t="s">
        <v>57</v>
      </c>
      <c r="C6" s="178" t="s">
        <v>57</v>
      </c>
      <c r="D6">
        <v>0</v>
      </c>
      <c r="E6">
        <v>0</v>
      </c>
      <c r="F6">
        <v>0</v>
      </c>
      <c r="G6">
        <v>0</v>
      </c>
      <c r="H6">
        <v>1886.49</v>
      </c>
      <c r="I6">
        <v>1886.49</v>
      </c>
    </row>
    <row r="7" spans="1:9" x14ac:dyDescent="0.35">
      <c r="A7" s="178" t="s">
        <v>3100</v>
      </c>
      <c r="B7" s="178" t="s">
        <v>57</v>
      </c>
      <c r="C7" s="178" t="s">
        <v>57</v>
      </c>
      <c r="D7">
        <v>0</v>
      </c>
      <c r="E7">
        <v>0</v>
      </c>
      <c r="F7">
        <v>0</v>
      </c>
      <c r="G7">
        <v>0</v>
      </c>
      <c r="H7">
        <v>95021.8</v>
      </c>
      <c r="I7">
        <v>95021.8</v>
      </c>
    </row>
    <row r="8" spans="1:9" x14ac:dyDescent="0.35">
      <c r="A8" s="178" t="s">
        <v>3101</v>
      </c>
      <c r="B8" s="178" t="s">
        <v>57</v>
      </c>
      <c r="C8" s="178" t="s">
        <v>57</v>
      </c>
      <c r="D8">
        <v>0</v>
      </c>
      <c r="E8">
        <v>0</v>
      </c>
      <c r="F8">
        <v>0</v>
      </c>
      <c r="G8">
        <v>0</v>
      </c>
      <c r="H8">
        <v>-12140.26</v>
      </c>
      <c r="I8">
        <v>-12140.26</v>
      </c>
    </row>
    <row r="9" spans="1:9" x14ac:dyDescent="0.35">
      <c r="A9" s="178" t="s">
        <v>3102</v>
      </c>
      <c r="B9" s="178" t="s">
        <v>57</v>
      </c>
      <c r="C9" s="178" t="s">
        <v>57</v>
      </c>
      <c r="D9">
        <v>0</v>
      </c>
      <c r="E9">
        <v>0</v>
      </c>
      <c r="F9">
        <v>0</v>
      </c>
      <c r="G9">
        <v>0</v>
      </c>
      <c r="H9">
        <v>1167.82</v>
      </c>
      <c r="I9">
        <v>1167.82</v>
      </c>
    </row>
    <row r="10" spans="1:9" x14ac:dyDescent="0.35">
      <c r="A10" s="178" t="s">
        <v>3103</v>
      </c>
      <c r="B10" s="178" t="s">
        <v>57</v>
      </c>
      <c r="C10" s="178" t="s">
        <v>57</v>
      </c>
      <c r="D10">
        <v>0</v>
      </c>
      <c r="E10">
        <v>0</v>
      </c>
      <c r="F10">
        <v>0</v>
      </c>
      <c r="G10">
        <v>0</v>
      </c>
      <c r="H10">
        <v>260</v>
      </c>
      <c r="I10">
        <v>260</v>
      </c>
    </row>
    <row r="11" spans="1:9" x14ac:dyDescent="0.35">
      <c r="A11" s="178" t="s">
        <v>3104</v>
      </c>
      <c r="B11" s="178" t="s">
        <v>57</v>
      </c>
      <c r="C11" s="178" t="s">
        <v>57</v>
      </c>
      <c r="D11">
        <v>0</v>
      </c>
      <c r="E11">
        <v>0</v>
      </c>
      <c r="F11">
        <v>0</v>
      </c>
      <c r="G11">
        <v>0</v>
      </c>
      <c r="H11">
        <v>4111</v>
      </c>
      <c r="I11">
        <v>4111</v>
      </c>
    </row>
    <row r="12" spans="1:9" x14ac:dyDescent="0.35">
      <c r="A12" s="178" t="s">
        <v>3105</v>
      </c>
      <c r="B12" s="178" t="s">
        <v>57</v>
      </c>
      <c r="C12" s="178" t="s">
        <v>57</v>
      </c>
      <c r="D12">
        <v>0</v>
      </c>
      <c r="E12">
        <v>0</v>
      </c>
      <c r="F12">
        <v>0</v>
      </c>
      <c r="G12">
        <v>0</v>
      </c>
      <c r="H12">
        <v>2561612.27</v>
      </c>
      <c r="I12">
        <v>2561612.27</v>
      </c>
    </row>
    <row r="13" spans="1:9" x14ac:dyDescent="0.35">
      <c r="A13" s="178" t="s">
        <v>3106</v>
      </c>
      <c r="B13" s="178" t="s">
        <v>57</v>
      </c>
      <c r="C13" s="178" t="s">
        <v>57</v>
      </c>
      <c r="D13">
        <v>0</v>
      </c>
      <c r="E13">
        <v>0</v>
      </c>
      <c r="F13">
        <v>0</v>
      </c>
      <c r="G13">
        <v>0</v>
      </c>
      <c r="H13">
        <v>-15537.95</v>
      </c>
      <c r="I13">
        <v>-15537.95</v>
      </c>
    </row>
    <row r="14" spans="1:9" x14ac:dyDescent="0.35">
      <c r="A14" s="178" t="s">
        <v>3107</v>
      </c>
      <c r="B14" s="178" t="s">
        <v>57</v>
      </c>
      <c r="C14" s="178" t="s">
        <v>57</v>
      </c>
      <c r="D14">
        <v>0</v>
      </c>
      <c r="E14">
        <v>0</v>
      </c>
      <c r="F14">
        <v>0</v>
      </c>
      <c r="G14">
        <v>0</v>
      </c>
      <c r="H14">
        <v>-1999</v>
      </c>
      <c r="I14">
        <v>-1999</v>
      </c>
    </row>
    <row r="15" spans="1:9" x14ac:dyDescent="0.35">
      <c r="A15" s="178" t="s">
        <v>3108</v>
      </c>
      <c r="B15" s="178" t="s">
        <v>57</v>
      </c>
      <c r="C15" s="178" t="s">
        <v>57</v>
      </c>
      <c r="D15">
        <v>0</v>
      </c>
      <c r="E15">
        <v>0</v>
      </c>
      <c r="F15">
        <v>0</v>
      </c>
      <c r="G15">
        <v>0</v>
      </c>
      <c r="H15">
        <v>5022.9399999999996</v>
      </c>
      <c r="I15">
        <v>5022.9399999999996</v>
      </c>
    </row>
    <row r="16" spans="1:9" x14ac:dyDescent="0.35">
      <c r="A16" s="178" t="s">
        <v>3109</v>
      </c>
      <c r="B16" s="178" t="s">
        <v>57</v>
      </c>
      <c r="C16" s="178" t="s">
        <v>57</v>
      </c>
      <c r="D16">
        <v>0</v>
      </c>
      <c r="E16">
        <v>0</v>
      </c>
      <c r="F16">
        <v>0</v>
      </c>
      <c r="G16">
        <v>0</v>
      </c>
      <c r="H16">
        <v>3197.49</v>
      </c>
      <c r="I16">
        <v>3197.49</v>
      </c>
    </row>
    <row r="17" spans="1:9" x14ac:dyDescent="0.35">
      <c r="A17" s="178" t="s">
        <v>3110</v>
      </c>
      <c r="B17" s="178" t="s">
        <v>57</v>
      </c>
      <c r="C17" s="178" t="s">
        <v>57</v>
      </c>
      <c r="D17">
        <v>0</v>
      </c>
      <c r="E17">
        <v>0</v>
      </c>
      <c r="F17">
        <v>0</v>
      </c>
      <c r="G17">
        <v>0</v>
      </c>
      <c r="H17">
        <v>2599600.0499999998</v>
      </c>
      <c r="I17">
        <v>2599600.0499999998</v>
      </c>
    </row>
    <row r="18" spans="1:9" x14ac:dyDescent="0.35">
      <c r="A18" s="178" t="s">
        <v>3088</v>
      </c>
      <c r="B18" s="178" t="s">
        <v>57</v>
      </c>
      <c r="C18" s="178" t="s">
        <v>57</v>
      </c>
      <c r="D18" s="178" t="s">
        <v>3111</v>
      </c>
      <c r="E18" s="178" t="s">
        <v>3111</v>
      </c>
      <c r="F18" s="178" t="s">
        <v>3111</v>
      </c>
      <c r="G18" s="178" t="s">
        <v>3111</v>
      </c>
      <c r="H18" s="178" t="s">
        <v>3094</v>
      </c>
      <c r="I18" s="178" t="s">
        <v>3094</v>
      </c>
    </row>
    <row r="19" spans="1:9" x14ac:dyDescent="0.35">
      <c r="A19" s="178" t="s">
        <v>3112</v>
      </c>
      <c r="B19" s="178" t="s">
        <v>57</v>
      </c>
      <c r="C19" s="178" t="s">
        <v>57</v>
      </c>
      <c r="D19" s="178" t="s">
        <v>57</v>
      </c>
      <c r="E19" s="178" t="s">
        <v>57</v>
      </c>
      <c r="F19" s="178" t="s">
        <v>57</v>
      </c>
      <c r="G19" s="178" t="s">
        <v>57</v>
      </c>
      <c r="H19" s="178" t="s">
        <v>57</v>
      </c>
      <c r="I19">
        <v>2599600.0499999998</v>
      </c>
    </row>
    <row r="20" spans="1:9" x14ac:dyDescent="0.35">
      <c r="A20" s="178"/>
      <c r="B20" s="178"/>
      <c r="C20" s="178"/>
    </row>
    <row r="21" spans="1:9" x14ac:dyDescent="0.35">
      <c r="A21" s="178"/>
      <c r="B21" s="178"/>
      <c r="C21" s="178"/>
      <c r="D21" s="205"/>
      <c r="E21" s="205"/>
      <c r="F21" s="205"/>
      <c r="G21" s="205"/>
      <c r="H21" s="205"/>
      <c r="I21" s="205"/>
    </row>
    <row r="22" spans="1:9" x14ac:dyDescent="0.35">
      <c r="A22" s="178"/>
      <c r="B22" s="178"/>
      <c r="C22" s="178"/>
      <c r="D22" s="205"/>
      <c r="E22" s="205"/>
      <c r="F22" s="205"/>
      <c r="G22" s="205"/>
      <c r="H22" s="20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54"/>
  <sheetViews>
    <sheetView topLeftCell="A34" workbookViewId="0">
      <selection activeCell="B46" sqref="B46"/>
    </sheetView>
  </sheetViews>
  <sheetFormatPr defaultRowHeight="14.5" x14ac:dyDescent="0.35"/>
  <cols>
    <col min="1" max="1" width="46.1796875" customWidth="1"/>
    <col min="2" max="2" width="11.1796875" customWidth="1"/>
    <col min="3" max="3" width="16.54296875" style="179" customWidth="1"/>
    <col min="4" max="4" width="20" customWidth="1"/>
  </cols>
  <sheetData>
    <row r="1" spans="1:7" x14ac:dyDescent="0.35">
      <c r="A1" s="178" t="s">
        <v>56</v>
      </c>
      <c r="C1"/>
    </row>
    <row r="2" spans="1:7" x14ac:dyDescent="0.35">
      <c r="A2" s="178" t="s">
        <v>104</v>
      </c>
      <c r="C2"/>
    </row>
    <row r="3" spans="1:7" x14ac:dyDescent="0.35">
      <c r="A3" s="178" t="s">
        <v>57</v>
      </c>
      <c r="B3" s="178" t="s">
        <v>58</v>
      </c>
      <c r="C3" s="178" t="s">
        <v>59</v>
      </c>
      <c r="D3" s="178" t="s">
        <v>57</v>
      </c>
    </row>
    <row r="4" spans="1:7" x14ac:dyDescent="0.35">
      <c r="A4" s="178" t="s">
        <v>60</v>
      </c>
      <c r="B4">
        <v>606.41</v>
      </c>
      <c r="C4">
        <v>149632.85</v>
      </c>
      <c r="E4" s="178"/>
      <c r="F4" s="178"/>
      <c r="G4" s="178"/>
    </row>
    <row r="5" spans="1:7" x14ac:dyDescent="0.35">
      <c r="A5" s="178" t="s">
        <v>61</v>
      </c>
      <c r="B5">
        <v>1248.78</v>
      </c>
      <c r="C5">
        <v>452871.05</v>
      </c>
    </row>
    <row r="6" spans="1:7" x14ac:dyDescent="0.35">
      <c r="A6" s="178" t="s">
        <v>62</v>
      </c>
      <c r="B6">
        <v>1970.16</v>
      </c>
      <c r="C6">
        <v>510910.1</v>
      </c>
    </row>
    <row r="7" spans="1:7" x14ac:dyDescent="0.35">
      <c r="A7" s="178" t="s">
        <v>63</v>
      </c>
      <c r="B7">
        <v>198.88</v>
      </c>
      <c r="C7">
        <v>68042.600000000006</v>
      </c>
    </row>
    <row r="8" spans="1:7" x14ac:dyDescent="0.35">
      <c r="A8" s="178" t="s">
        <v>64</v>
      </c>
      <c r="B8">
        <v>146.97999999999999</v>
      </c>
      <c r="C8">
        <v>52967.3</v>
      </c>
    </row>
    <row r="9" spans="1:7" x14ac:dyDescent="0.35">
      <c r="A9" s="178" t="s">
        <v>65</v>
      </c>
      <c r="B9">
        <v>208.36</v>
      </c>
      <c r="C9">
        <v>72205.149999999994</v>
      </c>
    </row>
    <row r="10" spans="1:7" x14ac:dyDescent="0.35">
      <c r="A10" s="178" t="s">
        <v>66</v>
      </c>
      <c r="B10">
        <v>1640.65</v>
      </c>
      <c r="C10">
        <v>395766.6</v>
      </c>
    </row>
    <row r="11" spans="1:7" x14ac:dyDescent="0.35">
      <c r="A11" s="178" t="s">
        <v>67</v>
      </c>
      <c r="B11">
        <v>1300.78</v>
      </c>
      <c r="C11">
        <v>431231.1</v>
      </c>
    </row>
    <row r="12" spans="1:7" x14ac:dyDescent="0.35">
      <c r="A12" s="178" t="s">
        <v>68</v>
      </c>
      <c r="B12">
        <v>1413.85</v>
      </c>
      <c r="C12">
        <v>596995.75</v>
      </c>
    </row>
    <row r="13" spans="1:7" x14ac:dyDescent="0.35">
      <c r="A13" s="178" t="s">
        <v>69</v>
      </c>
      <c r="B13">
        <v>683.88</v>
      </c>
      <c r="C13">
        <v>234271.99</v>
      </c>
    </row>
    <row r="14" spans="1:7" x14ac:dyDescent="0.35">
      <c r="A14" s="178" t="s">
        <v>70</v>
      </c>
      <c r="B14">
        <v>441.3</v>
      </c>
      <c r="C14">
        <v>158402.45000000001</v>
      </c>
    </row>
    <row r="15" spans="1:7" x14ac:dyDescent="0.35">
      <c r="A15" s="178" t="s">
        <v>71</v>
      </c>
      <c r="B15">
        <v>244.75</v>
      </c>
      <c r="C15">
        <v>81203.149999999994</v>
      </c>
    </row>
    <row r="16" spans="1:7" x14ac:dyDescent="0.35">
      <c r="A16" s="178" t="s">
        <v>72</v>
      </c>
      <c r="B16">
        <v>1153.3499999999999</v>
      </c>
      <c r="C16">
        <v>303388.34999999998</v>
      </c>
    </row>
    <row r="17" spans="1:4" x14ac:dyDescent="0.35">
      <c r="A17" s="178" t="s">
        <v>73</v>
      </c>
      <c r="B17">
        <v>890.5</v>
      </c>
      <c r="C17">
        <v>212564.6</v>
      </c>
      <c r="D17" s="178"/>
    </row>
    <row r="18" spans="1:4" x14ac:dyDescent="0.35">
      <c r="A18" s="178" t="s">
        <v>74</v>
      </c>
      <c r="B18">
        <v>633.71</v>
      </c>
      <c r="C18">
        <v>259364</v>
      </c>
      <c r="D18" s="178"/>
    </row>
    <row r="19" spans="1:4" x14ac:dyDescent="0.35">
      <c r="A19" s="178" t="s">
        <v>75</v>
      </c>
      <c r="B19">
        <v>627.97</v>
      </c>
      <c r="C19">
        <v>233154.5</v>
      </c>
      <c r="D19" s="178"/>
    </row>
    <row r="20" spans="1:4" x14ac:dyDescent="0.35">
      <c r="A20" s="178" t="s">
        <v>76</v>
      </c>
      <c r="B20">
        <v>531</v>
      </c>
      <c r="C20">
        <v>217233.75</v>
      </c>
      <c r="D20" s="178"/>
    </row>
    <row r="21" spans="1:4" x14ac:dyDescent="0.35">
      <c r="A21" s="178" t="s">
        <v>96</v>
      </c>
      <c r="B21">
        <v>8</v>
      </c>
      <c r="C21">
        <v>1385</v>
      </c>
      <c r="D21" s="178"/>
    </row>
    <row r="22" spans="1:4" x14ac:dyDescent="0.35">
      <c r="A22" s="178" t="s">
        <v>77</v>
      </c>
      <c r="B22">
        <v>700.59</v>
      </c>
      <c r="C22">
        <v>187032.3</v>
      </c>
      <c r="D22" s="178"/>
    </row>
    <row r="23" spans="1:4" x14ac:dyDescent="0.35">
      <c r="A23" s="178" t="s">
        <v>78</v>
      </c>
      <c r="B23">
        <v>146.12</v>
      </c>
      <c r="C23">
        <v>43306.3</v>
      </c>
      <c r="D23" s="178"/>
    </row>
    <row r="24" spans="1:4" x14ac:dyDescent="0.35">
      <c r="A24" s="178" t="s">
        <v>79</v>
      </c>
      <c r="B24">
        <v>400.63</v>
      </c>
      <c r="C24">
        <v>166364.9</v>
      </c>
      <c r="D24" s="178"/>
    </row>
    <row r="25" spans="1:4" x14ac:dyDescent="0.35">
      <c r="A25" s="178" t="s">
        <v>80</v>
      </c>
      <c r="B25">
        <v>100.65</v>
      </c>
      <c r="C25">
        <v>42244.95</v>
      </c>
      <c r="D25" s="178"/>
    </row>
    <row r="26" spans="1:4" x14ac:dyDescent="0.35">
      <c r="A26" s="178" t="s">
        <v>94</v>
      </c>
      <c r="B26">
        <v>1.05</v>
      </c>
      <c r="C26">
        <v>262.5</v>
      </c>
      <c r="D26" s="178"/>
    </row>
    <row r="27" spans="1:4" x14ac:dyDescent="0.35">
      <c r="A27" s="178" t="s">
        <v>81</v>
      </c>
      <c r="B27">
        <v>211.99</v>
      </c>
      <c r="C27">
        <v>88836.2</v>
      </c>
      <c r="D27" s="178"/>
    </row>
    <row r="28" spans="1:4" x14ac:dyDescent="0.35">
      <c r="A28" s="178" t="s">
        <v>82</v>
      </c>
      <c r="B28">
        <v>129.46</v>
      </c>
      <c r="C28">
        <v>53733.2</v>
      </c>
      <c r="D28" s="178"/>
    </row>
    <row r="29" spans="1:4" x14ac:dyDescent="0.35">
      <c r="A29" s="178" t="s">
        <v>83</v>
      </c>
      <c r="B29">
        <v>4126.21</v>
      </c>
      <c r="C29">
        <v>1447856.35</v>
      </c>
      <c r="D29" s="178"/>
    </row>
    <row r="30" spans="1:4" x14ac:dyDescent="0.35">
      <c r="A30" s="178" t="s">
        <v>84</v>
      </c>
      <c r="B30">
        <v>99.81</v>
      </c>
      <c r="C30">
        <v>39861.949999999997</v>
      </c>
      <c r="D30" s="178"/>
    </row>
    <row r="31" spans="1:4" x14ac:dyDescent="0.35">
      <c r="A31" s="178" t="s">
        <v>85</v>
      </c>
      <c r="B31">
        <v>1148.17</v>
      </c>
      <c r="C31">
        <v>483440.95</v>
      </c>
      <c r="D31" s="178"/>
    </row>
    <row r="32" spans="1:4" x14ac:dyDescent="0.35">
      <c r="A32" s="178" t="s">
        <v>86</v>
      </c>
      <c r="B32">
        <v>3430.78</v>
      </c>
      <c r="C32">
        <v>862859.049999999</v>
      </c>
      <c r="D32" s="178"/>
    </row>
    <row r="33" spans="1:4" x14ac:dyDescent="0.35">
      <c r="A33" s="178" t="s">
        <v>87</v>
      </c>
      <c r="B33">
        <v>942.18</v>
      </c>
      <c r="C33">
        <v>347141.21</v>
      </c>
      <c r="D33" s="178"/>
    </row>
    <row r="34" spans="1:4" x14ac:dyDescent="0.35">
      <c r="A34" s="178" t="s">
        <v>88</v>
      </c>
      <c r="B34">
        <v>13.02</v>
      </c>
      <c r="C34">
        <v>4959</v>
      </c>
      <c r="D34" s="178"/>
    </row>
    <row r="35" spans="1:4" x14ac:dyDescent="0.35">
      <c r="A35" s="178" t="s">
        <v>89</v>
      </c>
      <c r="B35">
        <v>33.35</v>
      </c>
      <c r="C35">
        <v>8337.5</v>
      </c>
      <c r="D35" s="178"/>
    </row>
    <row r="36" spans="1:4" x14ac:dyDescent="0.35">
      <c r="A36" s="178" t="s">
        <v>90</v>
      </c>
      <c r="B36">
        <v>136.77000000000001</v>
      </c>
      <c r="C36">
        <v>56815.45</v>
      </c>
      <c r="D36" s="178"/>
    </row>
    <row r="37" spans="1:4" x14ac:dyDescent="0.35">
      <c r="A37" s="178" t="s">
        <v>105</v>
      </c>
      <c r="B37">
        <v>264</v>
      </c>
      <c r="C37">
        <v>106390.2</v>
      </c>
      <c r="D37" s="178"/>
    </row>
    <row r="38" spans="1:4" x14ac:dyDescent="0.35">
      <c r="A38" s="178" t="s">
        <v>91</v>
      </c>
      <c r="B38">
        <v>323.98</v>
      </c>
      <c r="C38">
        <v>134716.45000000001</v>
      </c>
      <c r="D38" s="178"/>
    </row>
    <row r="39" spans="1:4" x14ac:dyDescent="0.35">
      <c r="A39" s="178" t="s">
        <v>92</v>
      </c>
      <c r="B39">
        <v>759.14</v>
      </c>
      <c r="C39">
        <v>197376.4</v>
      </c>
      <c r="D39" s="178"/>
    </row>
    <row r="40" spans="1:4" ht="15" thickBot="1" x14ac:dyDescent="0.4">
      <c r="A40" s="178" t="s">
        <v>93</v>
      </c>
      <c r="B40" s="234">
        <f>SUM(B4:B39)</f>
        <v>26917.209999999995</v>
      </c>
      <c r="C40" s="234">
        <f>SUM(C4:C39)</f>
        <v>8703125.1500000022</v>
      </c>
      <c r="D40" s="178"/>
    </row>
    <row r="41" spans="1:4" ht="15" thickTop="1" x14ac:dyDescent="0.35">
      <c r="A41" s="178"/>
      <c r="C41"/>
      <c r="D41" s="178"/>
    </row>
    <row r="42" spans="1:4" x14ac:dyDescent="0.35">
      <c r="A42" s="178"/>
      <c r="C42"/>
      <c r="D42" s="178"/>
    </row>
    <row r="43" spans="1:4" x14ac:dyDescent="0.35">
      <c r="A43" s="178"/>
      <c r="C43"/>
      <c r="D43" s="178"/>
    </row>
    <row r="44" spans="1:4" x14ac:dyDescent="0.35">
      <c r="A44" s="178"/>
      <c r="C44"/>
      <c r="D44" s="178"/>
    </row>
    <row r="45" spans="1:4" x14ac:dyDescent="0.35">
      <c r="A45" s="178"/>
      <c r="C45"/>
      <c r="D45" s="178"/>
    </row>
    <row r="46" spans="1:4" x14ac:dyDescent="0.35">
      <c r="A46" s="178"/>
      <c r="B46" s="178"/>
      <c r="C46" s="180"/>
      <c r="D46" s="178"/>
    </row>
    <row r="47" spans="1:4" x14ac:dyDescent="0.35">
      <c r="A47" s="178"/>
      <c r="B47" s="178"/>
      <c r="C47" s="180"/>
      <c r="D47" s="178"/>
    </row>
    <row r="48" spans="1:4" x14ac:dyDescent="0.35">
      <c r="A48" s="178"/>
      <c r="B48" s="178"/>
      <c r="C48" s="180"/>
      <c r="D48" s="178"/>
    </row>
    <row r="49" spans="1:4" x14ac:dyDescent="0.35">
      <c r="A49" s="178"/>
      <c r="B49" s="178"/>
      <c r="C49" s="180"/>
      <c r="D49" s="178"/>
    </row>
    <row r="50" spans="1:4" x14ac:dyDescent="0.35">
      <c r="A50" s="178"/>
      <c r="B50" s="178"/>
      <c r="C50" s="180"/>
      <c r="D50" s="178"/>
    </row>
    <row r="51" spans="1:4" x14ac:dyDescent="0.35">
      <c r="A51" s="178"/>
      <c r="B51" s="178"/>
      <c r="C51" s="180"/>
      <c r="D51" s="178"/>
    </row>
    <row r="52" spans="1:4" x14ac:dyDescent="0.35">
      <c r="A52" s="178"/>
      <c r="B52" s="178"/>
      <c r="C52" s="180"/>
      <c r="D52" s="178"/>
    </row>
    <row r="53" spans="1:4" x14ac:dyDescent="0.35">
      <c r="A53" s="178"/>
      <c r="B53" s="178"/>
      <c r="C53" s="180"/>
      <c r="D53" s="178"/>
    </row>
    <row r="54" spans="1:4" x14ac:dyDescent="0.35">
      <c r="A54" s="178"/>
      <c r="B54" s="178"/>
      <c r="C54" s="180"/>
      <c r="D54" s="178"/>
    </row>
    <row r="55" spans="1:4" x14ac:dyDescent="0.35">
      <c r="A55" s="178"/>
      <c r="B55" s="178"/>
      <c r="C55" s="180"/>
      <c r="D55" s="178"/>
    </row>
    <row r="56" spans="1:4" x14ac:dyDescent="0.35">
      <c r="A56" s="178"/>
      <c r="B56" s="178"/>
      <c r="C56" s="180"/>
      <c r="D56" s="178"/>
    </row>
    <row r="57" spans="1:4" x14ac:dyDescent="0.35">
      <c r="A57" s="178"/>
      <c r="B57" s="178"/>
      <c r="C57" s="180"/>
      <c r="D57" s="178"/>
    </row>
    <row r="58" spans="1:4" x14ac:dyDescent="0.35">
      <c r="A58" s="178"/>
      <c r="B58" s="178"/>
      <c r="C58" s="180"/>
      <c r="D58" s="178"/>
    </row>
    <row r="59" spans="1:4" x14ac:dyDescent="0.35">
      <c r="A59" s="178"/>
      <c r="B59" s="178"/>
      <c r="C59" s="180"/>
      <c r="D59" s="178"/>
    </row>
    <row r="60" spans="1:4" x14ac:dyDescent="0.35">
      <c r="A60" s="178"/>
      <c r="B60" s="178"/>
      <c r="C60" s="180"/>
      <c r="D60" s="178"/>
    </row>
    <row r="61" spans="1:4" x14ac:dyDescent="0.35">
      <c r="A61" s="178"/>
      <c r="B61" s="178"/>
      <c r="C61" s="180"/>
      <c r="D61" s="178"/>
    </row>
    <row r="62" spans="1:4" x14ac:dyDescent="0.35">
      <c r="A62" s="178"/>
      <c r="B62" s="178"/>
      <c r="C62" s="180"/>
      <c r="D62" s="178"/>
    </row>
    <row r="63" spans="1:4" x14ac:dyDescent="0.35">
      <c r="A63" s="178"/>
      <c r="B63" s="178"/>
      <c r="C63" s="180"/>
      <c r="D63" s="178"/>
    </row>
    <row r="64" spans="1:4" x14ac:dyDescent="0.35">
      <c r="A64" s="178"/>
      <c r="B64" s="178"/>
      <c r="C64" s="180"/>
      <c r="D64" s="178"/>
    </row>
    <row r="65" spans="1:4" x14ac:dyDescent="0.35">
      <c r="A65" s="178"/>
      <c r="B65" s="178"/>
      <c r="C65" s="180"/>
      <c r="D65" s="178"/>
    </row>
    <row r="66" spans="1:4" x14ac:dyDescent="0.35">
      <c r="A66" s="178"/>
      <c r="B66" s="178"/>
      <c r="C66" s="180"/>
      <c r="D66" s="178"/>
    </row>
    <row r="67" spans="1:4" x14ac:dyDescent="0.35">
      <c r="A67" s="178"/>
      <c r="B67" s="178"/>
      <c r="C67" s="180"/>
      <c r="D67" s="178"/>
    </row>
    <row r="68" spans="1:4" x14ac:dyDescent="0.35">
      <c r="A68" s="178"/>
      <c r="B68" s="178"/>
      <c r="C68" s="180"/>
      <c r="D68" s="178"/>
    </row>
    <row r="69" spans="1:4" x14ac:dyDescent="0.35">
      <c r="A69" s="178"/>
      <c r="B69" s="178"/>
      <c r="C69" s="180"/>
      <c r="D69" s="178"/>
    </row>
    <row r="70" spans="1:4" x14ac:dyDescent="0.35">
      <c r="A70" s="178"/>
      <c r="B70" s="178"/>
      <c r="C70" s="180"/>
      <c r="D70" s="178"/>
    </row>
    <row r="71" spans="1:4" x14ac:dyDescent="0.35">
      <c r="A71" s="178"/>
      <c r="B71" s="178"/>
      <c r="C71" s="180"/>
      <c r="D71" s="178"/>
    </row>
    <row r="72" spans="1:4" x14ac:dyDescent="0.35">
      <c r="A72" s="178"/>
      <c r="B72" s="178"/>
      <c r="C72" s="180"/>
      <c r="D72" s="178"/>
    </row>
    <row r="73" spans="1:4" x14ac:dyDescent="0.35">
      <c r="A73" s="178"/>
      <c r="B73" s="178"/>
      <c r="C73" s="180"/>
      <c r="D73" s="178"/>
    </row>
    <row r="74" spans="1:4" x14ac:dyDescent="0.35">
      <c r="A74" s="178"/>
      <c r="B74" s="178"/>
      <c r="C74" s="180"/>
      <c r="D74" s="178"/>
    </row>
    <row r="75" spans="1:4" x14ac:dyDescent="0.35">
      <c r="A75" s="178"/>
      <c r="B75" s="178"/>
      <c r="C75" s="180"/>
      <c r="D75" s="178"/>
    </row>
    <row r="76" spans="1:4" x14ac:dyDescent="0.35">
      <c r="A76" s="178"/>
      <c r="B76" s="178"/>
      <c r="C76" s="180"/>
      <c r="D76" s="178"/>
    </row>
    <row r="77" spans="1:4" x14ac:dyDescent="0.35">
      <c r="A77" s="178"/>
      <c r="B77" s="178"/>
      <c r="C77" s="180"/>
      <c r="D77" s="178"/>
    </row>
    <row r="78" spans="1:4" x14ac:dyDescent="0.35">
      <c r="A78" s="178"/>
      <c r="B78" s="178"/>
      <c r="C78" s="180"/>
      <c r="D78" s="178"/>
    </row>
    <row r="79" spans="1:4" x14ac:dyDescent="0.35">
      <c r="A79" s="178"/>
      <c r="B79" s="178"/>
      <c r="C79" s="180"/>
      <c r="D79" s="178"/>
    </row>
    <row r="80" spans="1:4" x14ac:dyDescent="0.35">
      <c r="A80" s="178"/>
      <c r="B80" s="178"/>
      <c r="C80" s="180"/>
      <c r="D80" s="178"/>
    </row>
    <row r="81" spans="1:4" x14ac:dyDescent="0.35">
      <c r="A81" s="178"/>
      <c r="B81" s="178"/>
      <c r="C81" s="180"/>
      <c r="D81" s="178"/>
    </row>
    <row r="82" spans="1:4" x14ac:dyDescent="0.35">
      <c r="A82" s="178"/>
      <c r="B82" s="178"/>
      <c r="C82" s="180"/>
      <c r="D82" s="178"/>
    </row>
    <row r="83" spans="1:4" x14ac:dyDescent="0.35">
      <c r="A83" s="178"/>
      <c r="B83" s="178"/>
      <c r="C83" s="180"/>
      <c r="D83" s="178"/>
    </row>
    <row r="84" spans="1:4" x14ac:dyDescent="0.35">
      <c r="A84" s="178"/>
      <c r="B84" s="178"/>
      <c r="C84" s="180"/>
      <c r="D84" s="178"/>
    </row>
    <row r="85" spans="1:4" x14ac:dyDescent="0.35">
      <c r="A85" s="178"/>
      <c r="B85" s="178"/>
      <c r="C85" s="180"/>
      <c r="D85" s="178"/>
    </row>
    <row r="86" spans="1:4" x14ac:dyDescent="0.35">
      <c r="A86" s="178"/>
      <c r="B86" s="178"/>
      <c r="C86" s="180"/>
      <c r="D86" s="178"/>
    </row>
    <row r="87" spans="1:4" x14ac:dyDescent="0.35">
      <c r="A87" s="178"/>
      <c r="B87" s="178"/>
      <c r="C87" s="180"/>
      <c r="D87" s="178"/>
    </row>
    <row r="88" spans="1:4" x14ac:dyDescent="0.35">
      <c r="A88" s="178"/>
      <c r="B88" s="178"/>
      <c r="C88" s="180"/>
      <c r="D88" s="178"/>
    </row>
    <row r="89" spans="1:4" x14ac:dyDescent="0.35">
      <c r="A89" s="178"/>
      <c r="B89" s="178"/>
      <c r="C89" s="180"/>
      <c r="D89" s="178"/>
    </row>
    <row r="90" spans="1:4" x14ac:dyDescent="0.35">
      <c r="A90" s="178"/>
      <c r="B90" s="178"/>
      <c r="C90" s="180"/>
      <c r="D90" s="178"/>
    </row>
    <row r="91" spans="1:4" x14ac:dyDescent="0.35">
      <c r="A91" s="178"/>
      <c r="B91" s="178"/>
      <c r="C91" s="180"/>
      <c r="D91" s="178"/>
    </row>
    <row r="92" spans="1:4" x14ac:dyDescent="0.35">
      <c r="A92" s="178"/>
      <c r="B92" s="178"/>
      <c r="C92" s="180"/>
      <c r="D92" s="178"/>
    </row>
    <row r="93" spans="1:4" x14ac:dyDescent="0.35">
      <c r="A93" s="178"/>
      <c r="B93" s="178"/>
      <c r="C93" s="180"/>
      <c r="D93" s="178"/>
    </row>
    <row r="94" spans="1:4" x14ac:dyDescent="0.35">
      <c r="A94" s="178"/>
      <c r="B94" s="178"/>
      <c r="C94" s="180"/>
      <c r="D94" s="178"/>
    </row>
    <row r="95" spans="1:4" x14ac:dyDescent="0.35">
      <c r="A95" s="178"/>
      <c r="B95" s="178"/>
      <c r="C95" s="180"/>
      <c r="D95" s="178"/>
    </row>
    <row r="96" spans="1:4" x14ac:dyDescent="0.35">
      <c r="A96" s="178"/>
      <c r="B96" s="178"/>
      <c r="C96" s="180"/>
      <c r="D96" s="178"/>
    </row>
    <row r="97" spans="1:4" x14ac:dyDescent="0.35">
      <c r="A97" s="178"/>
      <c r="B97" s="178"/>
      <c r="C97" s="180"/>
      <c r="D97" s="178"/>
    </row>
    <row r="98" spans="1:4" x14ac:dyDescent="0.35">
      <c r="A98" s="178"/>
      <c r="B98" s="178"/>
      <c r="C98" s="180"/>
      <c r="D98" s="178"/>
    </row>
    <row r="99" spans="1:4" x14ac:dyDescent="0.35">
      <c r="A99" s="178"/>
      <c r="B99" s="178"/>
      <c r="C99" s="180"/>
      <c r="D99" s="178"/>
    </row>
    <row r="100" spans="1:4" x14ac:dyDescent="0.35">
      <c r="A100" s="178"/>
      <c r="B100" s="178"/>
      <c r="C100" s="180"/>
      <c r="D100" s="178"/>
    </row>
    <row r="101" spans="1:4" x14ac:dyDescent="0.35">
      <c r="A101" s="178"/>
      <c r="B101" s="178"/>
      <c r="C101" s="180"/>
      <c r="D101" s="178"/>
    </row>
    <row r="102" spans="1:4" x14ac:dyDescent="0.35">
      <c r="A102" s="178"/>
      <c r="B102" s="178"/>
      <c r="C102" s="180"/>
      <c r="D102" s="178"/>
    </row>
    <row r="103" spans="1:4" x14ac:dyDescent="0.35">
      <c r="A103" s="178"/>
      <c r="B103" s="178"/>
      <c r="C103" s="180"/>
      <c r="D103" s="178"/>
    </row>
    <row r="104" spans="1:4" x14ac:dyDescent="0.35">
      <c r="A104" s="178"/>
      <c r="B104" s="178"/>
      <c r="C104" s="180"/>
      <c r="D104" s="178"/>
    </row>
    <row r="105" spans="1:4" x14ac:dyDescent="0.35">
      <c r="A105" s="178"/>
      <c r="B105" s="178"/>
      <c r="C105" s="180"/>
      <c r="D105" s="178"/>
    </row>
    <row r="106" spans="1:4" x14ac:dyDescent="0.35">
      <c r="A106" s="178"/>
      <c r="B106" s="178"/>
      <c r="C106" s="180"/>
      <c r="D106" s="178"/>
    </row>
    <row r="107" spans="1:4" x14ac:dyDescent="0.35">
      <c r="A107" s="178"/>
      <c r="B107" s="178"/>
      <c r="C107" s="180"/>
      <c r="D107" s="178"/>
    </row>
    <row r="108" spans="1:4" x14ac:dyDescent="0.35">
      <c r="A108" s="178"/>
      <c r="B108" s="178"/>
      <c r="C108" s="180"/>
      <c r="D108" s="178"/>
    </row>
    <row r="109" spans="1:4" x14ac:dyDescent="0.35">
      <c r="A109" s="178"/>
      <c r="B109" s="178"/>
      <c r="C109" s="180"/>
      <c r="D109" s="178"/>
    </row>
    <row r="110" spans="1:4" x14ac:dyDescent="0.35">
      <c r="A110" s="178"/>
      <c r="B110" s="178"/>
      <c r="C110" s="180"/>
      <c r="D110" s="178"/>
    </row>
    <row r="111" spans="1:4" x14ac:dyDescent="0.35">
      <c r="A111" s="178"/>
      <c r="B111" s="178"/>
      <c r="C111" s="180"/>
      <c r="D111" s="178"/>
    </row>
    <row r="112" spans="1:4" x14ac:dyDescent="0.35">
      <c r="A112" s="178"/>
      <c r="B112" s="178"/>
      <c r="C112" s="180"/>
      <c r="D112" s="178"/>
    </row>
    <row r="113" spans="1:4" x14ac:dyDescent="0.35">
      <c r="A113" s="178"/>
      <c r="B113" s="178"/>
      <c r="C113" s="180"/>
      <c r="D113" s="178"/>
    </row>
    <row r="114" spans="1:4" x14ac:dyDescent="0.35">
      <c r="A114" s="178"/>
      <c r="B114" s="178"/>
      <c r="C114" s="180"/>
      <c r="D114" s="178"/>
    </row>
    <row r="115" spans="1:4" x14ac:dyDescent="0.35">
      <c r="A115" s="178"/>
      <c r="B115" s="178"/>
      <c r="C115" s="180"/>
      <c r="D115" s="178"/>
    </row>
    <row r="116" spans="1:4" x14ac:dyDescent="0.35">
      <c r="A116" s="178"/>
      <c r="B116" s="178"/>
      <c r="C116" s="180"/>
      <c r="D116" s="178"/>
    </row>
    <row r="117" spans="1:4" x14ac:dyDescent="0.35">
      <c r="A117" s="178"/>
      <c r="B117" s="178"/>
      <c r="C117" s="180"/>
      <c r="D117" s="178"/>
    </row>
    <row r="118" spans="1:4" x14ac:dyDescent="0.35">
      <c r="A118" s="178"/>
      <c r="B118" s="178"/>
      <c r="C118" s="180"/>
      <c r="D118" s="178"/>
    </row>
    <row r="119" spans="1:4" x14ac:dyDescent="0.35">
      <c r="A119" s="178"/>
      <c r="B119" s="178"/>
      <c r="C119" s="180"/>
      <c r="D119" s="178"/>
    </row>
    <row r="120" spans="1:4" x14ac:dyDescent="0.35">
      <c r="A120" s="178"/>
      <c r="B120" s="178"/>
      <c r="C120" s="180"/>
      <c r="D120" s="178"/>
    </row>
    <row r="121" spans="1:4" x14ac:dyDescent="0.35">
      <c r="A121" s="178"/>
      <c r="B121" s="178"/>
      <c r="C121" s="180"/>
      <c r="D121" s="178"/>
    </row>
    <row r="122" spans="1:4" x14ac:dyDescent="0.35">
      <c r="A122" s="178"/>
      <c r="B122" s="178"/>
      <c r="C122" s="180"/>
      <c r="D122" s="178"/>
    </row>
    <row r="123" spans="1:4" x14ac:dyDescent="0.35">
      <c r="A123" s="178"/>
      <c r="B123" s="178"/>
      <c r="C123" s="180"/>
      <c r="D123" s="178"/>
    </row>
    <row r="124" spans="1:4" x14ac:dyDescent="0.35">
      <c r="A124" s="178"/>
      <c r="B124" s="178"/>
      <c r="C124" s="180"/>
      <c r="D124" s="178"/>
    </row>
    <row r="125" spans="1:4" x14ac:dyDescent="0.35">
      <c r="A125" s="178"/>
      <c r="B125" s="178"/>
      <c r="C125" s="180"/>
      <c r="D125" s="178"/>
    </row>
    <row r="126" spans="1:4" x14ac:dyDescent="0.35">
      <c r="A126" s="178"/>
      <c r="B126" s="178"/>
      <c r="C126" s="180"/>
      <c r="D126" s="178"/>
    </row>
    <row r="127" spans="1:4" x14ac:dyDescent="0.35">
      <c r="A127" s="178"/>
      <c r="B127" s="178"/>
      <c r="C127" s="180"/>
      <c r="D127" s="178"/>
    </row>
    <row r="128" spans="1:4" x14ac:dyDescent="0.35">
      <c r="A128" s="178"/>
      <c r="B128" s="178"/>
      <c r="C128" s="180"/>
      <c r="D128" s="178"/>
    </row>
    <row r="129" spans="1:4" x14ac:dyDescent="0.35">
      <c r="A129" s="178"/>
      <c r="B129" s="178"/>
      <c r="C129" s="180"/>
      <c r="D129" s="178"/>
    </row>
    <row r="130" spans="1:4" x14ac:dyDescent="0.35">
      <c r="A130" s="178"/>
      <c r="B130" s="178"/>
      <c r="C130" s="180"/>
      <c r="D130" s="178"/>
    </row>
    <row r="131" spans="1:4" x14ac:dyDescent="0.35">
      <c r="A131" s="178"/>
      <c r="B131" s="178"/>
      <c r="C131" s="180"/>
      <c r="D131" s="178"/>
    </row>
    <row r="132" spans="1:4" x14ac:dyDescent="0.35">
      <c r="A132" s="178"/>
      <c r="B132" s="178"/>
      <c r="C132" s="180"/>
      <c r="D132" s="178"/>
    </row>
    <row r="133" spans="1:4" x14ac:dyDescent="0.35">
      <c r="A133" s="178"/>
      <c r="B133" s="178"/>
      <c r="C133" s="180"/>
      <c r="D133" s="178"/>
    </row>
    <row r="134" spans="1:4" x14ac:dyDescent="0.35">
      <c r="A134" s="178"/>
      <c r="B134" s="178"/>
      <c r="C134" s="180"/>
      <c r="D134" s="178"/>
    </row>
    <row r="135" spans="1:4" x14ac:dyDescent="0.35">
      <c r="A135" s="178"/>
      <c r="B135" s="178"/>
      <c r="C135" s="180"/>
      <c r="D135" s="178"/>
    </row>
    <row r="136" spans="1:4" x14ac:dyDescent="0.35">
      <c r="A136" s="178"/>
      <c r="B136" s="178"/>
      <c r="C136" s="180"/>
      <c r="D136" s="178"/>
    </row>
    <row r="137" spans="1:4" x14ac:dyDescent="0.35">
      <c r="A137" s="178"/>
      <c r="B137" s="178"/>
      <c r="C137" s="180"/>
      <c r="D137" s="178"/>
    </row>
    <row r="138" spans="1:4" x14ac:dyDescent="0.35">
      <c r="A138" s="178"/>
      <c r="B138" s="178"/>
      <c r="C138" s="180"/>
      <c r="D138" s="178"/>
    </row>
    <row r="139" spans="1:4" x14ac:dyDescent="0.35">
      <c r="A139" s="178"/>
      <c r="B139" s="178"/>
      <c r="C139" s="180"/>
      <c r="D139" s="178"/>
    </row>
    <row r="140" spans="1:4" x14ac:dyDescent="0.35">
      <c r="A140" s="178"/>
      <c r="B140" s="178"/>
      <c r="C140" s="180"/>
      <c r="D140" s="178"/>
    </row>
    <row r="141" spans="1:4" x14ac:dyDescent="0.35">
      <c r="A141" s="178"/>
      <c r="B141" s="178"/>
      <c r="C141" s="180"/>
      <c r="D141" s="178"/>
    </row>
    <row r="142" spans="1:4" x14ac:dyDescent="0.35">
      <c r="A142" s="178"/>
      <c r="B142" s="178"/>
      <c r="C142" s="180"/>
      <c r="D142" s="178"/>
    </row>
    <row r="143" spans="1:4" x14ac:dyDescent="0.35">
      <c r="A143" s="178"/>
      <c r="B143" s="178"/>
      <c r="C143" s="180"/>
      <c r="D143" s="178"/>
    </row>
    <row r="144" spans="1:4" x14ac:dyDescent="0.35">
      <c r="A144" s="178"/>
      <c r="B144" s="178"/>
      <c r="C144" s="180"/>
      <c r="D144" s="178"/>
    </row>
    <row r="145" spans="1:4" x14ac:dyDescent="0.35">
      <c r="A145" s="178"/>
      <c r="B145" s="178"/>
      <c r="C145" s="180"/>
      <c r="D145" s="178"/>
    </row>
    <row r="146" spans="1:4" x14ac:dyDescent="0.35">
      <c r="A146" s="178"/>
      <c r="B146" s="178"/>
      <c r="C146" s="180"/>
      <c r="D146" s="178"/>
    </row>
    <row r="147" spans="1:4" x14ac:dyDescent="0.35">
      <c r="A147" s="178"/>
      <c r="B147" s="178"/>
      <c r="C147" s="180"/>
      <c r="D147" s="178"/>
    </row>
    <row r="148" spans="1:4" x14ac:dyDescent="0.35">
      <c r="A148" s="178"/>
      <c r="B148" s="178"/>
      <c r="C148" s="180"/>
      <c r="D148" s="178"/>
    </row>
    <row r="149" spans="1:4" x14ac:dyDescent="0.35">
      <c r="A149" s="178"/>
      <c r="B149" s="178"/>
      <c r="C149" s="180"/>
      <c r="D149" s="178"/>
    </row>
    <row r="150" spans="1:4" x14ac:dyDescent="0.35">
      <c r="A150" s="178"/>
      <c r="B150" s="178"/>
      <c r="C150" s="180"/>
      <c r="D150" s="178"/>
    </row>
    <row r="151" spans="1:4" x14ac:dyDescent="0.35">
      <c r="A151" s="178"/>
      <c r="B151" s="178"/>
      <c r="C151" s="180"/>
      <c r="D151" s="178"/>
    </row>
    <row r="152" spans="1:4" x14ac:dyDescent="0.35">
      <c r="A152" s="178"/>
      <c r="B152" s="178"/>
      <c r="C152" s="180"/>
      <c r="D152" s="178"/>
    </row>
    <row r="153" spans="1:4" x14ac:dyDescent="0.35">
      <c r="A153" s="178"/>
      <c r="B153" s="178"/>
      <c r="C153" s="180"/>
      <c r="D153" s="178"/>
    </row>
    <row r="154" spans="1:4" x14ac:dyDescent="0.35">
      <c r="A154" s="178"/>
      <c r="B154" s="178"/>
      <c r="C154" s="180"/>
      <c r="D154" s="178"/>
    </row>
    <row r="155" spans="1:4" x14ac:dyDescent="0.35">
      <c r="A155" s="178"/>
      <c r="B155" s="178"/>
      <c r="C155" s="180"/>
      <c r="D155" s="178"/>
    </row>
    <row r="156" spans="1:4" x14ac:dyDescent="0.35">
      <c r="A156" s="178"/>
      <c r="B156" s="178"/>
      <c r="C156" s="180"/>
      <c r="D156" s="178"/>
    </row>
    <row r="157" spans="1:4" x14ac:dyDescent="0.35">
      <c r="A157" s="178"/>
      <c r="B157" s="178"/>
      <c r="C157" s="180"/>
      <c r="D157" s="178"/>
    </row>
    <row r="158" spans="1:4" x14ac:dyDescent="0.35">
      <c r="A158" s="178"/>
      <c r="B158" s="178"/>
      <c r="C158" s="180"/>
      <c r="D158" s="178"/>
    </row>
    <row r="159" spans="1:4" x14ac:dyDescent="0.35">
      <c r="A159" s="178"/>
      <c r="B159" s="178"/>
      <c r="C159" s="180"/>
      <c r="D159" s="178"/>
    </row>
    <row r="160" spans="1:4" x14ac:dyDescent="0.35">
      <c r="A160" s="178"/>
      <c r="B160" s="178"/>
      <c r="C160" s="180"/>
      <c r="D160" s="178"/>
    </row>
    <row r="161" spans="1:4" x14ac:dyDescent="0.35">
      <c r="A161" s="178"/>
      <c r="B161" s="178"/>
      <c r="C161" s="180"/>
      <c r="D161" s="178"/>
    </row>
    <row r="162" spans="1:4" x14ac:dyDescent="0.35">
      <c r="A162" s="178"/>
      <c r="B162" s="178"/>
      <c r="C162" s="180"/>
      <c r="D162" s="178"/>
    </row>
    <row r="163" spans="1:4" x14ac:dyDescent="0.35">
      <c r="A163" s="178"/>
      <c r="B163" s="178"/>
      <c r="C163" s="180"/>
      <c r="D163" s="178"/>
    </row>
    <row r="164" spans="1:4" x14ac:dyDescent="0.35">
      <c r="A164" s="178"/>
      <c r="B164" s="178"/>
      <c r="C164" s="180"/>
      <c r="D164" s="178"/>
    </row>
    <row r="165" spans="1:4" x14ac:dyDescent="0.35">
      <c r="A165" s="178"/>
      <c r="B165" s="178"/>
      <c r="C165" s="180"/>
      <c r="D165" s="178"/>
    </row>
    <row r="166" spans="1:4" x14ac:dyDescent="0.35">
      <c r="A166" s="178"/>
      <c r="B166" s="178"/>
      <c r="C166" s="180"/>
      <c r="D166" s="178"/>
    </row>
    <row r="167" spans="1:4" x14ac:dyDescent="0.35">
      <c r="A167" s="178"/>
      <c r="B167" s="178"/>
      <c r="C167" s="180"/>
      <c r="D167" s="178"/>
    </row>
    <row r="168" spans="1:4" x14ac:dyDescent="0.35">
      <c r="A168" s="178"/>
      <c r="B168" s="178"/>
      <c r="C168" s="180"/>
      <c r="D168" s="178"/>
    </row>
    <row r="169" spans="1:4" x14ac:dyDescent="0.35">
      <c r="A169" s="178"/>
      <c r="B169" s="178"/>
      <c r="C169" s="180"/>
      <c r="D169" s="178"/>
    </row>
    <row r="170" spans="1:4" x14ac:dyDescent="0.35">
      <c r="A170" s="178"/>
      <c r="B170" s="178"/>
      <c r="C170" s="180"/>
      <c r="D170" s="178"/>
    </row>
    <row r="171" spans="1:4" x14ac:dyDescent="0.35">
      <c r="A171" s="178"/>
      <c r="B171" s="178"/>
      <c r="C171" s="180"/>
      <c r="D171" s="178"/>
    </row>
    <row r="172" spans="1:4" x14ac:dyDescent="0.35">
      <c r="A172" s="178"/>
      <c r="B172" s="178"/>
      <c r="C172" s="180"/>
      <c r="D172" s="178"/>
    </row>
    <row r="173" spans="1:4" x14ac:dyDescent="0.35">
      <c r="A173" s="178"/>
      <c r="B173" s="178"/>
      <c r="C173" s="180"/>
      <c r="D173" s="178"/>
    </row>
    <row r="174" spans="1:4" x14ac:dyDescent="0.35">
      <c r="A174" s="178"/>
      <c r="B174" s="178"/>
      <c r="C174" s="180"/>
      <c r="D174" s="178"/>
    </row>
    <row r="175" spans="1:4" x14ac:dyDescent="0.35">
      <c r="A175" s="178"/>
      <c r="B175" s="178"/>
      <c r="C175" s="180"/>
      <c r="D175" s="178"/>
    </row>
    <row r="176" spans="1:4" x14ac:dyDescent="0.35">
      <c r="A176" s="178"/>
      <c r="B176" s="178"/>
      <c r="C176" s="180"/>
      <c r="D176" s="178"/>
    </row>
    <row r="177" spans="1:4" x14ac:dyDescent="0.35">
      <c r="A177" s="178"/>
      <c r="B177" s="178"/>
      <c r="C177" s="180"/>
      <c r="D177" s="178"/>
    </row>
    <row r="178" spans="1:4" x14ac:dyDescent="0.35">
      <c r="A178" s="178"/>
      <c r="B178" s="178"/>
      <c r="C178" s="180"/>
      <c r="D178" s="178"/>
    </row>
    <row r="179" spans="1:4" x14ac:dyDescent="0.35">
      <c r="A179" s="178"/>
      <c r="B179" s="178"/>
      <c r="C179" s="180"/>
      <c r="D179" s="178"/>
    </row>
    <row r="180" spans="1:4" x14ac:dyDescent="0.35">
      <c r="A180" s="178"/>
      <c r="B180" s="178"/>
      <c r="C180" s="180"/>
      <c r="D180" s="178"/>
    </row>
    <row r="181" spans="1:4" x14ac:dyDescent="0.35">
      <c r="A181" s="178"/>
      <c r="B181" s="178"/>
      <c r="C181" s="180"/>
      <c r="D181" s="178"/>
    </row>
    <row r="182" spans="1:4" x14ac:dyDescent="0.35">
      <c r="A182" s="178"/>
      <c r="B182" s="178"/>
      <c r="C182" s="180"/>
      <c r="D182" s="178"/>
    </row>
    <row r="183" spans="1:4" x14ac:dyDescent="0.35">
      <c r="A183" s="178"/>
      <c r="B183" s="178"/>
      <c r="C183" s="180"/>
      <c r="D183" s="178"/>
    </row>
    <row r="184" spans="1:4" x14ac:dyDescent="0.35">
      <c r="A184" s="178"/>
      <c r="B184" s="178"/>
      <c r="C184" s="180"/>
      <c r="D184" s="178"/>
    </row>
    <row r="185" spans="1:4" x14ac:dyDescent="0.35">
      <c r="A185" s="178"/>
      <c r="B185" s="178"/>
      <c r="C185" s="180"/>
      <c r="D185" s="178"/>
    </row>
    <row r="186" spans="1:4" x14ac:dyDescent="0.35">
      <c r="A186" s="178"/>
      <c r="B186" s="178"/>
      <c r="C186" s="180"/>
      <c r="D186" s="178"/>
    </row>
    <row r="187" spans="1:4" x14ac:dyDescent="0.35">
      <c r="A187" s="178"/>
      <c r="B187" s="178"/>
      <c r="C187" s="180"/>
      <c r="D187" s="178"/>
    </row>
    <row r="188" spans="1:4" x14ac:dyDescent="0.35">
      <c r="A188" s="178"/>
      <c r="B188" s="178"/>
      <c r="C188" s="180"/>
      <c r="D188" s="178"/>
    </row>
    <row r="189" spans="1:4" x14ac:dyDescent="0.35">
      <c r="A189" s="178"/>
      <c r="B189" s="178"/>
      <c r="C189" s="180"/>
      <c r="D189" s="178"/>
    </row>
    <row r="190" spans="1:4" x14ac:dyDescent="0.35">
      <c r="A190" s="178"/>
      <c r="B190" s="178"/>
      <c r="C190" s="180"/>
      <c r="D190" s="178"/>
    </row>
    <row r="191" spans="1:4" x14ac:dyDescent="0.35">
      <c r="A191" s="178"/>
      <c r="B191" s="178"/>
      <c r="C191" s="180"/>
      <c r="D191" s="178"/>
    </row>
    <row r="192" spans="1:4" x14ac:dyDescent="0.35">
      <c r="A192" s="178"/>
      <c r="B192" s="178"/>
      <c r="C192" s="180"/>
      <c r="D192" s="178"/>
    </row>
    <row r="193" spans="1:4" x14ac:dyDescent="0.35">
      <c r="A193" s="178"/>
      <c r="B193" s="178"/>
      <c r="C193" s="180"/>
      <c r="D193" s="178"/>
    </row>
    <row r="194" spans="1:4" x14ac:dyDescent="0.35">
      <c r="A194" s="178"/>
      <c r="B194" s="178"/>
      <c r="C194" s="180"/>
      <c r="D194" s="178"/>
    </row>
    <row r="195" spans="1:4" x14ac:dyDescent="0.35">
      <c r="A195" s="178"/>
      <c r="B195" s="178"/>
      <c r="C195" s="180"/>
      <c r="D195" s="178"/>
    </row>
    <row r="196" spans="1:4" x14ac:dyDescent="0.35">
      <c r="A196" s="178"/>
      <c r="B196" s="178"/>
      <c r="C196" s="180"/>
      <c r="D196" s="178"/>
    </row>
    <row r="197" spans="1:4" x14ac:dyDescent="0.35">
      <c r="A197" s="178"/>
      <c r="B197" s="178"/>
      <c r="C197" s="180"/>
      <c r="D197" s="178"/>
    </row>
    <row r="198" spans="1:4" x14ac:dyDescent="0.35">
      <c r="A198" s="178"/>
      <c r="B198" s="178"/>
      <c r="C198" s="180"/>
      <c r="D198" s="178"/>
    </row>
    <row r="199" spans="1:4" x14ac:dyDescent="0.35">
      <c r="A199" s="178"/>
      <c r="B199" s="178"/>
      <c r="C199" s="180"/>
      <c r="D199" s="178"/>
    </row>
    <row r="200" spans="1:4" x14ac:dyDescent="0.35">
      <c r="A200" s="178"/>
      <c r="B200" s="178"/>
      <c r="C200" s="180"/>
      <c r="D200" s="178"/>
    </row>
    <row r="201" spans="1:4" x14ac:dyDescent="0.35">
      <c r="A201" s="178"/>
      <c r="B201" s="178"/>
      <c r="C201" s="180"/>
      <c r="D201" s="178"/>
    </row>
    <row r="202" spans="1:4" x14ac:dyDescent="0.35">
      <c r="A202" s="178"/>
      <c r="B202" s="178"/>
      <c r="C202" s="180"/>
      <c r="D202" s="178"/>
    </row>
    <row r="203" spans="1:4" x14ac:dyDescent="0.35">
      <c r="A203" s="178"/>
      <c r="B203" s="178"/>
      <c r="C203" s="180"/>
      <c r="D203" s="178"/>
    </row>
    <row r="204" spans="1:4" x14ac:dyDescent="0.35">
      <c r="A204" s="178"/>
      <c r="B204" s="178"/>
      <c r="C204" s="180"/>
      <c r="D204" s="178"/>
    </row>
    <row r="205" spans="1:4" x14ac:dyDescent="0.35">
      <c r="A205" s="178"/>
      <c r="B205" s="178"/>
      <c r="C205" s="180"/>
      <c r="D205" s="178"/>
    </row>
    <row r="206" spans="1:4" x14ac:dyDescent="0.35">
      <c r="A206" s="178"/>
      <c r="B206" s="178"/>
      <c r="C206" s="180"/>
      <c r="D206" s="178"/>
    </row>
    <row r="207" spans="1:4" x14ac:dyDescent="0.35">
      <c r="A207" s="178"/>
      <c r="B207" s="178"/>
      <c r="C207" s="180"/>
      <c r="D207" s="178"/>
    </row>
    <row r="208" spans="1:4" x14ac:dyDescent="0.35">
      <c r="A208" s="178"/>
      <c r="B208" s="178"/>
      <c r="C208" s="180"/>
      <c r="D208" s="178"/>
    </row>
    <row r="209" spans="1:4" x14ac:dyDescent="0.35">
      <c r="A209" s="178"/>
      <c r="B209" s="178"/>
      <c r="C209" s="180"/>
      <c r="D209" s="178"/>
    </row>
    <row r="210" spans="1:4" x14ac:dyDescent="0.35">
      <c r="A210" s="178"/>
      <c r="B210" s="178"/>
      <c r="C210" s="180"/>
      <c r="D210" s="178"/>
    </row>
    <row r="211" spans="1:4" x14ac:dyDescent="0.35">
      <c r="A211" s="178"/>
      <c r="B211" s="178"/>
      <c r="C211" s="180"/>
      <c r="D211" s="178"/>
    </row>
    <row r="212" spans="1:4" x14ac:dyDescent="0.35">
      <c r="A212" s="178"/>
      <c r="B212" s="178"/>
      <c r="C212" s="180"/>
      <c r="D212" s="178"/>
    </row>
    <row r="213" spans="1:4" x14ac:dyDescent="0.35">
      <c r="A213" s="178"/>
      <c r="B213" s="178"/>
      <c r="C213" s="180"/>
      <c r="D213" s="178"/>
    </row>
    <row r="214" spans="1:4" x14ac:dyDescent="0.35">
      <c r="A214" s="178"/>
      <c r="B214" s="178"/>
      <c r="C214" s="180"/>
      <c r="D214" s="178"/>
    </row>
    <row r="215" spans="1:4" x14ac:dyDescent="0.35">
      <c r="A215" s="178"/>
      <c r="B215" s="178"/>
      <c r="C215" s="180"/>
      <c r="D215" s="178"/>
    </row>
    <row r="216" spans="1:4" x14ac:dyDescent="0.35">
      <c r="A216" s="178"/>
      <c r="B216" s="178"/>
      <c r="C216" s="180"/>
      <c r="D216" s="178"/>
    </row>
    <row r="217" spans="1:4" x14ac:dyDescent="0.35">
      <c r="A217" s="178"/>
      <c r="B217" s="178"/>
      <c r="C217" s="180"/>
      <c r="D217" s="178"/>
    </row>
    <row r="218" spans="1:4" x14ac:dyDescent="0.35">
      <c r="A218" s="178"/>
      <c r="B218" s="178"/>
      <c r="C218" s="180"/>
      <c r="D218" s="178"/>
    </row>
    <row r="219" spans="1:4" x14ac:dyDescent="0.35">
      <c r="A219" s="178"/>
      <c r="B219" s="178"/>
      <c r="C219" s="180"/>
      <c r="D219" s="178"/>
    </row>
    <row r="220" spans="1:4" x14ac:dyDescent="0.35">
      <c r="A220" s="178"/>
      <c r="B220" s="178"/>
      <c r="C220" s="180"/>
      <c r="D220" s="178"/>
    </row>
    <row r="221" spans="1:4" x14ac:dyDescent="0.35">
      <c r="A221" s="178"/>
      <c r="B221" s="178"/>
      <c r="C221" s="180"/>
      <c r="D221" s="178"/>
    </row>
    <row r="222" spans="1:4" x14ac:dyDescent="0.35">
      <c r="A222" s="178"/>
      <c r="B222" s="178"/>
      <c r="C222" s="180"/>
      <c r="D222" s="178"/>
    </row>
    <row r="223" spans="1:4" x14ac:dyDescent="0.35">
      <c r="A223" s="178"/>
      <c r="B223" s="178"/>
      <c r="C223" s="180"/>
      <c r="D223" s="178"/>
    </row>
    <row r="224" spans="1:4" x14ac:dyDescent="0.35">
      <c r="A224" s="178"/>
      <c r="B224" s="178"/>
      <c r="C224" s="180"/>
      <c r="D224" s="178"/>
    </row>
    <row r="225" spans="1:4" x14ac:dyDescent="0.35">
      <c r="A225" s="178"/>
      <c r="B225" s="178"/>
      <c r="C225" s="180"/>
      <c r="D225" s="178"/>
    </row>
    <row r="226" spans="1:4" x14ac:dyDescent="0.35">
      <c r="A226" s="178"/>
      <c r="B226" s="178"/>
      <c r="C226" s="180"/>
      <c r="D226" s="178"/>
    </row>
    <row r="227" spans="1:4" x14ac:dyDescent="0.35">
      <c r="A227" s="178"/>
      <c r="B227" s="178"/>
      <c r="C227" s="180"/>
      <c r="D227" s="178"/>
    </row>
    <row r="228" spans="1:4" x14ac:dyDescent="0.35">
      <c r="A228" s="178"/>
      <c r="B228" s="178"/>
      <c r="C228" s="180"/>
      <c r="D228" s="178"/>
    </row>
    <row r="229" spans="1:4" x14ac:dyDescent="0.35">
      <c r="A229" s="178"/>
      <c r="B229" s="178"/>
      <c r="C229" s="180"/>
      <c r="D229" s="178"/>
    </row>
    <row r="230" spans="1:4" x14ac:dyDescent="0.35">
      <c r="A230" s="178"/>
      <c r="B230" s="178"/>
      <c r="C230" s="180"/>
      <c r="D230" s="178"/>
    </row>
    <row r="231" spans="1:4" x14ac:dyDescent="0.35">
      <c r="A231" s="178"/>
      <c r="B231" s="178"/>
      <c r="C231" s="180"/>
      <c r="D231" s="178"/>
    </row>
    <row r="232" spans="1:4" x14ac:dyDescent="0.35">
      <c r="A232" s="178"/>
      <c r="B232" s="178"/>
      <c r="C232" s="180"/>
      <c r="D232" s="178"/>
    </row>
    <row r="233" spans="1:4" x14ac:dyDescent="0.35">
      <c r="A233" s="178"/>
      <c r="B233" s="178"/>
      <c r="C233" s="180"/>
      <c r="D233" s="178"/>
    </row>
    <row r="234" spans="1:4" x14ac:dyDescent="0.35">
      <c r="A234" s="178"/>
      <c r="B234" s="178"/>
      <c r="C234" s="180"/>
      <c r="D234" s="178"/>
    </row>
    <row r="235" spans="1:4" x14ac:dyDescent="0.35">
      <c r="A235" s="178"/>
      <c r="B235" s="178"/>
      <c r="C235" s="180"/>
      <c r="D235" s="178"/>
    </row>
    <row r="236" spans="1:4" x14ac:dyDescent="0.35">
      <c r="A236" s="178"/>
      <c r="B236" s="178"/>
      <c r="C236" s="180"/>
      <c r="D236" s="178"/>
    </row>
    <row r="237" spans="1:4" x14ac:dyDescent="0.35">
      <c r="A237" s="178"/>
      <c r="B237" s="178"/>
      <c r="C237" s="180"/>
      <c r="D237" s="178"/>
    </row>
    <row r="238" spans="1:4" x14ac:dyDescent="0.35">
      <c r="A238" s="178"/>
      <c r="B238" s="178"/>
      <c r="C238" s="180"/>
      <c r="D238" s="178"/>
    </row>
    <row r="239" spans="1:4" x14ac:dyDescent="0.35">
      <c r="A239" s="178"/>
      <c r="B239" s="178"/>
      <c r="C239" s="180"/>
      <c r="D239" s="178"/>
    </row>
    <row r="240" spans="1:4" x14ac:dyDescent="0.35">
      <c r="A240" s="178"/>
      <c r="B240" s="178"/>
      <c r="C240" s="180"/>
      <c r="D240" s="178"/>
    </row>
    <row r="241" spans="1:4" x14ac:dyDescent="0.35">
      <c r="A241" s="178"/>
      <c r="B241" s="178"/>
      <c r="C241" s="180"/>
      <c r="D241" s="178"/>
    </row>
    <row r="242" spans="1:4" x14ac:dyDescent="0.35">
      <c r="A242" s="178"/>
      <c r="B242" s="178"/>
      <c r="C242" s="180"/>
      <c r="D242" s="178"/>
    </row>
    <row r="243" spans="1:4" x14ac:dyDescent="0.35">
      <c r="A243" s="178"/>
      <c r="B243" s="178"/>
      <c r="C243" s="180"/>
      <c r="D243" s="178"/>
    </row>
    <row r="244" spans="1:4" x14ac:dyDescent="0.35">
      <c r="A244" s="178"/>
      <c r="B244" s="178"/>
      <c r="C244" s="180"/>
      <c r="D244" s="178"/>
    </row>
    <row r="245" spans="1:4" x14ac:dyDescent="0.35">
      <c r="A245" s="178"/>
      <c r="B245" s="178"/>
      <c r="C245" s="180"/>
      <c r="D245" s="178"/>
    </row>
    <row r="246" spans="1:4" x14ac:dyDescent="0.35">
      <c r="A246" s="178"/>
      <c r="B246" s="178"/>
      <c r="C246" s="180"/>
      <c r="D246" s="178"/>
    </row>
    <row r="247" spans="1:4" x14ac:dyDescent="0.35">
      <c r="A247" s="178"/>
      <c r="B247" s="178"/>
      <c r="C247" s="180"/>
      <c r="D247" s="178"/>
    </row>
    <row r="248" spans="1:4" x14ac:dyDescent="0.35">
      <c r="A248" s="178"/>
      <c r="B248" s="178"/>
      <c r="C248" s="180"/>
      <c r="D248" s="178"/>
    </row>
    <row r="249" spans="1:4" x14ac:dyDescent="0.35">
      <c r="A249" s="178"/>
      <c r="B249" s="178"/>
      <c r="C249" s="180"/>
      <c r="D249" s="178"/>
    </row>
    <row r="250" spans="1:4" x14ac:dyDescent="0.35">
      <c r="A250" s="178"/>
      <c r="B250" s="178"/>
      <c r="C250" s="180"/>
      <c r="D250" s="178"/>
    </row>
    <row r="251" spans="1:4" x14ac:dyDescent="0.35">
      <c r="A251" s="178"/>
      <c r="B251" s="178"/>
      <c r="C251" s="180"/>
      <c r="D251" s="178"/>
    </row>
    <row r="252" spans="1:4" x14ac:dyDescent="0.35">
      <c r="A252" s="178"/>
      <c r="B252" s="178"/>
      <c r="C252" s="180"/>
      <c r="D252" s="178"/>
    </row>
    <row r="253" spans="1:4" x14ac:dyDescent="0.35">
      <c r="A253" s="178"/>
      <c r="B253" s="178"/>
      <c r="C253" s="180"/>
      <c r="D253" s="178"/>
    </row>
    <row r="254" spans="1:4" x14ac:dyDescent="0.35">
      <c r="A254" s="178"/>
      <c r="B254" s="178"/>
      <c r="C254" s="180"/>
      <c r="D254" s="178"/>
    </row>
    <row r="255" spans="1:4" x14ac:dyDescent="0.35">
      <c r="A255" s="178"/>
      <c r="B255" s="178"/>
      <c r="C255" s="180"/>
      <c r="D255" s="178"/>
    </row>
    <row r="256" spans="1:4" x14ac:dyDescent="0.35">
      <c r="A256" s="178"/>
      <c r="B256" s="178"/>
      <c r="C256" s="180"/>
      <c r="D256" s="178"/>
    </row>
    <row r="257" spans="1:4" x14ac:dyDescent="0.35">
      <c r="A257" s="178"/>
      <c r="B257" s="178"/>
      <c r="C257" s="180"/>
      <c r="D257" s="178"/>
    </row>
    <row r="258" spans="1:4" x14ac:dyDescent="0.35">
      <c r="A258" s="178"/>
      <c r="B258" s="178"/>
      <c r="C258" s="180"/>
      <c r="D258" s="178"/>
    </row>
    <row r="259" spans="1:4" x14ac:dyDescent="0.35">
      <c r="A259" s="178"/>
      <c r="B259" s="178"/>
      <c r="C259" s="180"/>
      <c r="D259" s="178"/>
    </row>
    <row r="260" spans="1:4" x14ac:dyDescent="0.35">
      <c r="A260" s="178"/>
      <c r="B260" s="178"/>
      <c r="C260" s="180"/>
      <c r="D260" s="178"/>
    </row>
    <row r="261" spans="1:4" x14ac:dyDescent="0.35">
      <c r="A261" s="178"/>
      <c r="B261" s="178"/>
      <c r="C261" s="180"/>
      <c r="D261" s="178"/>
    </row>
    <row r="262" spans="1:4" x14ac:dyDescent="0.35">
      <c r="A262" s="178"/>
      <c r="B262" s="178"/>
      <c r="C262" s="180"/>
      <c r="D262" s="178"/>
    </row>
    <row r="263" spans="1:4" x14ac:dyDescent="0.35">
      <c r="A263" s="178"/>
      <c r="B263" s="178"/>
      <c r="C263" s="180"/>
      <c r="D263" s="178"/>
    </row>
    <row r="264" spans="1:4" x14ac:dyDescent="0.35">
      <c r="A264" s="178"/>
      <c r="B264" s="178"/>
      <c r="C264" s="180"/>
      <c r="D264" s="178"/>
    </row>
    <row r="265" spans="1:4" x14ac:dyDescent="0.35">
      <c r="A265" s="178"/>
      <c r="B265" s="178"/>
      <c r="C265" s="180"/>
      <c r="D265" s="178"/>
    </row>
    <row r="266" spans="1:4" x14ac:dyDescent="0.35">
      <c r="A266" s="178"/>
      <c r="B266" s="178"/>
      <c r="C266" s="180"/>
      <c r="D266" s="178"/>
    </row>
    <row r="267" spans="1:4" x14ac:dyDescent="0.35">
      <c r="A267" s="178"/>
      <c r="B267" s="178"/>
      <c r="C267" s="180"/>
      <c r="D267" s="178"/>
    </row>
    <row r="268" spans="1:4" x14ac:dyDescent="0.35">
      <c r="A268" s="178"/>
      <c r="B268" s="178"/>
      <c r="C268" s="180"/>
      <c r="D268" s="178"/>
    </row>
    <row r="269" spans="1:4" x14ac:dyDescent="0.35">
      <c r="A269" s="178"/>
      <c r="B269" s="178"/>
      <c r="C269" s="180"/>
      <c r="D269" s="178"/>
    </row>
    <row r="270" spans="1:4" x14ac:dyDescent="0.35">
      <c r="A270" s="178"/>
      <c r="B270" s="178"/>
      <c r="C270" s="180"/>
      <c r="D270" s="178"/>
    </row>
    <row r="271" spans="1:4" x14ac:dyDescent="0.35">
      <c r="A271" s="178"/>
      <c r="B271" s="178"/>
      <c r="C271" s="180"/>
      <c r="D271" s="178"/>
    </row>
    <row r="272" spans="1:4" x14ac:dyDescent="0.35">
      <c r="A272" s="178"/>
      <c r="B272" s="178"/>
      <c r="C272" s="180"/>
      <c r="D272" s="178"/>
    </row>
    <row r="273" spans="1:4" x14ac:dyDescent="0.35">
      <c r="A273" s="178"/>
      <c r="B273" s="178"/>
      <c r="C273" s="180"/>
      <c r="D273" s="178"/>
    </row>
    <row r="274" spans="1:4" x14ac:dyDescent="0.35">
      <c r="A274" s="178"/>
      <c r="B274" s="178"/>
      <c r="C274" s="180"/>
      <c r="D274" s="178"/>
    </row>
    <row r="275" spans="1:4" x14ac:dyDescent="0.35">
      <c r="A275" s="178"/>
      <c r="B275" s="178"/>
      <c r="C275" s="180"/>
      <c r="D275" s="178"/>
    </row>
    <row r="276" spans="1:4" x14ac:dyDescent="0.35">
      <c r="A276" s="178"/>
      <c r="B276" s="178"/>
      <c r="C276" s="180"/>
      <c r="D276" s="178"/>
    </row>
    <row r="277" spans="1:4" x14ac:dyDescent="0.35">
      <c r="A277" s="178"/>
      <c r="B277" s="178"/>
      <c r="C277" s="180"/>
      <c r="D277" s="178"/>
    </row>
    <row r="278" spans="1:4" x14ac:dyDescent="0.35">
      <c r="A278" s="178"/>
      <c r="B278" s="178"/>
      <c r="C278" s="180"/>
      <c r="D278" s="178"/>
    </row>
    <row r="279" spans="1:4" x14ac:dyDescent="0.35">
      <c r="A279" s="178"/>
      <c r="B279" s="178"/>
      <c r="C279" s="180"/>
      <c r="D279" s="178"/>
    </row>
    <row r="280" spans="1:4" x14ac:dyDescent="0.35">
      <c r="A280" s="178"/>
      <c r="B280" s="178"/>
      <c r="C280" s="180"/>
      <c r="D280" s="178"/>
    </row>
    <row r="281" spans="1:4" x14ac:dyDescent="0.35">
      <c r="A281" s="178"/>
      <c r="B281" s="178"/>
      <c r="C281" s="180"/>
      <c r="D281" s="178"/>
    </row>
    <row r="282" spans="1:4" x14ac:dyDescent="0.35">
      <c r="A282" s="178"/>
      <c r="B282" s="178"/>
      <c r="C282" s="180"/>
      <c r="D282" s="178"/>
    </row>
    <row r="283" spans="1:4" x14ac:dyDescent="0.35">
      <c r="A283" s="178"/>
      <c r="B283" s="178"/>
      <c r="C283" s="180"/>
      <c r="D283" s="178"/>
    </row>
    <row r="284" spans="1:4" x14ac:dyDescent="0.35">
      <c r="A284" s="178"/>
      <c r="B284" s="178"/>
      <c r="C284" s="180"/>
      <c r="D284" s="178"/>
    </row>
    <row r="285" spans="1:4" x14ac:dyDescent="0.35">
      <c r="A285" s="178"/>
      <c r="B285" s="178"/>
      <c r="C285" s="180"/>
      <c r="D285" s="178"/>
    </row>
    <row r="286" spans="1:4" x14ac:dyDescent="0.35">
      <c r="A286" s="178"/>
      <c r="B286" s="178"/>
      <c r="C286" s="180"/>
      <c r="D286" s="178"/>
    </row>
    <row r="287" spans="1:4" x14ac:dyDescent="0.35">
      <c r="A287" s="178"/>
      <c r="B287" s="178"/>
      <c r="C287" s="180"/>
      <c r="D287" s="178"/>
    </row>
    <row r="288" spans="1:4" x14ac:dyDescent="0.35">
      <c r="A288" s="178"/>
      <c r="B288" s="178"/>
      <c r="C288" s="180"/>
      <c r="D288" s="178"/>
    </row>
    <row r="289" spans="1:4" x14ac:dyDescent="0.35">
      <c r="A289" s="178"/>
      <c r="B289" s="178"/>
      <c r="C289" s="180"/>
      <c r="D289" s="178"/>
    </row>
    <row r="290" spans="1:4" x14ac:dyDescent="0.35">
      <c r="A290" s="178"/>
      <c r="B290" s="178"/>
      <c r="C290" s="180"/>
      <c r="D290" s="178"/>
    </row>
    <row r="291" spans="1:4" x14ac:dyDescent="0.35">
      <c r="A291" s="178"/>
      <c r="B291" s="178"/>
      <c r="C291" s="180"/>
      <c r="D291" s="178"/>
    </row>
    <row r="292" spans="1:4" x14ac:dyDescent="0.35">
      <c r="A292" s="178"/>
      <c r="B292" s="178"/>
      <c r="C292" s="180"/>
      <c r="D292" s="178"/>
    </row>
    <row r="293" spans="1:4" x14ac:dyDescent="0.35">
      <c r="A293" s="178"/>
      <c r="B293" s="178"/>
      <c r="C293" s="180"/>
      <c r="D293" s="178"/>
    </row>
    <row r="294" spans="1:4" x14ac:dyDescent="0.35">
      <c r="A294" s="178"/>
      <c r="B294" s="178"/>
      <c r="C294" s="180"/>
      <c r="D294" s="178"/>
    </row>
    <row r="295" spans="1:4" x14ac:dyDescent="0.35">
      <c r="A295" s="178"/>
      <c r="B295" s="178"/>
      <c r="C295" s="180"/>
      <c r="D295" s="178"/>
    </row>
    <row r="296" spans="1:4" x14ac:dyDescent="0.35">
      <c r="A296" s="178"/>
      <c r="B296" s="178"/>
      <c r="C296" s="180"/>
      <c r="D296" s="178"/>
    </row>
    <row r="297" spans="1:4" x14ac:dyDescent="0.35">
      <c r="A297" s="178"/>
      <c r="B297" s="178"/>
      <c r="C297" s="180"/>
      <c r="D297" s="178"/>
    </row>
    <row r="298" spans="1:4" x14ac:dyDescent="0.35">
      <c r="A298" s="178"/>
      <c r="B298" s="178"/>
      <c r="C298" s="180"/>
      <c r="D298" s="178"/>
    </row>
    <row r="299" spans="1:4" x14ac:dyDescent="0.35">
      <c r="A299" s="178"/>
      <c r="B299" s="178"/>
      <c r="C299" s="180"/>
      <c r="D299" s="178"/>
    </row>
    <row r="300" spans="1:4" x14ac:dyDescent="0.35">
      <c r="A300" s="178"/>
      <c r="B300" s="178"/>
      <c r="C300" s="180"/>
      <c r="D300" s="178"/>
    </row>
    <row r="301" spans="1:4" x14ac:dyDescent="0.35">
      <c r="A301" s="178"/>
      <c r="B301" s="178"/>
      <c r="C301" s="180"/>
      <c r="D301" s="178"/>
    </row>
    <row r="302" spans="1:4" x14ac:dyDescent="0.35">
      <c r="A302" s="178"/>
      <c r="B302" s="178"/>
      <c r="C302" s="180"/>
      <c r="D302" s="178"/>
    </row>
    <row r="303" spans="1:4" x14ac:dyDescent="0.35">
      <c r="A303" s="178"/>
      <c r="B303" s="178"/>
      <c r="C303" s="180"/>
      <c r="D303" s="178"/>
    </row>
    <row r="304" spans="1:4" x14ac:dyDescent="0.35">
      <c r="A304" s="178"/>
      <c r="B304" s="178"/>
      <c r="C304" s="180"/>
      <c r="D304" s="178"/>
    </row>
    <row r="305" spans="1:4" x14ac:dyDescent="0.35">
      <c r="A305" s="178"/>
      <c r="B305" s="178"/>
      <c r="C305" s="180"/>
      <c r="D305" s="178"/>
    </row>
    <row r="306" spans="1:4" x14ac:dyDescent="0.35">
      <c r="A306" s="178"/>
      <c r="B306" s="178"/>
      <c r="C306" s="180"/>
      <c r="D306" s="178"/>
    </row>
    <row r="307" spans="1:4" x14ac:dyDescent="0.35">
      <c r="A307" s="178"/>
      <c r="B307" s="178"/>
      <c r="C307" s="180"/>
      <c r="D307" s="178"/>
    </row>
    <row r="308" spans="1:4" x14ac:dyDescent="0.35">
      <c r="A308" s="178"/>
      <c r="B308" s="178"/>
      <c r="C308" s="180"/>
      <c r="D308" s="178"/>
    </row>
    <row r="309" spans="1:4" x14ac:dyDescent="0.35">
      <c r="A309" s="178"/>
      <c r="B309" s="178"/>
      <c r="C309" s="180"/>
      <c r="D309" s="178"/>
    </row>
    <row r="310" spans="1:4" x14ac:dyDescent="0.35">
      <c r="A310" s="178"/>
      <c r="B310" s="178"/>
      <c r="C310" s="180"/>
      <c r="D310" s="178"/>
    </row>
    <row r="311" spans="1:4" x14ac:dyDescent="0.35">
      <c r="A311" s="178"/>
      <c r="B311" s="178"/>
      <c r="C311" s="180"/>
      <c r="D311" s="178"/>
    </row>
    <row r="312" spans="1:4" x14ac:dyDescent="0.35">
      <c r="A312" s="178"/>
      <c r="B312" s="178"/>
      <c r="C312" s="180"/>
      <c r="D312" s="178"/>
    </row>
    <row r="313" spans="1:4" x14ac:dyDescent="0.35">
      <c r="A313" s="178"/>
      <c r="B313" s="178"/>
      <c r="C313" s="180"/>
      <c r="D313" s="178"/>
    </row>
    <row r="314" spans="1:4" x14ac:dyDescent="0.35">
      <c r="A314" s="178"/>
      <c r="B314" s="178"/>
      <c r="C314" s="180"/>
      <c r="D314" s="178"/>
    </row>
    <row r="315" spans="1:4" x14ac:dyDescent="0.35">
      <c r="A315" s="178"/>
      <c r="B315" s="178"/>
      <c r="C315" s="180"/>
      <c r="D315" s="178"/>
    </row>
    <row r="316" spans="1:4" x14ac:dyDescent="0.35">
      <c r="A316" s="178"/>
      <c r="B316" s="178"/>
      <c r="C316" s="180"/>
      <c r="D316" s="178"/>
    </row>
    <row r="317" spans="1:4" x14ac:dyDescent="0.35">
      <c r="A317" s="178"/>
      <c r="B317" s="178"/>
      <c r="C317" s="180"/>
      <c r="D317" s="178"/>
    </row>
    <row r="318" spans="1:4" x14ac:dyDescent="0.35">
      <c r="A318" s="178"/>
      <c r="B318" s="178"/>
      <c r="C318" s="180"/>
      <c r="D318" s="178"/>
    </row>
    <row r="319" spans="1:4" x14ac:dyDescent="0.35">
      <c r="A319" s="178"/>
      <c r="B319" s="178"/>
      <c r="C319" s="180"/>
      <c r="D319" s="178"/>
    </row>
    <row r="320" spans="1:4" x14ac:dyDescent="0.35">
      <c r="A320" s="178"/>
      <c r="B320" s="178"/>
      <c r="C320" s="180"/>
      <c r="D320" s="178"/>
    </row>
    <row r="321" spans="1:4" x14ac:dyDescent="0.35">
      <c r="A321" s="178"/>
      <c r="B321" s="178"/>
      <c r="C321" s="180"/>
      <c r="D321" s="178"/>
    </row>
    <row r="322" spans="1:4" x14ac:dyDescent="0.35">
      <c r="A322" s="178"/>
      <c r="B322" s="178"/>
      <c r="C322" s="180"/>
      <c r="D322" s="178"/>
    </row>
    <row r="323" spans="1:4" x14ac:dyDescent="0.35">
      <c r="A323" s="178"/>
      <c r="B323" s="178"/>
      <c r="C323" s="180"/>
      <c r="D323" s="178"/>
    </row>
    <row r="324" spans="1:4" x14ac:dyDescent="0.35">
      <c r="A324" s="178"/>
      <c r="B324" s="178"/>
      <c r="C324" s="180"/>
      <c r="D324" s="178"/>
    </row>
    <row r="325" spans="1:4" x14ac:dyDescent="0.35">
      <c r="A325" s="178"/>
      <c r="B325" s="178"/>
      <c r="C325" s="180"/>
      <c r="D325" s="178"/>
    </row>
    <row r="326" spans="1:4" x14ac:dyDescent="0.35">
      <c r="A326" s="178"/>
      <c r="B326" s="178"/>
      <c r="C326" s="180"/>
      <c r="D326" s="178"/>
    </row>
    <row r="327" spans="1:4" x14ac:dyDescent="0.35">
      <c r="A327" s="178"/>
      <c r="B327" s="178"/>
      <c r="C327" s="180"/>
      <c r="D327" s="178"/>
    </row>
    <row r="328" spans="1:4" x14ac:dyDescent="0.35">
      <c r="A328" s="178"/>
      <c r="B328" s="178"/>
      <c r="C328" s="180"/>
      <c r="D328" s="178"/>
    </row>
    <row r="329" spans="1:4" x14ac:dyDescent="0.35">
      <c r="A329" s="178"/>
      <c r="B329" s="178"/>
      <c r="C329" s="180"/>
      <c r="D329" s="178"/>
    </row>
    <row r="330" spans="1:4" x14ac:dyDescent="0.35">
      <c r="A330" s="178"/>
      <c r="B330" s="178"/>
      <c r="C330" s="180"/>
      <c r="D330" s="178"/>
    </row>
    <row r="331" spans="1:4" x14ac:dyDescent="0.35">
      <c r="A331" s="178"/>
      <c r="B331" s="178"/>
      <c r="C331" s="180"/>
      <c r="D331" s="178"/>
    </row>
    <row r="332" spans="1:4" x14ac:dyDescent="0.35">
      <c r="A332" s="178"/>
      <c r="B332" s="178"/>
      <c r="C332" s="180"/>
      <c r="D332" s="178"/>
    </row>
    <row r="333" spans="1:4" x14ac:dyDescent="0.35">
      <c r="A333" s="178"/>
      <c r="B333" s="178"/>
      <c r="C333" s="180"/>
      <c r="D333" s="178"/>
    </row>
    <row r="334" spans="1:4" x14ac:dyDescent="0.35">
      <c r="A334" s="178"/>
      <c r="B334" s="178"/>
      <c r="C334" s="180"/>
      <c r="D334" s="178"/>
    </row>
    <row r="335" spans="1:4" x14ac:dyDescent="0.35">
      <c r="A335" s="178"/>
      <c r="B335" s="178"/>
      <c r="C335" s="180"/>
      <c r="D335" s="178"/>
    </row>
    <row r="336" spans="1:4" x14ac:dyDescent="0.35">
      <c r="A336" s="178"/>
      <c r="B336" s="178"/>
      <c r="C336" s="180"/>
      <c r="D336" s="178"/>
    </row>
    <row r="337" spans="1:4" x14ac:dyDescent="0.35">
      <c r="A337" s="178"/>
      <c r="B337" s="178"/>
      <c r="C337" s="180"/>
      <c r="D337" s="178"/>
    </row>
    <row r="338" spans="1:4" x14ac:dyDescent="0.35">
      <c r="A338" s="178"/>
      <c r="B338" s="178"/>
      <c r="C338" s="180"/>
      <c r="D338" s="178"/>
    </row>
    <row r="339" spans="1:4" x14ac:dyDescent="0.35">
      <c r="A339" s="178"/>
      <c r="B339" s="178"/>
      <c r="C339" s="180"/>
      <c r="D339" s="178"/>
    </row>
    <row r="340" spans="1:4" x14ac:dyDescent="0.35">
      <c r="A340" s="178"/>
      <c r="B340" s="178"/>
      <c r="C340" s="180"/>
      <c r="D340" s="178"/>
    </row>
    <row r="341" spans="1:4" x14ac:dyDescent="0.35">
      <c r="A341" s="178"/>
      <c r="B341" s="178"/>
      <c r="C341" s="180"/>
      <c r="D341" s="178"/>
    </row>
    <row r="342" spans="1:4" x14ac:dyDescent="0.35">
      <c r="A342" s="178"/>
      <c r="B342" s="178"/>
      <c r="C342" s="180"/>
      <c r="D342" s="178"/>
    </row>
    <row r="343" spans="1:4" x14ac:dyDescent="0.35">
      <c r="A343" s="178"/>
      <c r="B343" s="178"/>
      <c r="C343" s="180"/>
      <c r="D343" s="178"/>
    </row>
    <row r="344" spans="1:4" x14ac:dyDescent="0.35">
      <c r="A344" s="178"/>
      <c r="B344" s="178"/>
      <c r="C344" s="180"/>
      <c r="D344" s="178"/>
    </row>
    <row r="345" spans="1:4" x14ac:dyDescent="0.35">
      <c r="A345" s="178"/>
      <c r="B345" s="178"/>
      <c r="C345" s="180"/>
      <c r="D345" s="178"/>
    </row>
    <row r="346" spans="1:4" x14ac:dyDescent="0.35">
      <c r="A346" s="178"/>
      <c r="B346" s="178"/>
      <c r="C346" s="180"/>
      <c r="D346" s="178"/>
    </row>
    <row r="347" spans="1:4" x14ac:dyDescent="0.35">
      <c r="A347" s="178"/>
      <c r="B347" s="178"/>
      <c r="C347" s="180"/>
      <c r="D347" s="178"/>
    </row>
    <row r="348" spans="1:4" x14ac:dyDescent="0.35">
      <c r="A348" s="178"/>
      <c r="B348" s="178"/>
      <c r="C348" s="180"/>
      <c r="D348" s="178"/>
    </row>
    <row r="349" spans="1:4" x14ac:dyDescent="0.35">
      <c r="A349" s="178"/>
      <c r="B349" s="178"/>
      <c r="C349" s="180"/>
      <c r="D349" s="178"/>
    </row>
    <row r="350" spans="1:4" x14ac:dyDescent="0.35">
      <c r="A350" s="178"/>
      <c r="B350" s="178"/>
      <c r="C350" s="180"/>
      <c r="D350" s="178"/>
    </row>
    <row r="351" spans="1:4" x14ac:dyDescent="0.35">
      <c r="A351" s="178"/>
      <c r="B351" s="178"/>
      <c r="C351" s="180"/>
      <c r="D351" s="178"/>
    </row>
    <row r="352" spans="1:4" x14ac:dyDescent="0.35">
      <c r="A352" s="178"/>
      <c r="B352" s="178"/>
      <c r="C352" s="180"/>
      <c r="D352" s="178"/>
    </row>
    <row r="353" spans="1:4" x14ac:dyDescent="0.35">
      <c r="A353" s="178"/>
      <c r="B353" s="178"/>
      <c r="C353" s="180"/>
      <c r="D353" s="178"/>
    </row>
    <row r="354" spans="1:4" x14ac:dyDescent="0.35">
      <c r="A354" s="178"/>
      <c r="B354" s="178"/>
      <c r="C354" s="180"/>
      <c r="D354" s="178"/>
    </row>
    <row r="355" spans="1:4" x14ac:dyDescent="0.35">
      <c r="A355" s="178"/>
      <c r="B355" s="178"/>
      <c r="C355" s="180"/>
      <c r="D355" s="178"/>
    </row>
    <row r="356" spans="1:4" x14ac:dyDescent="0.35">
      <c r="A356" s="178"/>
      <c r="B356" s="178"/>
      <c r="C356" s="180"/>
      <c r="D356" s="178"/>
    </row>
    <row r="357" spans="1:4" x14ac:dyDescent="0.35">
      <c r="A357" s="178"/>
      <c r="B357" s="178"/>
      <c r="C357" s="180"/>
      <c r="D357" s="178"/>
    </row>
    <row r="358" spans="1:4" x14ac:dyDescent="0.35">
      <c r="A358" s="178"/>
      <c r="B358" s="178"/>
      <c r="C358" s="180"/>
      <c r="D358" s="178"/>
    </row>
    <row r="359" spans="1:4" x14ac:dyDescent="0.35">
      <c r="A359" s="178"/>
      <c r="B359" s="178"/>
      <c r="C359" s="180"/>
      <c r="D359" s="178"/>
    </row>
    <row r="360" spans="1:4" x14ac:dyDescent="0.35">
      <c r="A360" s="178"/>
      <c r="B360" s="178"/>
      <c r="C360" s="180"/>
      <c r="D360" s="178"/>
    </row>
    <row r="361" spans="1:4" x14ac:dyDescent="0.35">
      <c r="A361" s="178"/>
      <c r="B361" s="178"/>
      <c r="C361" s="180"/>
      <c r="D361" s="178"/>
    </row>
    <row r="362" spans="1:4" x14ac:dyDescent="0.35">
      <c r="A362" s="178"/>
      <c r="B362" s="178"/>
      <c r="C362" s="180"/>
      <c r="D362" s="178"/>
    </row>
    <row r="363" spans="1:4" x14ac:dyDescent="0.35">
      <c r="A363" s="178"/>
      <c r="B363" s="178"/>
      <c r="C363" s="180"/>
      <c r="D363" s="178"/>
    </row>
    <row r="364" spans="1:4" x14ac:dyDescent="0.35">
      <c r="A364" s="178"/>
      <c r="B364" s="178"/>
      <c r="C364" s="180"/>
      <c r="D364" s="178"/>
    </row>
    <row r="365" spans="1:4" x14ac:dyDescent="0.35">
      <c r="A365" s="178"/>
      <c r="B365" s="178"/>
      <c r="C365" s="180"/>
      <c r="D365" s="178"/>
    </row>
    <row r="366" spans="1:4" x14ac:dyDescent="0.35">
      <c r="A366" s="178"/>
      <c r="B366" s="178"/>
      <c r="C366" s="180"/>
      <c r="D366" s="178"/>
    </row>
    <row r="367" spans="1:4" x14ac:dyDescent="0.35">
      <c r="A367" s="178"/>
      <c r="B367" s="178"/>
      <c r="C367" s="180"/>
      <c r="D367" s="178"/>
    </row>
    <row r="368" spans="1:4" x14ac:dyDescent="0.35">
      <c r="A368" s="178"/>
      <c r="B368" s="178"/>
      <c r="C368" s="180"/>
      <c r="D368" s="178"/>
    </row>
    <row r="369" spans="1:4" x14ac:dyDescent="0.35">
      <c r="A369" s="178"/>
      <c r="B369" s="178"/>
      <c r="C369" s="180"/>
      <c r="D369" s="178"/>
    </row>
    <row r="370" spans="1:4" x14ac:dyDescent="0.35">
      <c r="A370" s="178"/>
      <c r="B370" s="178"/>
      <c r="C370" s="180"/>
      <c r="D370" s="178"/>
    </row>
    <row r="371" spans="1:4" x14ac:dyDescent="0.35">
      <c r="A371" s="178"/>
      <c r="B371" s="178"/>
      <c r="C371" s="180"/>
      <c r="D371" s="178"/>
    </row>
    <row r="372" spans="1:4" x14ac:dyDescent="0.35">
      <c r="A372" s="178"/>
      <c r="B372" s="178"/>
      <c r="C372" s="180"/>
      <c r="D372" s="178"/>
    </row>
    <row r="373" spans="1:4" x14ac:dyDescent="0.35">
      <c r="A373" s="178"/>
      <c r="B373" s="178"/>
      <c r="C373" s="180"/>
      <c r="D373" s="178"/>
    </row>
    <row r="374" spans="1:4" x14ac:dyDescent="0.35">
      <c r="A374" s="178"/>
      <c r="B374" s="178"/>
      <c r="C374" s="180"/>
      <c r="D374" s="178"/>
    </row>
    <row r="375" spans="1:4" x14ac:dyDescent="0.35">
      <c r="A375" s="178"/>
      <c r="B375" s="178"/>
      <c r="C375" s="180"/>
      <c r="D375" s="178"/>
    </row>
    <row r="376" spans="1:4" x14ac:dyDescent="0.35">
      <c r="A376" s="178"/>
      <c r="B376" s="178"/>
      <c r="C376" s="180"/>
      <c r="D376" s="178"/>
    </row>
    <row r="377" spans="1:4" x14ac:dyDescent="0.35">
      <c r="A377" s="178"/>
      <c r="B377" s="178"/>
      <c r="C377" s="180"/>
      <c r="D377" s="178"/>
    </row>
    <row r="378" spans="1:4" x14ac:dyDescent="0.35">
      <c r="A378" s="178"/>
      <c r="B378" s="178"/>
      <c r="C378" s="180"/>
      <c r="D378" s="178"/>
    </row>
    <row r="379" spans="1:4" x14ac:dyDescent="0.35">
      <c r="A379" s="178"/>
      <c r="B379" s="178"/>
      <c r="C379" s="180"/>
      <c r="D379" s="178"/>
    </row>
    <row r="380" spans="1:4" x14ac:dyDescent="0.35">
      <c r="A380" s="178"/>
      <c r="B380" s="178"/>
      <c r="C380" s="180"/>
      <c r="D380" s="178"/>
    </row>
    <row r="381" spans="1:4" x14ac:dyDescent="0.35">
      <c r="A381" s="178"/>
      <c r="B381" s="178"/>
      <c r="C381" s="180"/>
      <c r="D381" s="178"/>
    </row>
    <row r="382" spans="1:4" x14ac:dyDescent="0.35">
      <c r="A382" s="178"/>
      <c r="B382" s="178"/>
      <c r="C382" s="180"/>
      <c r="D382" s="178"/>
    </row>
    <row r="383" spans="1:4" x14ac:dyDescent="0.35">
      <c r="A383" s="178"/>
      <c r="B383" s="178"/>
      <c r="C383" s="180"/>
      <c r="D383" s="178"/>
    </row>
    <row r="384" spans="1:4" x14ac:dyDescent="0.35">
      <c r="A384" s="178"/>
      <c r="B384" s="178"/>
      <c r="C384" s="180"/>
      <c r="D384" s="178"/>
    </row>
    <row r="385" spans="1:4" x14ac:dyDescent="0.35">
      <c r="A385" s="178"/>
      <c r="B385" s="178"/>
      <c r="C385" s="180"/>
      <c r="D385" s="178"/>
    </row>
    <row r="386" spans="1:4" x14ac:dyDescent="0.35">
      <c r="A386" s="178"/>
      <c r="B386" s="178"/>
      <c r="C386" s="180"/>
      <c r="D386" s="178"/>
    </row>
    <row r="387" spans="1:4" x14ac:dyDescent="0.35">
      <c r="A387" s="178"/>
      <c r="B387" s="178"/>
      <c r="C387" s="180"/>
      <c r="D387" s="178"/>
    </row>
    <row r="388" spans="1:4" x14ac:dyDescent="0.35">
      <c r="A388" s="178"/>
      <c r="B388" s="178"/>
      <c r="C388" s="180"/>
      <c r="D388" s="178"/>
    </row>
    <row r="389" spans="1:4" x14ac:dyDescent="0.35">
      <c r="A389" s="178"/>
      <c r="B389" s="178"/>
      <c r="C389" s="180"/>
      <c r="D389" s="178"/>
    </row>
    <row r="390" spans="1:4" x14ac:dyDescent="0.35">
      <c r="A390" s="178"/>
      <c r="B390" s="178"/>
      <c r="C390" s="180"/>
      <c r="D390" s="178"/>
    </row>
    <row r="391" spans="1:4" x14ac:dyDescent="0.35">
      <c r="A391" s="178"/>
      <c r="B391" s="178"/>
      <c r="C391" s="180"/>
      <c r="D391" s="178"/>
    </row>
    <row r="392" spans="1:4" x14ac:dyDescent="0.35">
      <c r="A392" s="178"/>
      <c r="B392" s="178"/>
      <c r="C392" s="180"/>
      <c r="D392" s="178"/>
    </row>
    <row r="393" spans="1:4" x14ac:dyDescent="0.35">
      <c r="A393" s="178"/>
      <c r="B393" s="178"/>
      <c r="C393" s="180"/>
      <c r="D393" s="178"/>
    </row>
    <row r="394" spans="1:4" x14ac:dyDescent="0.35">
      <c r="A394" s="178"/>
      <c r="B394" s="178"/>
      <c r="C394" s="180"/>
      <c r="D394" s="178"/>
    </row>
    <row r="395" spans="1:4" x14ac:dyDescent="0.35">
      <c r="A395" s="178"/>
      <c r="B395" s="178"/>
      <c r="C395" s="180"/>
      <c r="D395" s="178"/>
    </row>
    <row r="396" spans="1:4" x14ac:dyDescent="0.35">
      <c r="A396" s="178"/>
      <c r="B396" s="178"/>
      <c r="C396" s="180"/>
      <c r="D396" s="178"/>
    </row>
    <row r="397" spans="1:4" x14ac:dyDescent="0.35">
      <c r="A397" s="178"/>
      <c r="B397" s="178"/>
      <c r="C397" s="180"/>
      <c r="D397" s="178"/>
    </row>
    <row r="398" spans="1:4" x14ac:dyDescent="0.35">
      <c r="A398" s="178"/>
      <c r="B398" s="178"/>
      <c r="C398" s="180"/>
      <c r="D398" s="178"/>
    </row>
    <row r="399" spans="1:4" x14ac:dyDescent="0.35">
      <c r="A399" s="178"/>
      <c r="B399" s="178"/>
      <c r="C399" s="180"/>
      <c r="D399" s="178"/>
    </row>
    <row r="400" spans="1:4" x14ac:dyDescent="0.35">
      <c r="A400" s="178"/>
      <c r="B400" s="178"/>
      <c r="C400" s="180"/>
      <c r="D400" s="178"/>
    </row>
    <row r="401" spans="1:4" x14ac:dyDescent="0.35">
      <c r="A401" s="178"/>
      <c r="B401" s="178"/>
      <c r="C401" s="180"/>
      <c r="D401" s="178"/>
    </row>
    <row r="402" spans="1:4" x14ac:dyDescent="0.35">
      <c r="A402" s="178"/>
      <c r="B402" s="178"/>
      <c r="C402" s="180"/>
      <c r="D402" s="178"/>
    </row>
    <row r="403" spans="1:4" x14ac:dyDescent="0.35">
      <c r="A403" s="178"/>
      <c r="B403" s="178"/>
      <c r="C403" s="180"/>
      <c r="D403" s="178"/>
    </row>
    <row r="404" spans="1:4" x14ac:dyDescent="0.35">
      <c r="A404" s="178"/>
      <c r="B404" s="178"/>
      <c r="C404" s="180"/>
      <c r="D404" s="178"/>
    </row>
    <row r="405" spans="1:4" x14ac:dyDescent="0.35">
      <c r="A405" s="178"/>
      <c r="B405" s="178"/>
      <c r="C405" s="180"/>
      <c r="D405" s="178"/>
    </row>
    <row r="406" spans="1:4" x14ac:dyDescent="0.35">
      <c r="A406" s="178"/>
      <c r="B406" s="178"/>
      <c r="C406" s="180"/>
      <c r="D406" s="178"/>
    </row>
    <row r="407" spans="1:4" x14ac:dyDescent="0.35">
      <c r="A407" s="178"/>
      <c r="B407" s="178"/>
      <c r="C407" s="180"/>
      <c r="D407" s="178"/>
    </row>
    <row r="408" spans="1:4" x14ac:dyDescent="0.35">
      <c r="A408" s="178"/>
      <c r="B408" s="178"/>
      <c r="C408" s="180"/>
      <c r="D408" s="178"/>
    </row>
    <row r="409" spans="1:4" x14ac:dyDescent="0.35">
      <c r="A409" s="178"/>
      <c r="B409" s="178"/>
      <c r="C409" s="180"/>
      <c r="D409" s="178"/>
    </row>
    <row r="410" spans="1:4" x14ac:dyDescent="0.35">
      <c r="A410" s="178"/>
      <c r="B410" s="178"/>
      <c r="C410" s="180"/>
      <c r="D410" s="178"/>
    </row>
    <row r="411" spans="1:4" x14ac:dyDescent="0.35">
      <c r="A411" s="178"/>
      <c r="B411" s="178"/>
      <c r="C411" s="180"/>
      <c r="D411" s="178"/>
    </row>
    <row r="412" spans="1:4" x14ac:dyDescent="0.35">
      <c r="A412" s="178"/>
      <c r="B412" s="178"/>
      <c r="C412" s="180"/>
      <c r="D412" s="178"/>
    </row>
    <row r="413" spans="1:4" x14ac:dyDescent="0.35">
      <c r="A413" s="178"/>
      <c r="B413" s="178"/>
      <c r="C413" s="180"/>
      <c r="D413" s="178"/>
    </row>
    <row r="414" spans="1:4" x14ac:dyDescent="0.35">
      <c r="A414" s="178"/>
      <c r="B414" s="178"/>
      <c r="C414" s="180"/>
      <c r="D414" s="178"/>
    </row>
    <row r="415" spans="1:4" x14ac:dyDescent="0.35">
      <c r="A415" s="178"/>
      <c r="B415" s="178"/>
      <c r="C415" s="180"/>
      <c r="D415" s="178"/>
    </row>
    <row r="416" spans="1:4" x14ac:dyDescent="0.35">
      <c r="A416" s="178"/>
      <c r="B416" s="178"/>
      <c r="C416" s="180"/>
      <c r="D416" s="178"/>
    </row>
    <row r="417" spans="1:4" x14ac:dyDescent="0.35">
      <c r="A417" s="178"/>
      <c r="B417" s="178"/>
      <c r="C417" s="180"/>
      <c r="D417" s="178"/>
    </row>
    <row r="418" spans="1:4" x14ac:dyDescent="0.35">
      <c r="A418" s="178"/>
      <c r="B418" s="178"/>
      <c r="C418" s="180"/>
      <c r="D418" s="178"/>
    </row>
    <row r="419" spans="1:4" x14ac:dyDescent="0.35">
      <c r="A419" s="178"/>
      <c r="B419" s="178"/>
      <c r="C419" s="180"/>
      <c r="D419" s="178"/>
    </row>
    <row r="420" spans="1:4" x14ac:dyDescent="0.35">
      <c r="A420" s="178"/>
      <c r="B420" s="178"/>
      <c r="C420" s="180"/>
      <c r="D420" s="178"/>
    </row>
    <row r="421" spans="1:4" x14ac:dyDescent="0.35">
      <c r="A421" s="178"/>
      <c r="B421" s="178"/>
      <c r="C421" s="180"/>
      <c r="D421" s="178"/>
    </row>
    <row r="422" spans="1:4" x14ac:dyDescent="0.35">
      <c r="A422" s="178"/>
      <c r="B422" s="178"/>
      <c r="C422" s="180"/>
      <c r="D422" s="178"/>
    </row>
    <row r="423" spans="1:4" x14ac:dyDescent="0.35">
      <c r="A423" s="178"/>
      <c r="B423" s="178"/>
      <c r="C423" s="180"/>
      <c r="D423" s="178"/>
    </row>
    <row r="424" spans="1:4" x14ac:dyDescent="0.35">
      <c r="A424" s="178"/>
      <c r="B424" s="178"/>
      <c r="C424" s="180"/>
      <c r="D424" s="178"/>
    </row>
    <row r="425" spans="1:4" x14ac:dyDescent="0.35">
      <c r="A425" s="178"/>
      <c r="B425" s="178"/>
      <c r="C425" s="180"/>
      <c r="D425" s="178"/>
    </row>
    <row r="426" spans="1:4" x14ac:dyDescent="0.35">
      <c r="A426" s="178"/>
      <c r="B426" s="178"/>
      <c r="C426" s="180"/>
      <c r="D426" s="178"/>
    </row>
    <row r="427" spans="1:4" x14ac:dyDescent="0.35">
      <c r="A427" s="178"/>
      <c r="B427" s="178"/>
      <c r="C427" s="180"/>
      <c r="D427" s="178"/>
    </row>
    <row r="428" spans="1:4" x14ac:dyDescent="0.35">
      <c r="A428" s="178"/>
      <c r="B428" s="178"/>
      <c r="C428" s="180"/>
      <c r="D428" s="178"/>
    </row>
    <row r="429" spans="1:4" x14ac:dyDescent="0.35">
      <c r="A429" s="178"/>
      <c r="B429" s="178"/>
      <c r="C429" s="180"/>
      <c r="D429" s="178"/>
    </row>
    <row r="430" spans="1:4" x14ac:dyDescent="0.35">
      <c r="A430" s="178"/>
      <c r="B430" s="178"/>
      <c r="C430" s="180"/>
      <c r="D430" s="178"/>
    </row>
    <row r="431" spans="1:4" x14ac:dyDescent="0.35">
      <c r="A431" s="178"/>
      <c r="B431" s="178"/>
      <c r="C431" s="180"/>
      <c r="D431" s="178"/>
    </row>
    <row r="432" spans="1:4" x14ac:dyDescent="0.35">
      <c r="A432" s="178"/>
      <c r="B432" s="178"/>
      <c r="C432" s="180"/>
      <c r="D432" s="178"/>
    </row>
    <row r="433" spans="1:4" x14ac:dyDescent="0.35">
      <c r="A433" s="178"/>
      <c r="B433" s="178"/>
      <c r="C433" s="180"/>
      <c r="D433" s="178"/>
    </row>
    <row r="434" spans="1:4" x14ac:dyDescent="0.35">
      <c r="A434" s="178"/>
      <c r="B434" s="178"/>
      <c r="C434" s="180"/>
      <c r="D434" s="178"/>
    </row>
    <row r="435" spans="1:4" x14ac:dyDescent="0.35">
      <c r="A435" s="178"/>
      <c r="B435" s="178"/>
      <c r="C435" s="180"/>
      <c r="D435" s="178"/>
    </row>
    <row r="436" spans="1:4" x14ac:dyDescent="0.35">
      <c r="A436" s="178"/>
      <c r="B436" s="178"/>
      <c r="C436" s="180"/>
      <c r="D436" s="178"/>
    </row>
    <row r="437" spans="1:4" x14ac:dyDescent="0.35">
      <c r="A437" s="178"/>
      <c r="B437" s="178"/>
      <c r="C437" s="180"/>
      <c r="D437" s="178"/>
    </row>
    <row r="438" spans="1:4" x14ac:dyDescent="0.35">
      <c r="A438" s="178"/>
      <c r="B438" s="178"/>
      <c r="C438" s="180"/>
      <c r="D438" s="178"/>
    </row>
    <row r="439" spans="1:4" x14ac:dyDescent="0.35">
      <c r="A439" s="178"/>
      <c r="B439" s="178"/>
      <c r="C439" s="180"/>
      <c r="D439" s="178"/>
    </row>
    <row r="440" spans="1:4" x14ac:dyDescent="0.35">
      <c r="A440" s="178"/>
      <c r="B440" s="178"/>
      <c r="C440" s="180"/>
      <c r="D440" s="178"/>
    </row>
    <row r="441" spans="1:4" x14ac:dyDescent="0.35">
      <c r="A441" s="178"/>
      <c r="B441" s="178"/>
      <c r="C441" s="180"/>
      <c r="D441" s="178"/>
    </row>
    <row r="442" spans="1:4" x14ac:dyDescent="0.35">
      <c r="A442" s="178"/>
      <c r="B442" s="178"/>
      <c r="C442" s="180"/>
      <c r="D442" s="178"/>
    </row>
    <row r="443" spans="1:4" x14ac:dyDescent="0.35">
      <c r="A443" s="178"/>
      <c r="B443" s="178"/>
      <c r="C443" s="180"/>
      <c r="D443" s="178"/>
    </row>
    <row r="444" spans="1:4" x14ac:dyDescent="0.35">
      <c r="A444" s="178"/>
      <c r="B444" s="178"/>
      <c r="C444" s="180"/>
      <c r="D444" s="178"/>
    </row>
    <row r="445" spans="1:4" x14ac:dyDescent="0.35">
      <c r="A445" s="178"/>
      <c r="B445" s="178"/>
      <c r="C445" s="180"/>
      <c r="D445" s="178"/>
    </row>
    <row r="446" spans="1:4" x14ac:dyDescent="0.35">
      <c r="A446" s="178"/>
      <c r="B446" s="178"/>
      <c r="C446" s="180"/>
      <c r="D446" s="178"/>
    </row>
    <row r="447" spans="1:4" x14ac:dyDescent="0.35">
      <c r="A447" s="178"/>
      <c r="B447" s="178"/>
      <c r="C447" s="180"/>
      <c r="D447" s="178"/>
    </row>
    <row r="448" spans="1:4" x14ac:dyDescent="0.35">
      <c r="A448" s="178"/>
      <c r="B448" s="178"/>
      <c r="C448" s="180"/>
      <c r="D448" s="178"/>
    </row>
    <row r="449" spans="1:4" x14ac:dyDescent="0.35">
      <c r="A449" s="178"/>
      <c r="B449" s="178"/>
      <c r="C449" s="180"/>
      <c r="D449" s="178"/>
    </row>
    <row r="450" spans="1:4" x14ac:dyDescent="0.35">
      <c r="A450" s="178"/>
      <c r="B450" s="178"/>
      <c r="C450" s="180"/>
      <c r="D450" s="178"/>
    </row>
    <row r="451" spans="1:4" x14ac:dyDescent="0.35">
      <c r="A451" s="178"/>
      <c r="B451" s="178"/>
      <c r="C451" s="180"/>
      <c r="D451" s="178"/>
    </row>
    <row r="452" spans="1:4" x14ac:dyDescent="0.35">
      <c r="A452" s="178"/>
      <c r="B452" s="178"/>
      <c r="C452" s="180"/>
      <c r="D452" s="178"/>
    </row>
    <row r="453" spans="1:4" x14ac:dyDescent="0.35">
      <c r="A453" s="178"/>
      <c r="B453" s="178"/>
      <c r="C453" s="180"/>
      <c r="D453" s="178"/>
    </row>
    <row r="454" spans="1:4" x14ac:dyDescent="0.35">
      <c r="A454" s="178"/>
      <c r="B454" s="178"/>
      <c r="C454" s="180"/>
      <c r="D454" s="178"/>
    </row>
    <row r="455" spans="1:4" x14ac:dyDescent="0.35">
      <c r="A455" s="178"/>
      <c r="B455" s="178"/>
      <c r="C455" s="180"/>
      <c r="D455" s="178"/>
    </row>
    <row r="456" spans="1:4" x14ac:dyDescent="0.35">
      <c r="A456" s="178"/>
      <c r="B456" s="178"/>
      <c r="C456" s="180"/>
      <c r="D456" s="178"/>
    </row>
    <row r="457" spans="1:4" x14ac:dyDescent="0.35">
      <c r="A457" s="178"/>
      <c r="B457" s="178"/>
      <c r="C457" s="180"/>
      <c r="D457" s="178"/>
    </row>
    <row r="458" spans="1:4" x14ac:dyDescent="0.35">
      <c r="A458" s="178"/>
      <c r="B458" s="178"/>
      <c r="C458" s="180"/>
      <c r="D458" s="178"/>
    </row>
    <row r="459" spans="1:4" x14ac:dyDescent="0.35">
      <c r="A459" s="178"/>
      <c r="B459" s="178"/>
      <c r="C459" s="180"/>
      <c r="D459" s="178"/>
    </row>
    <row r="460" spans="1:4" x14ac:dyDescent="0.35">
      <c r="A460" s="178"/>
      <c r="B460" s="178"/>
      <c r="C460" s="180"/>
      <c r="D460" s="178"/>
    </row>
    <row r="461" spans="1:4" x14ac:dyDescent="0.35">
      <c r="A461" s="178"/>
      <c r="B461" s="178"/>
      <c r="C461" s="180"/>
      <c r="D461" s="178"/>
    </row>
    <row r="462" spans="1:4" x14ac:dyDescent="0.35">
      <c r="A462" s="178"/>
      <c r="B462" s="178"/>
      <c r="C462" s="180"/>
      <c r="D462" s="178"/>
    </row>
    <row r="463" spans="1:4" x14ac:dyDescent="0.35">
      <c r="A463" s="178"/>
      <c r="B463" s="178"/>
      <c r="C463" s="180"/>
      <c r="D463" s="178"/>
    </row>
    <row r="464" spans="1:4" x14ac:dyDescent="0.35">
      <c r="A464" s="178"/>
      <c r="B464" s="178"/>
      <c r="C464" s="180"/>
      <c r="D464" s="178"/>
    </row>
    <row r="465" spans="1:6" x14ac:dyDescent="0.35">
      <c r="A465" s="178"/>
      <c r="B465" s="178"/>
      <c r="C465" s="180"/>
      <c r="D465" s="178"/>
    </row>
    <row r="466" spans="1:6" x14ac:dyDescent="0.35">
      <c r="A466" s="178"/>
      <c r="B466" s="178"/>
      <c r="C466" s="180"/>
      <c r="D466" s="178"/>
    </row>
    <row r="467" spans="1:6" x14ac:dyDescent="0.35">
      <c r="A467" s="178"/>
      <c r="B467" s="178"/>
      <c r="C467" s="180"/>
      <c r="D467" s="178"/>
    </row>
    <row r="468" spans="1:6" x14ac:dyDescent="0.35">
      <c r="A468" s="178"/>
      <c r="B468" s="178"/>
      <c r="C468" s="180"/>
      <c r="D468" s="178"/>
    </row>
    <row r="469" spans="1:6" x14ac:dyDescent="0.35">
      <c r="A469" s="178"/>
      <c r="B469" s="178"/>
      <c r="C469" s="180"/>
      <c r="D469" s="178"/>
    </row>
    <row r="470" spans="1:6" x14ac:dyDescent="0.35">
      <c r="A470" s="178"/>
      <c r="B470" s="178"/>
      <c r="C470" s="180"/>
      <c r="D470" s="178"/>
    </row>
    <row r="471" spans="1:6" x14ac:dyDescent="0.35">
      <c r="A471" s="178"/>
      <c r="B471" s="178"/>
      <c r="C471" s="180"/>
      <c r="D471" s="178"/>
    </row>
    <row r="472" spans="1:6" x14ac:dyDescent="0.35">
      <c r="A472" s="178"/>
      <c r="B472" s="178"/>
      <c r="C472" s="180"/>
      <c r="D472" s="178"/>
    </row>
    <row r="473" spans="1:6" x14ac:dyDescent="0.35">
      <c r="A473" s="178"/>
      <c r="B473" s="178"/>
      <c r="C473" s="180"/>
      <c r="D473" s="178"/>
    </row>
    <row r="474" spans="1:6" x14ac:dyDescent="0.35">
      <c r="A474" s="178"/>
      <c r="B474" s="178"/>
      <c r="C474" s="180"/>
      <c r="D474" s="178"/>
    </row>
    <row r="475" spans="1:6" x14ac:dyDescent="0.35">
      <c r="A475" s="178"/>
      <c r="B475" s="178"/>
      <c r="C475" s="180"/>
      <c r="D475" s="178"/>
    </row>
    <row r="476" spans="1:6" x14ac:dyDescent="0.35">
      <c r="A476" s="178"/>
      <c r="B476" s="178"/>
      <c r="C476" s="180"/>
      <c r="D476" s="178"/>
    </row>
    <row r="477" spans="1:6" x14ac:dyDescent="0.35">
      <c r="A477" s="178"/>
      <c r="B477" s="178"/>
      <c r="C477" s="180"/>
      <c r="D477" s="178"/>
      <c r="F477" s="178"/>
    </row>
    <row r="478" spans="1:6" x14ac:dyDescent="0.35">
      <c r="A478" s="178"/>
      <c r="B478" s="178"/>
      <c r="C478" s="180"/>
      <c r="D478" s="178"/>
      <c r="F478" s="178"/>
    </row>
    <row r="479" spans="1:6" x14ac:dyDescent="0.35">
      <c r="A479" s="178"/>
      <c r="B479" s="178"/>
      <c r="C479" s="180"/>
      <c r="D479" s="178"/>
    </row>
    <row r="480" spans="1:6" x14ac:dyDescent="0.35">
      <c r="A480" s="178"/>
      <c r="B480" s="178"/>
      <c r="C480" s="180"/>
      <c r="D480" s="178"/>
      <c r="F480" s="178"/>
    </row>
    <row r="481" spans="1:4" x14ac:dyDescent="0.35">
      <c r="A481" s="178"/>
      <c r="B481" s="178"/>
      <c r="C481" s="180"/>
      <c r="D481" s="178"/>
    </row>
    <row r="482" spans="1:4" x14ac:dyDescent="0.35">
      <c r="A482" s="178"/>
      <c r="B482" s="178"/>
      <c r="C482" s="180"/>
      <c r="D482" s="178"/>
    </row>
    <row r="483" spans="1:4" x14ac:dyDescent="0.35">
      <c r="A483" s="178"/>
      <c r="B483" s="178"/>
      <c r="C483" s="180"/>
      <c r="D483" s="178"/>
    </row>
    <row r="484" spans="1:4" x14ac:dyDescent="0.35">
      <c r="A484" s="178"/>
      <c r="B484" s="178"/>
      <c r="C484" s="180"/>
      <c r="D484" s="178"/>
    </row>
    <row r="485" spans="1:4" x14ac:dyDescent="0.35">
      <c r="A485" s="178"/>
      <c r="B485" s="178"/>
      <c r="C485" s="180"/>
      <c r="D485" s="178"/>
    </row>
    <row r="486" spans="1:4" x14ac:dyDescent="0.35">
      <c r="A486" s="178"/>
      <c r="B486" s="178"/>
      <c r="C486" s="180"/>
      <c r="D486" s="178"/>
    </row>
    <row r="487" spans="1:4" x14ac:dyDescent="0.35">
      <c r="A487" s="178"/>
      <c r="B487" s="178"/>
      <c r="C487" s="180"/>
      <c r="D487" s="178"/>
    </row>
    <row r="488" spans="1:4" x14ac:dyDescent="0.35">
      <c r="A488" s="178"/>
      <c r="B488" s="178"/>
      <c r="C488" s="180"/>
      <c r="D488" s="178"/>
    </row>
    <row r="489" spans="1:4" x14ac:dyDescent="0.35">
      <c r="A489" s="178"/>
      <c r="B489" s="178"/>
      <c r="C489" s="180"/>
      <c r="D489" s="178"/>
    </row>
    <row r="490" spans="1:4" x14ac:dyDescent="0.35">
      <c r="A490" s="178"/>
      <c r="B490" s="178"/>
      <c r="C490" s="180"/>
      <c r="D490" s="178"/>
    </row>
    <row r="491" spans="1:4" x14ac:dyDescent="0.35">
      <c r="A491" s="178"/>
      <c r="B491" s="178"/>
      <c r="C491" s="180"/>
      <c r="D491" s="178"/>
    </row>
    <row r="492" spans="1:4" x14ac:dyDescent="0.35">
      <c r="A492" s="178"/>
      <c r="B492" s="178"/>
      <c r="C492" s="180"/>
      <c r="D492" s="178"/>
    </row>
    <row r="493" spans="1:4" x14ac:dyDescent="0.35">
      <c r="A493" s="178"/>
      <c r="B493" s="178"/>
      <c r="C493" s="180"/>
      <c r="D493" s="178"/>
    </row>
    <row r="494" spans="1:4" x14ac:dyDescent="0.35">
      <c r="A494" s="178"/>
      <c r="B494" s="178"/>
      <c r="C494" s="180"/>
      <c r="D494" s="178"/>
    </row>
    <row r="495" spans="1:4" x14ac:dyDescent="0.35">
      <c r="A495" s="178"/>
      <c r="B495" s="178"/>
      <c r="C495" s="180"/>
      <c r="D495" s="178"/>
    </row>
    <row r="496" spans="1:4" x14ac:dyDescent="0.35">
      <c r="A496" s="178"/>
      <c r="B496" s="178"/>
      <c r="C496" s="180"/>
      <c r="D496" s="178"/>
    </row>
    <row r="497" spans="1:4" x14ac:dyDescent="0.35">
      <c r="A497" s="178"/>
      <c r="B497" s="178"/>
      <c r="C497" s="180"/>
      <c r="D497" s="178"/>
    </row>
    <row r="498" spans="1:4" x14ac:dyDescent="0.35">
      <c r="A498" s="178"/>
      <c r="B498" s="178"/>
      <c r="C498" s="180"/>
      <c r="D498" s="178"/>
    </row>
    <row r="499" spans="1:4" x14ac:dyDescent="0.35">
      <c r="A499" s="178"/>
      <c r="B499" s="178"/>
      <c r="C499" s="180"/>
      <c r="D499" s="178"/>
    </row>
    <row r="500" spans="1:4" x14ac:dyDescent="0.35">
      <c r="A500" s="178"/>
      <c r="B500" s="178"/>
      <c r="C500" s="180"/>
      <c r="D500" s="178"/>
    </row>
    <row r="501" spans="1:4" x14ac:dyDescent="0.35">
      <c r="A501" s="178"/>
      <c r="B501" s="178"/>
      <c r="C501" s="180"/>
      <c r="D501" s="178"/>
    </row>
    <row r="502" spans="1:4" x14ac:dyDescent="0.35">
      <c r="A502" s="178"/>
      <c r="B502" s="178"/>
      <c r="C502" s="180"/>
      <c r="D502" s="178"/>
    </row>
    <row r="503" spans="1:4" x14ac:dyDescent="0.35">
      <c r="A503" s="178"/>
      <c r="B503" s="178"/>
      <c r="C503" s="180"/>
      <c r="D503" s="178"/>
    </row>
    <row r="504" spans="1:4" x14ac:dyDescent="0.35">
      <c r="A504" s="178"/>
      <c r="B504" s="178"/>
      <c r="C504" s="180"/>
      <c r="D504" s="178"/>
    </row>
    <row r="505" spans="1:4" x14ac:dyDescent="0.35">
      <c r="A505" s="178"/>
      <c r="B505" s="178"/>
      <c r="C505" s="180"/>
      <c r="D505" s="178"/>
    </row>
    <row r="506" spans="1:4" x14ac:dyDescent="0.35">
      <c r="A506" s="178"/>
      <c r="B506" s="178"/>
      <c r="C506" s="180"/>
      <c r="D506" s="178"/>
    </row>
    <row r="507" spans="1:4" x14ac:dyDescent="0.35">
      <c r="A507" s="178"/>
      <c r="B507" s="178"/>
      <c r="C507" s="180"/>
      <c r="D507" s="178"/>
    </row>
    <row r="508" spans="1:4" x14ac:dyDescent="0.35">
      <c r="A508" s="178"/>
      <c r="B508" s="178"/>
      <c r="C508" s="180"/>
      <c r="D508" s="178"/>
    </row>
    <row r="509" spans="1:4" x14ac:dyDescent="0.35">
      <c r="A509" s="178"/>
      <c r="B509" s="178"/>
      <c r="C509" s="180"/>
      <c r="D509" s="178"/>
    </row>
    <row r="510" spans="1:4" x14ac:dyDescent="0.35">
      <c r="A510" s="178"/>
      <c r="B510" s="178"/>
      <c r="C510" s="180"/>
      <c r="D510" s="178"/>
    </row>
    <row r="511" spans="1:4" x14ac:dyDescent="0.35">
      <c r="A511" s="178"/>
      <c r="B511" s="178"/>
      <c r="C511" s="180"/>
      <c r="D511" s="178"/>
    </row>
    <row r="512" spans="1:4" x14ac:dyDescent="0.35">
      <c r="A512" s="178"/>
      <c r="B512" s="178"/>
      <c r="C512" s="180"/>
      <c r="D512" s="178"/>
    </row>
    <row r="513" spans="1:4" x14ac:dyDescent="0.35">
      <c r="A513" s="178"/>
      <c r="B513" s="178"/>
      <c r="C513" s="180"/>
      <c r="D513" s="178"/>
    </row>
    <row r="514" spans="1:4" x14ac:dyDescent="0.35">
      <c r="A514" s="178"/>
      <c r="B514" s="178"/>
      <c r="C514" s="180"/>
      <c r="D514" s="178"/>
    </row>
    <row r="515" spans="1:4" x14ac:dyDescent="0.35">
      <c r="A515" s="178"/>
      <c r="B515" s="178"/>
      <c r="C515" s="180"/>
      <c r="D515" s="178"/>
    </row>
    <row r="516" spans="1:4" x14ac:dyDescent="0.35">
      <c r="A516" s="178"/>
      <c r="B516" s="178"/>
      <c r="C516" s="180"/>
      <c r="D516" s="178"/>
    </row>
    <row r="517" spans="1:4" x14ac:dyDescent="0.35">
      <c r="A517" s="178"/>
      <c r="B517" s="178"/>
      <c r="C517" s="180"/>
      <c r="D517" s="178"/>
    </row>
    <row r="518" spans="1:4" x14ac:dyDescent="0.35">
      <c r="A518" s="178"/>
      <c r="B518" s="178"/>
      <c r="C518" s="180"/>
      <c r="D518" s="178"/>
    </row>
    <row r="519" spans="1:4" x14ac:dyDescent="0.35">
      <c r="A519" s="178"/>
      <c r="B519" s="178"/>
      <c r="C519" s="180"/>
      <c r="D519" s="178"/>
    </row>
    <row r="520" spans="1:4" x14ac:dyDescent="0.35">
      <c r="A520" s="178"/>
      <c r="B520" s="178"/>
      <c r="C520" s="180"/>
      <c r="D520" s="178"/>
    </row>
    <row r="521" spans="1:4" x14ac:dyDescent="0.35">
      <c r="A521" s="178"/>
      <c r="B521" s="178"/>
      <c r="C521" s="180"/>
      <c r="D521" s="178"/>
    </row>
    <row r="522" spans="1:4" x14ac:dyDescent="0.35">
      <c r="A522" s="178"/>
      <c r="B522" s="178"/>
      <c r="C522" s="180"/>
      <c r="D522" s="178"/>
    </row>
    <row r="523" spans="1:4" x14ac:dyDescent="0.35">
      <c r="A523" s="178"/>
      <c r="B523" s="178"/>
      <c r="C523" s="180"/>
      <c r="D523" s="178"/>
    </row>
    <row r="524" spans="1:4" x14ac:dyDescent="0.35">
      <c r="A524" s="178"/>
      <c r="B524" s="178"/>
      <c r="C524" s="180"/>
      <c r="D524" s="178"/>
    </row>
    <row r="525" spans="1:4" x14ac:dyDescent="0.35">
      <c r="A525" s="178"/>
      <c r="B525" s="178"/>
      <c r="C525" s="180"/>
      <c r="D525" s="178"/>
    </row>
    <row r="526" spans="1:4" x14ac:dyDescent="0.35">
      <c r="A526" s="178"/>
      <c r="B526" s="178"/>
      <c r="C526" s="180"/>
      <c r="D526" s="178"/>
    </row>
    <row r="527" spans="1:4" x14ac:dyDescent="0.35">
      <c r="A527" s="178"/>
      <c r="B527" s="178"/>
      <c r="C527" s="180"/>
      <c r="D527" s="178"/>
    </row>
    <row r="528" spans="1:4" x14ac:dyDescent="0.35">
      <c r="A528" s="178"/>
      <c r="B528" s="178"/>
      <c r="C528" s="180"/>
      <c r="D528" s="178"/>
    </row>
    <row r="529" spans="1:4" x14ac:dyDescent="0.35">
      <c r="A529" s="178"/>
      <c r="B529" s="178"/>
      <c r="C529" s="180"/>
      <c r="D529" s="178"/>
    </row>
    <row r="530" spans="1:4" x14ac:dyDescent="0.35">
      <c r="A530" s="178"/>
      <c r="B530" s="178"/>
      <c r="C530" s="180"/>
      <c r="D530" s="178"/>
    </row>
    <row r="531" spans="1:4" x14ac:dyDescent="0.35">
      <c r="A531" s="178"/>
      <c r="B531" s="178"/>
      <c r="C531" s="180"/>
      <c r="D531" s="178"/>
    </row>
    <row r="532" spans="1:4" x14ac:dyDescent="0.35">
      <c r="A532" s="178"/>
      <c r="B532" s="178"/>
      <c r="C532" s="180"/>
      <c r="D532" s="178"/>
    </row>
    <row r="533" spans="1:4" x14ac:dyDescent="0.35">
      <c r="A533" s="178"/>
      <c r="B533" s="178"/>
      <c r="C533" s="180"/>
      <c r="D533" s="178"/>
    </row>
    <row r="534" spans="1:4" x14ac:dyDescent="0.35">
      <c r="A534" s="178"/>
      <c r="B534" s="178"/>
      <c r="C534" s="180"/>
      <c r="D534" s="178"/>
    </row>
    <row r="535" spans="1:4" x14ac:dyDescent="0.35">
      <c r="A535" s="178"/>
      <c r="B535" s="178"/>
      <c r="C535" s="180"/>
      <c r="D535" s="178"/>
    </row>
    <row r="536" spans="1:4" x14ac:dyDescent="0.35">
      <c r="A536" s="178"/>
      <c r="B536" s="178"/>
      <c r="C536" s="180"/>
      <c r="D536" s="178"/>
    </row>
    <row r="537" spans="1:4" x14ac:dyDescent="0.35">
      <c r="A537" s="178"/>
      <c r="B537" s="178"/>
      <c r="C537" s="180"/>
      <c r="D537" s="178"/>
    </row>
    <row r="538" spans="1:4" x14ac:dyDescent="0.35">
      <c r="A538" s="178"/>
      <c r="B538" s="178"/>
      <c r="C538" s="180"/>
      <c r="D538" s="178"/>
    </row>
    <row r="539" spans="1:4" x14ac:dyDescent="0.35">
      <c r="A539" s="178"/>
      <c r="B539" s="178"/>
      <c r="C539" s="180"/>
      <c r="D539" s="178"/>
    </row>
    <row r="540" spans="1:4" x14ac:dyDescent="0.35">
      <c r="A540" s="178"/>
      <c r="B540" s="178"/>
      <c r="C540" s="180"/>
      <c r="D540" s="178"/>
    </row>
    <row r="541" spans="1:4" x14ac:dyDescent="0.35">
      <c r="A541" s="178"/>
      <c r="B541" s="178"/>
      <c r="C541" s="180"/>
      <c r="D541" s="178"/>
    </row>
    <row r="542" spans="1:4" x14ac:dyDescent="0.35">
      <c r="A542" s="178"/>
      <c r="B542" s="178"/>
      <c r="C542" s="180"/>
      <c r="D542" s="178"/>
    </row>
    <row r="543" spans="1:4" x14ac:dyDescent="0.35">
      <c r="A543" s="178"/>
      <c r="B543" s="178"/>
      <c r="C543" s="180"/>
      <c r="D543" s="178"/>
    </row>
    <row r="544" spans="1:4" x14ac:dyDescent="0.35">
      <c r="A544" s="178"/>
      <c r="B544" s="178"/>
      <c r="C544" s="180"/>
      <c r="D544" s="178"/>
    </row>
    <row r="545" spans="1:4" x14ac:dyDescent="0.35">
      <c r="A545" s="178"/>
      <c r="B545" s="178"/>
      <c r="C545" s="180"/>
      <c r="D545" s="178"/>
    </row>
    <row r="546" spans="1:4" x14ac:dyDescent="0.35">
      <c r="A546" s="178"/>
      <c r="B546" s="178"/>
      <c r="C546" s="180"/>
      <c r="D546" s="178"/>
    </row>
    <row r="547" spans="1:4" x14ac:dyDescent="0.35">
      <c r="A547" s="178"/>
      <c r="B547" s="178"/>
      <c r="C547" s="180"/>
      <c r="D547" s="178"/>
    </row>
    <row r="548" spans="1:4" x14ac:dyDescent="0.35">
      <c r="A548" s="178"/>
      <c r="B548" s="178"/>
      <c r="C548" s="180"/>
      <c r="D548" s="178"/>
    </row>
    <row r="549" spans="1:4" x14ac:dyDescent="0.35">
      <c r="A549" s="178"/>
      <c r="B549" s="178"/>
      <c r="C549" s="180"/>
      <c r="D549" s="178"/>
    </row>
    <row r="550" spans="1:4" x14ac:dyDescent="0.35">
      <c r="A550" s="178"/>
      <c r="B550" s="178"/>
      <c r="C550" s="180"/>
      <c r="D550" s="178"/>
    </row>
    <row r="551" spans="1:4" x14ac:dyDescent="0.35">
      <c r="A551" s="178"/>
      <c r="B551" s="178"/>
      <c r="C551" s="180"/>
      <c r="D551" s="178"/>
    </row>
    <row r="552" spans="1:4" x14ac:dyDescent="0.35">
      <c r="A552" s="178"/>
      <c r="B552" s="178"/>
      <c r="C552" s="180"/>
      <c r="D552" s="178"/>
    </row>
    <row r="553" spans="1:4" x14ac:dyDescent="0.35">
      <c r="A553" s="178"/>
      <c r="B553" s="178"/>
      <c r="C553" s="180"/>
      <c r="D553" s="178"/>
    </row>
    <row r="554" spans="1:4" x14ac:dyDescent="0.35">
      <c r="A554" s="178"/>
      <c r="B554" s="178"/>
      <c r="C554" s="180"/>
      <c r="D554" s="178"/>
    </row>
    <row r="555" spans="1:4" x14ac:dyDescent="0.35">
      <c r="A555" s="178"/>
      <c r="B555" s="178"/>
      <c r="C555" s="180"/>
      <c r="D555" s="178"/>
    </row>
    <row r="556" spans="1:4" x14ac:dyDescent="0.35">
      <c r="A556" s="178"/>
      <c r="B556" s="178"/>
      <c r="C556" s="180"/>
      <c r="D556" s="178"/>
    </row>
    <row r="557" spans="1:4" x14ac:dyDescent="0.35">
      <c r="A557" s="178"/>
      <c r="B557" s="178"/>
      <c r="C557" s="180"/>
      <c r="D557" s="178"/>
    </row>
    <row r="558" spans="1:4" x14ac:dyDescent="0.35">
      <c r="A558" s="178"/>
      <c r="B558" s="178"/>
      <c r="C558" s="180"/>
      <c r="D558" s="178"/>
    </row>
    <row r="559" spans="1:4" x14ac:dyDescent="0.35">
      <c r="A559" s="178"/>
      <c r="B559" s="178"/>
      <c r="C559" s="180"/>
      <c r="D559" s="178"/>
    </row>
    <row r="560" spans="1:4" x14ac:dyDescent="0.35">
      <c r="A560" s="178"/>
      <c r="B560" s="178"/>
      <c r="C560" s="180"/>
      <c r="D560" s="178"/>
    </row>
    <row r="561" spans="1:4" x14ac:dyDescent="0.35">
      <c r="A561" s="178"/>
      <c r="B561" s="178"/>
      <c r="C561" s="180"/>
      <c r="D561" s="178"/>
    </row>
    <row r="562" spans="1:4" x14ac:dyDescent="0.35">
      <c r="A562" s="178"/>
      <c r="B562" s="178"/>
      <c r="C562" s="180"/>
      <c r="D562" s="178"/>
    </row>
    <row r="563" spans="1:4" x14ac:dyDescent="0.35">
      <c r="A563" s="178"/>
      <c r="B563" s="178"/>
      <c r="C563" s="180"/>
      <c r="D563" s="178"/>
    </row>
    <row r="564" spans="1:4" x14ac:dyDescent="0.35">
      <c r="A564" s="178"/>
      <c r="B564" s="178"/>
      <c r="C564" s="180"/>
      <c r="D564" s="178"/>
    </row>
    <row r="565" spans="1:4" x14ac:dyDescent="0.35">
      <c r="A565" s="178"/>
      <c r="B565" s="178"/>
      <c r="C565" s="180"/>
      <c r="D565" s="178"/>
    </row>
    <row r="566" spans="1:4" x14ac:dyDescent="0.35">
      <c r="A566" s="178"/>
      <c r="B566" s="178"/>
      <c r="C566" s="180"/>
      <c r="D566" s="178"/>
    </row>
    <row r="567" spans="1:4" x14ac:dyDescent="0.35">
      <c r="A567" s="178"/>
      <c r="B567" s="178"/>
      <c r="C567" s="180"/>
      <c r="D567" s="178"/>
    </row>
    <row r="568" spans="1:4" x14ac:dyDescent="0.35">
      <c r="A568" s="178"/>
      <c r="B568" s="178"/>
      <c r="C568" s="180"/>
      <c r="D568" s="178"/>
    </row>
    <row r="569" spans="1:4" x14ac:dyDescent="0.35">
      <c r="A569" s="178"/>
      <c r="B569" s="178"/>
      <c r="C569" s="180"/>
      <c r="D569" s="178"/>
    </row>
    <row r="570" spans="1:4" x14ac:dyDescent="0.35">
      <c r="A570" s="178"/>
      <c r="B570" s="178"/>
      <c r="C570" s="180"/>
      <c r="D570" s="178"/>
    </row>
    <row r="571" spans="1:4" x14ac:dyDescent="0.35">
      <c r="A571" s="178"/>
      <c r="B571" s="178"/>
      <c r="C571" s="180"/>
      <c r="D571" s="178"/>
    </row>
    <row r="572" spans="1:4" x14ac:dyDescent="0.35">
      <c r="A572" s="178"/>
      <c r="B572" s="178"/>
      <c r="C572" s="180"/>
      <c r="D572" s="178"/>
    </row>
    <row r="573" spans="1:4" x14ac:dyDescent="0.35">
      <c r="A573" s="178"/>
      <c r="B573" s="178"/>
      <c r="C573" s="180"/>
      <c r="D573" s="178"/>
    </row>
    <row r="574" spans="1:4" x14ac:dyDescent="0.35">
      <c r="A574" s="178"/>
      <c r="B574" s="178"/>
      <c r="C574" s="180"/>
      <c r="D574" s="178"/>
    </row>
    <row r="575" spans="1:4" x14ac:dyDescent="0.35">
      <c r="A575" s="178"/>
      <c r="B575" s="178"/>
      <c r="C575" s="180"/>
      <c r="D575" s="178"/>
    </row>
    <row r="576" spans="1:4" x14ac:dyDescent="0.35">
      <c r="A576" s="178"/>
      <c r="B576" s="178"/>
      <c r="C576" s="180"/>
      <c r="D576" s="178"/>
    </row>
    <row r="577" spans="1:4" x14ac:dyDescent="0.35">
      <c r="A577" s="178"/>
      <c r="B577" s="178"/>
      <c r="C577" s="180"/>
      <c r="D577" s="178"/>
    </row>
    <row r="578" spans="1:4" x14ac:dyDescent="0.35">
      <c r="A578" s="178"/>
      <c r="B578" s="178"/>
      <c r="C578" s="180"/>
      <c r="D578" s="178"/>
    </row>
    <row r="579" spans="1:4" x14ac:dyDescent="0.35">
      <c r="A579" s="178"/>
      <c r="B579" s="178"/>
      <c r="C579" s="180"/>
      <c r="D579" s="178"/>
    </row>
    <row r="580" spans="1:4" x14ac:dyDescent="0.35">
      <c r="A580" s="178"/>
      <c r="B580" s="178"/>
      <c r="C580" s="180"/>
      <c r="D580" s="178"/>
    </row>
    <row r="581" spans="1:4" x14ac:dyDescent="0.35">
      <c r="A581" s="178"/>
      <c r="B581" s="178"/>
      <c r="C581" s="180"/>
      <c r="D581" s="178"/>
    </row>
    <row r="582" spans="1:4" x14ac:dyDescent="0.35">
      <c r="A582" s="178"/>
      <c r="B582" s="178"/>
      <c r="C582" s="180"/>
      <c r="D582" s="178"/>
    </row>
    <row r="583" spans="1:4" x14ac:dyDescent="0.35">
      <c r="A583" s="178"/>
      <c r="B583" s="178"/>
      <c r="C583" s="180"/>
      <c r="D583" s="178"/>
    </row>
    <row r="584" spans="1:4" x14ac:dyDescent="0.35">
      <c r="A584" s="178"/>
      <c r="B584" s="178"/>
      <c r="C584" s="180"/>
      <c r="D584" s="178"/>
    </row>
    <row r="585" spans="1:4" x14ac:dyDescent="0.35">
      <c r="A585" s="178"/>
      <c r="B585" s="178"/>
      <c r="C585" s="180"/>
      <c r="D585" s="178"/>
    </row>
    <row r="586" spans="1:4" x14ac:dyDescent="0.35">
      <c r="A586" s="178"/>
      <c r="B586" s="178"/>
      <c r="C586" s="180"/>
      <c r="D586" s="178"/>
    </row>
    <row r="587" spans="1:4" x14ac:dyDescent="0.35">
      <c r="A587" s="178"/>
      <c r="B587" s="178"/>
      <c r="C587" s="180"/>
      <c r="D587" s="178"/>
    </row>
    <row r="588" spans="1:4" x14ac:dyDescent="0.35">
      <c r="A588" s="178"/>
      <c r="B588" s="178"/>
      <c r="C588" s="180"/>
      <c r="D588" s="178"/>
    </row>
    <row r="589" spans="1:4" x14ac:dyDescent="0.35">
      <c r="A589" s="178"/>
      <c r="B589" s="178"/>
      <c r="C589" s="180"/>
      <c r="D589" s="178"/>
    </row>
    <row r="590" spans="1:4" x14ac:dyDescent="0.35">
      <c r="A590" s="178"/>
      <c r="B590" s="178"/>
      <c r="C590" s="180"/>
      <c r="D590" s="178"/>
    </row>
    <row r="591" spans="1:4" x14ac:dyDescent="0.35">
      <c r="A591" s="178"/>
      <c r="B591" s="178"/>
      <c r="C591" s="180"/>
      <c r="D591" s="178"/>
    </row>
    <row r="592" spans="1:4" x14ac:dyDescent="0.35">
      <c r="A592" s="178"/>
      <c r="B592" s="178"/>
      <c r="C592" s="180"/>
      <c r="D592" s="178"/>
    </row>
    <row r="593" spans="1:4" x14ac:dyDescent="0.35">
      <c r="A593" s="178"/>
      <c r="B593" s="178"/>
      <c r="C593" s="180"/>
      <c r="D593" s="178"/>
    </row>
    <row r="594" spans="1:4" x14ac:dyDescent="0.35">
      <c r="A594" s="178"/>
      <c r="B594" s="178"/>
      <c r="C594" s="180"/>
      <c r="D594" s="178"/>
    </row>
    <row r="595" spans="1:4" x14ac:dyDescent="0.35">
      <c r="A595" s="178"/>
      <c r="B595" s="178"/>
      <c r="C595" s="180"/>
      <c r="D595" s="178"/>
    </row>
    <row r="596" spans="1:4" x14ac:dyDescent="0.35">
      <c r="A596" s="178"/>
      <c r="B596" s="178"/>
      <c r="C596" s="180"/>
      <c r="D596" s="178"/>
    </row>
    <row r="597" spans="1:4" x14ac:dyDescent="0.35">
      <c r="A597" s="178"/>
      <c r="B597" s="178"/>
      <c r="C597" s="180"/>
      <c r="D597" s="178"/>
    </row>
    <row r="598" spans="1:4" x14ac:dyDescent="0.35">
      <c r="A598" s="178"/>
      <c r="B598" s="178"/>
      <c r="C598" s="180"/>
      <c r="D598" s="178"/>
    </row>
    <row r="599" spans="1:4" x14ac:dyDescent="0.35">
      <c r="A599" s="178"/>
      <c r="B599" s="178"/>
      <c r="C599" s="180"/>
      <c r="D599" s="178"/>
    </row>
    <row r="600" spans="1:4" x14ac:dyDescent="0.35">
      <c r="A600" s="178"/>
      <c r="B600" s="178"/>
      <c r="C600" s="180"/>
      <c r="D600" s="178"/>
    </row>
    <row r="601" spans="1:4" x14ac:dyDescent="0.35">
      <c r="A601" s="178"/>
      <c r="B601" s="178"/>
      <c r="C601" s="180"/>
      <c r="D601" s="178"/>
    </row>
    <row r="602" spans="1:4" x14ac:dyDescent="0.35">
      <c r="A602" s="178"/>
      <c r="B602" s="178"/>
      <c r="C602" s="180"/>
      <c r="D602" s="178"/>
    </row>
    <row r="603" spans="1:4" x14ac:dyDescent="0.35">
      <c r="A603" s="178"/>
      <c r="B603" s="178"/>
      <c r="C603" s="180"/>
      <c r="D603" s="178"/>
    </row>
    <row r="604" spans="1:4" x14ac:dyDescent="0.35">
      <c r="A604" s="178"/>
      <c r="B604" s="178"/>
      <c r="C604" s="180"/>
      <c r="D604" s="178"/>
    </row>
    <row r="605" spans="1:4" x14ac:dyDescent="0.35">
      <c r="A605" s="178"/>
      <c r="B605" s="178"/>
      <c r="C605" s="180"/>
      <c r="D605" s="178"/>
    </row>
    <row r="606" spans="1:4" x14ac:dyDescent="0.35">
      <c r="A606" s="178"/>
      <c r="B606" s="178"/>
      <c r="C606" s="180"/>
      <c r="D606" s="178"/>
    </row>
    <row r="607" spans="1:4" x14ac:dyDescent="0.35">
      <c r="A607" s="178"/>
      <c r="B607" s="178"/>
      <c r="C607" s="180"/>
      <c r="D607" s="178"/>
    </row>
    <row r="608" spans="1:4" x14ac:dyDescent="0.35">
      <c r="A608" s="178"/>
      <c r="B608" s="178"/>
      <c r="C608" s="180"/>
      <c r="D608" s="178"/>
    </row>
    <row r="609" spans="1:4" x14ac:dyDescent="0.35">
      <c r="A609" s="178"/>
      <c r="B609" s="178"/>
      <c r="C609" s="180"/>
      <c r="D609" s="178"/>
    </row>
    <row r="610" spans="1:4" x14ac:dyDescent="0.35">
      <c r="A610" s="178"/>
      <c r="B610" s="178"/>
      <c r="C610" s="180"/>
      <c r="D610" s="178"/>
    </row>
    <row r="611" spans="1:4" x14ac:dyDescent="0.35">
      <c r="A611" s="178"/>
      <c r="B611" s="178"/>
      <c r="C611" s="180"/>
      <c r="D611" s="178"/>
    </row>
    <row r="612" spans="1:4" x14ac:dyDescent="0.35">
      <c r="A612" s="178"/>
      <c r="B612" s="178"/>
      <c r="C612" s="180"/>
      <c r="D612" s="178"/>
    </row>
    <row r="613" spans="1:4" x14ac:dyDescent="0.35">
      <c r="A613" s="178"/>
      <c r="B613" s="178"/>
      <c r="C613" s="180"/>
      <c r="D613" s="178"/>
    </row>
    <row r="614" spans="1:4" x14ac:dyDescent="0.35">
      <c r="A614" s="178"/>
      <c r="B614" s="178"/>
      <c r="C614" s="180"/>
      <c r="D614" s="178"/>
    </row>
    <row r="615" spans="1:4" x14ac:dyDescent="0.35">
      <c r="A615" s="178"/>
      <c r="B615" s="178"/>
      <c r="C615" s="180"/>
      <c r="D615" s="178"/>
    </row>
    <row r="616" spans="1:4" x14ac:dyDescent="0.35">
      <c r="A616" s="178"/>
      <c r="B616" s="178"/>
      <c r="C616" s="180"/>
      <c r="D616" s="178"/>
    </row>
    <row r="617" spans="1:4" x14ac:dyDescent="0.35">
      <c r="A617" s="178"/>
      <c r="B617" s="178"/>
      <c r="C617" s="180"/>
      <c r="D617" s="178"/>
    </row>
    <row r="618" spans="1:4" x14ac:dyDescent="0.35">
      <c r="A618" s="178"/>
      <c r="B618" s="178"/>
      <c r="C618" s="180"/>
      <c r="D618" s="178"/>
    </row>
    <row r="619" spans="1:4" x14ac:dyDescent="0.35">
      <c r="A619" s="178"/>
      <c r="B619" s="178"/>
      <c r="C619" s="180"/>
      <c r="D619" s="178"/>
    </row>
    <row r="620" spans="1:4" x14ac:dyDescent="0.35">
      <c r="A620" s="178"/>
      <c r="B620" s="178"/>
      <c r="C620" s="180"/>
      <c r="D620" s="178"/>
    </row>
    <row r="621" spans="1:4" x14ac:dyDescent="0.35">
      <c r="A621" s="178"/>
      <c r="B621" s="178"/>
      <c r="C621" s="180"/>
      <c r="D621" s="178"/>
    </row>
    <row r="622" spans="1:4" x14ac:dyDescent="0.35">
      <c r="A622" s="178"/>
      <c r="B622" s="178"/>
      <c r="C622" s="180"/>
      <c r="D622" s="178"/>
    </row>
    <row r="623" spans="1:4" x14ac:dyDescent="0.35">
      <c r="A623" s="178"/>
      <c r="B623" s="178"/>
      <c r="C623" s="180"/>
      <c r="D623" s="178"/>
    </row>
    <row r="624" spans="1:4" x14ac:dyDescent="0.35">
      <c r="A624" s="178"/>
      <c r="B624" s="178"/>
      <c r="C624" s="180"/>
      <c r="D624" s="178"/>
    </row>
    <row r="625" spans="1:4" x14ac:dyDescent="0.35">
      <c r="A625" s="178"/>
      <c r="B625" s="178"/>
      <c r="C625" s="180"/>
      <c r="D625" s="178"/>
    </row>
    <row r="626" spans="1:4" x14ac:dyDescent="0.35">
      <c r="A626" s="178"/>
      <c r="B626" s="178"/>
      <c r="C626" s="180"/>
      <c r="D626" s="178"/>
    </row>
    <row r="627" spans="1:4" x14ac:dyDescent="0.35">
      <c r="A627" s="178"/>
      <c r="B627" s="178"/>
      <c r="C627" s="180"/>
      <c r="D627" s="178"/>
    </row>
    <row r="628" spans="1:4" x14ac:dyDescent="0.35">
      <c r="A628" s="178"/>
      <c r="B628" s="178"/>
      <c r="C628" s="180"/>
      <c r="D628" s="178"/>
    </row>
    <row r="629" spans="1:4" x14ac:dyDescent="0.35">
      <c r="A629" s="178"/>
      <c r="B629" s="178"/>
      <c r="C629" s="180"/>
      <c r="D629" s="178"/>
    </row>
    <row r="630" spans="1:4" x14ac:dyDescent="0.35">
      <c r="A630" s="178"/>
      <c r="B630" s="178"/>
      <c r="C630" s="180"/>
      <c r="D630" s="178"/>
    </row>
    <row r="631" spans="1:4" x14ac:dyDescent="0.35">
      <c r="A631" s="178"/>
      <c r="B631" s="178"/>
      <c r="C631" s="180"/>
      <c r="D631" s="178"/>
    </row>
    <row r="632" spans="1:4" x14ac:dyDescent="0.35">
      <c r="A632" s="178"/>
      <c r="B632" s="178"/>
      <c r="C632" s="180"/>
      <c r="D632" s="178"/>
    </row>
    <row r="633" spans="1:4" x14ac:dyDescent="0.35">
      <c r="A633" s="178"/>
      <c r="B633" s="178"/>
      <c r="C633" s="180"/>
      <c r="D633" s="178"/>
    </row>
    <row r="634" spans="1:4" x14ac:dyDescent="0.35">
      <c r="A634" s="178"/>
      <c r="B634" s="178"/>
      <c r="C634" s="180"/>
      <c r="D634" s="178"/>
    </row>
    <row r="635" spans="1:4" x14ac:dyDescent="0.35">
      <c r="A635" s="178"/>
      <c r="B635" s="178"/>
      <c r="C635" s="180"/>
      <c r="D635" s="178"/>
    </row>
    <row r="636" spans="1:4" x14ac:dyDescent="0.35">
      <c r="A636" s="178"/>
      <c r="B636" s="178"/>
      <c r="C636" s="180"/>
      <c r="D636" s="178"/>
    </row>
    <row r="637" spans="1:4" x14ac:dyDescent="0.35">
      <c r="A637" s="178"/>
      <c r="B637" s="178"/>
      <c r="C637" s="180"/>
      <c r="D637" s="178"/>
    </row>
    <row r="638" spans="1:4" x14ac:dyDescent="0.35">
      <c r="A638" s="178"/>
      <c r="B638" s="178"/>
      <c r="C638" s="180"/>
      <c r="D638" s="178"/>
    </row>
    <row r="639" spans="1:4" x14ac:dyDescent="0.35">
      <c r="A639" s="178"/>
      <c r="B639" s="178"/>
      <c r="C639" s="180"/>
      <c r="D639" s="178"/>
    </row>
    <row r="640" spans="1:4" x14ac:dyDescent="0.35">
      <c r="A640" s="178"/>
      <c r="B640" s="178"/>
      <c r="C640" s="180"/>
      <c r="D640" s="178"/>
    </row>
    <row r="641" spans="1:4" x14ac:dyDescent="0.35">
      <c r="A641" s="178"/>
      <c r="B641" s="178"/>
      <c r="C641" s="180"/>
      <c r="D641" s="178"/>
    </row>
    <row r="642" spans="1:4" x14ac:dyDescent="0.35">
      <c r="A642" s="178"/>
      <c r="B642" s="178"/>
      <c r="C642" s="180"/>
      <c r="D642" s="178"/>
    </row>
    <row r="643" spans="1:4" x14ac:dyDescent="0.35">
      <c r="A643" s="178"/>
      <c r="B643" s="178"/>
      <c r="C643" s="180"/>
      <c r="D643" s="178"/>
    </row>
    <row r="644" spans="1:4" x14ac:dyDescent="0.35">
      <c r="A644" s="178"/>
      <c r="B644" s="178"/>
      <c r="C644" s="180"/>
      <c r="D644" s="178"/>
    </row>
    <row r="645" spans="1:4" x14ac:dyDescent="0.35">
      <c r="A645" s="178"/>
      <c r="B645" s="178"/>
      <c r="C645" s="180"/>
      <c r="D645" s="178"/>
    </row>
    <row r="646" spans="1:4" x14ac:dyDescent="0.35">
      <c r="A646" s="178"/>
      <c r="B646" s="178"/>
      <c r="C646" s="180"/>
      <c r="D646" s="178"/>
    </row>
    <row r="647" spans="1:4" x14ac:dyDescent="0.35">
      <c r="A647" s="178"/>
      <c r="B647" s="178"/>
      <c r="C647" s="180"/>
      <c r="D647" s="178"/>
    </row>
    <row r="648" spans="1:4" x14ac:dyDescent="0.35">
      <c r="A648" s="178"/>
      <c r="B648" s="178"/>
      <c r="C648" s="180"/>
      <c r="D648" s="178"/>
    </row>
    <row r="649" spans="1:4" x14ac:dyDescent="0.35">
      <c r="A649" s="178"/>
      <c r="B649" s="178"/>
      <c r="C649" s="180"/>
      <c r="D649" s="178"/>
    </row>
    <row r="650" spans="1:4" x14ac:dyDescent="0.35">
      <c r="A650" s="178"/>
      <c r="B650" s="178"/>
      <c r="C650" s="180"/>
      <c r="D650" s="178"/>
    </row>
    <row r="651" spans="1:4" x14ac:dyDescent="0.35">
      <c r="A651" s="178"/>
      <c r="B651" s="178"/>
      <c r="C651" s="180"/>
      <c r="D651" s="178"/>
    </row>
    <row r="652" spans="1:4" x14ac:dyDescent="0.35">
      <c r="A652" s="178"/>
      <c r="B652" s="178"/>
      <c r="C652" s="180"/>
      <c r="D652" s="178"/>
    </row>
    <row r="653" spans="1:4" x14ac:dyDescent="0.35">
      <c r="A653" s="178"/>
      <c r="B653" s="178"/>
      <c r="C653" s="180"/>
      <c r="D653" s="178"/>
    </row>
    <row r="654" spans="1:4" x14ac:dyDescent="0.35">
      <c r="A654" s="178"/>
      <c r="B654" s="178"/>
      <c r="C654" s="180"/>
      <c r="D654" s="178"/>
    </row>
    <row r="655" spans="1:4" x14ac:dyDescent="0.35">
      <c r="A655" s="178"/>
      <c r="B655" s="178"/>
      <c r="C655" s="180"/>
      <c r="D655" s="178"/>
    </row>
    <row r="656" spans="1:4" x14ac:dyDescent="0.35">
      <c r="A656" s="178"/>
      <c r="B656" s="178"/>
      <c r="C656" s="180"/>
      <c r="D656" s="178"/>
    </row>
    <row r="657" spans="1:4" x14ac:dyDescent="0.35">
      <c r="A657" s="178"/>
      <c r="B657" s="178"/>
      <c r="C657" s="180"/>
      <c r="D657" s="178"/>
    </row>
    <row r="658" spans="1:4" x14ac:dyDescent="0.35">
      <c r="A658" s="178"/>
      <c r="B658" s="178"/>
      <c r="C658" s="180"/>
      <c r="D658" s="178"/>
    </row>
    <row r="659" spans="1:4" x14ac:dyDescent="0.35">
      <c r="A659" s="178"/>
      <c r="B659" s="178"/>
      <c r="C659" s="180"/>
      <c r="D659" s="178"/>
    </row>
    <row r="660" spans="1:4" x14ac:dyDescent="0.35">
      <c r="A660" s="178"/>
      <c r="B660" s="178"/>
      <c r="C660" s="180"/>
      <c r="D660" s="178"/>
    </row>
    <row r="661" spans="1:4" x14ac:dyDescent="0.35">
      <c r="A661" s="178"/>
      <c r="B661" s="178"/>
      <c r="C661" s="180"/>
      <c r="D661" s="178"/>
    </row>
    <row r="662" spans="1:4" x14ac:dyDescent="0.35">
      <c r="A662" s="178"/>
      <c r="B662" s="178"/>
      <c r="C662" s="180"/>
      <c r="D662" s="178"/>
    </row>
    <row r="663" spans="1:4" x14ac:dyDescent="0.35">
      <c r="A663" s="178"/>
      <c r="B663" s="178"/>
      <c r="C663" s="180"/>
      <c r="D663" s="178"/>
    </row>
    <row r="664" spans="1:4" x14ac:dyDescent="0.35">
      <c r="A664" s="178"/>
      <c r="B664" s="178"/>
      <c r="C664" s="180"/>
      <c r="D664" s="178"/>
    </row>
    <row r="665" spans="1:4" x14ac:dyDescent="0.35">
      <c r="A665" s="178"/>
      <c r="B665" s="178"/>
      <c r="C665" s="180"/>
      <c r="D665" s="178"/>
    </row>
    <row r="666" spans="1:4" x14ac:dyDescent="0.35">
      <c r="A666" s="178"/>
      <c r="B666" s="178"/>
      <c r="C666" s="180"/>
      <c r="D666" s="178"/>
    </row>
    <row r="667" spans="1:4" x14ac:dyDescent="0.35">
      <c r="A667" s="178"/>
      <c r="B667" s="178"/>
      <c r="C667" s="180"/>
      <c r="D667" s="178"/>
    </row>
    <row r="668" spans="1:4" x14ac:dyDescent="0.35">
      <c r="A668" s="178"/>
      <c r="B668" s="178"/>
      <c r="C668" s="180"/>
      <c r="D668" s="178"/>
    </row>
    <row r="669" spans="1:4" x14ac:dyDescent="0.35">
      <c r="A669" s="178"/>
      <c r="B669" s="178"/>
      <c r="C669" s="180"/>
      <c r="D669" s="178"/>
    </row>
    <row r="670" spans="1:4" x14ac:dyDescent="0.35">
      <c r="A670" s="178"/>
      <c r="B670" s="178"/>
      <c r="C670" s="180"/>
      <c r="D670" s="178"/>
    </row>
    <row r="671" spans="1:4" x14ac:dyDescent="0.35">
      <c r="A671" s="178"/>
      <c r="B671" s="178"/>
      <c r="C671" s="180"/>
      <c r="D671" s="178"/>
    </row>
    <row r="672" spans="1:4" x14ac:dyDescent="0.35">
      <c r="A672" s="178"/>
      <c r="B672" s="178"/>
      <c r="C672" s="180"/>
      <c r="D672" s="178"/>
    </row>
    <row r="673" spans="1:4" x14ac:dyDescent="0.35">
      <c r="A673" s="178"/>
      <c r="B673" s="178"/>
      <c r="C673" s="180"/>
      <c r="D673" s="178"/>
    </row>
    <row r="674" spans="1:4" x14ac:dyDescent="0.35">
      <c r="A674" s="178"/>
      <c r="B674" s="178"/>
      <c r="C674" s="180"/>
      <c r="D674" s="178"/>
    </row>
    <row r="675" spans="1:4" x14ac:dyDescent="0.35">
      <c r="A675" s="178"/>
      <c r="B675" s="178"/>
      <c r="C675" s="180"/>
      <c r="D675" s="178"/>
    </row>
    <row r="676" spans="1:4" x14ac:dyDescent="0.35">
      <c r="A676" s="178"/>
      <c r="B676" s="178"/>
      <c r="C676" s="180"/>
      <c r="D676" s="178"/>
    </row>
    <row r="677" spans="1:4" x14ac:dyDescent="0.35">
      <c r="A677" s="178"/>
      <c r="B677" s="178"/>
      <c r="C677" s="180"/>
      <c r="D677" s="178"/>
    </row>
    <row r="678" spans="1:4" x14ac:dyDescent="0.35">
      <c r="A678" s="178"/>
      <c r="B678" s="178"/>
      <c r="C678" s="180"/>
      <c r="D678" s="178"/>
    </row>
    <row r="679" spans="1:4" x14ac:dyDescent="0.35">
      <c r="A679" s="178"/>
      <c r="B679" s="178"/>
      <c r="C679" s="180"/>
      <c r="D679" s="178"/>
    </row>
    <row r="680" spans="1:4" x14ac:dyDescent="0.35">
      <c r="A680" s="178"/>
      <c r="B680" s="178"/>
      <c r="C680" s="180"/>
      <c r="D680" s="178"/>
    </row>
    <row r="681" spans="1:4" x14ac:dyDescent="0.35">
      <c r="A681" s="178"/>
      <c r="B681" s="178"/>
      <c r="C681" s="180"/>
      <c r="D681" s="178"/>
    </row>
    <row r="682" spans="1:4" x14ac:dyDescent="0.35">
      <c r="A682" s="178"/>
      <c r="B682" s="178"/>
      <c r="C682" s="180"/>
      <c r="D682" s="178"/>
    </row>
    <row r="683" spans="1:4" x14ac:dyDescent="0.35">
      <c r="A683" s="178"/>
      <c r="B683" s="178"/>
      <c r="C683" s="180"/>
      <c r="D683" s="178"/>
    </row>
    <row r="684" spans="1:4" x14ac:dyDescent="0.35">
      <c r="A684" s="178"/>
      <c r="B684" s="178"/>
      <c r="C684" s="180"/>
      <c r="D684" s="178"/>
    </row>
    <row r="685" spans="1:4" x14ac:dyDescent="0.35">
      <c r="A685" s="178"/>
      <c r="B685" s="178"/>
      <c r="C685" s="180"/>
      <c r="D685" s="178"/>
    </row>
    <row r="686" spans="1:4" x14ac:dyDescent="0.35">
      <c r="A686" s="178"/>
      <c r="B686" s="178"/>
      <c r="C686" s="180"/>
      <c r="D686" s="178"/>
    </row>
    <row r="687" spans="1:4" x14ac:dyDescent="0.35">
      <c r="A687" s="178"/>
      <c r="B687" s="178"/>
      <c r="C687" s="180"/>
      <c r="D687" s="178"/>
    </row>
    <row r="688" spans="1:4" x14ac:dyDescent="0.35">
      <c r="A688" s="178"/>
      <c r="B688" s="178"/>
      <c r="C688" s="180"/>
      <c r="D688" s="178"/>
    </row>
    <row r="689" spans="1:6" x14ac:dyDescent="0.35">
      <c r="A689" s="178"/>
      <c r="B689" s="178"/>
      <c r="C689" s="180"/>
      <c r="D689" s="178"/>
    </row>
    <row r="690" spans="1:6" x14ac:dyDescent="0.35">
      <c r="A690" s="178"/>
      <c r="B690" s="178"/>
      <c r="C690" s="180"/>
      <c r="D690" s="178"/>
    </row>
    <row r="691" spans="1:6" x14ac:dyDescent="0.35">
      <c r="A691" s="178"/>
      <c r="B691" s="178"/>
      <c r="C691" s="180"/>
      <c r="D691" s="178"/>
    </row>
    <row r="692" spans="1:6" x14ac:dyDescent="0.35">
      <c r="A692" s="178"/>
      <c r="B692" s="178"/>
      <c r="C692" s="180"/>
      <c r="D692" s="178"/>
    </row>
    <row r="693" spans="1:6" x14ac:dyDescent="0.35">
      <c r="A693" s="178"/>
      <c r="B693" s="178"/>
      <c r="C693" s="180"/>
      <c r="D693" s="178"/>
    </row>
    <row r="694" spans="1:6" x14ac:dyDescent="0.35">
      <c r="A694" s="178"/>
      <c r="B694" s="178"/>
      <c r="C694" s="180"/>
      <c r="D694" s="178"/>
    </row>
    <row r="695" spans="1:6" x14ac:dyDescent="0.35">
      <c r="A695" s="178"/>
      <c r="B695" s="178"/>
      <c r="C695" s="180"/>
      <c r="D695" s="178"/>
    </row>
    <row r="696" spans="1:6" x14ac:dyDescent="0.35">
      <c r="A696" s="178"/>
      <c r="B696" s="178"/>
      <c r="C696" s="180"/>
      <c r="D696" s="178"/>
    </row>
    <row r="697" spans="1:6" x14ac:dyDescent="0.35">
      <c r="A697" s="178"/>
      <c r="B697" s="178"/>
      <c r="C697" s="180"/>
      <c r="D697" s="178"/>
    </row>
    <row r="698" spans="1:6" x14ac:dyDescent="0.35">
      <c r="A698" s="178"/>
      <c r="B698" s="178"/>
      <c r="C698" s="180"/>
      <c r="D698" s="178"/>
      <c r="F698" s="178"/>
    </row>
    <row r="699" spans="1:6" x14ac:dyDescent="0.35">
      <c r="A699" s="178"/>
      <c r="B699" s="178"/>
      <c r="C699" s="180"/>
      <c r="D699" s="178"/>
    </row>
    <row r="700" spans="1:6" x14ac:dyDescent="0.35">
      <c r="A700" s="178"/>
      <c r="B700" s="178"/>
      <c r="C700" s="180"/>
      <c r="D700" s="178"/>
    </row>
    <row r="701" spans="1:6" x14ac:dyDescent="0.35">
      <c r="A701" s="178"/>
      <c r="B701" s="178"/>
      <c r="C701" s="180"/>
      <c r="D701" s="178"/>
    </row>
    <row r="702" spans="1:6" x14ac:dyDescent="0.35">
      <c r="A702" s="178"/>
      <c r="B702" s="178"/>
      <c r="C702" s="180"/>
      <c r="D702" s="178"/>
    </row>
    <row r="703" spans="1:6" x14ac:dyDescent="0.35">
      <c r="A703" s="178"/>
      <c r="B703" s="178"/>
      <c r="C703" s="180"/>
      <c r="D703" s="178"/>
    </row>
    <row r="704" spans="1:6" x14ac:dyDescent="0.35">
      <c r="A704" s="178"/>
      <c r="B704" s="178"/>
      <c r="C704" s="180"/>
      <c r="D704" s="178"/>
    </row>
    <row r="705" spans="1:4" x14ac:dyDescent="0.35">
      <c r="A705" s="178"/>
      <c r="B705" s="178"/>
      <c r="C705" s="180"/>
      <c r="D705" s="178"/>
    </row>
    <row r="706" spans="1:4" x14ac:dyDescent="0.35">
      <c r="A706" s="178"/>
      <c r="B706" s="178"/>
      <c r="C706" s="180"/>
      <c r="D706" s="178"/>
    </row>
    <row r="707" spans="1:4" x14ac:dyDescent="0.35">
      <c r="A707" s="178"/>
      <c r="B707" s="178"/>
      <c r="C707" s="180"/>
      <c r="D707" s="178"/>
    </row>
    <row r="708" spans="1:4" x14ac:dyDescent="0.35">
      <c r="A708" s="178"/>
      <c r="B708" s="178"/>
      <c r="C708" s="180"/>
      <c r="D708" s="178"/>
    </row>
    <row r="709" spans="1:4" x14ac:dyDescent="0.35">
      <c r="A709" s="178"/>
      <c r="B709" s="178"/>
      <c r="C709" s="180"/>
      <c r="D709" s="178"/>
    </row>
    <row r="710" spans="1:4" x14ac:dyDescent="0.35">
      <c r="A710" s="178"/>
      <c r="B710" s="178"/>
      <c r="C710" s="180"/>
      <c r="D710" s="178"/>
    </row>
    <row r="711" spans="1:4" x14ac:dyDescent="0.35">
      <c r="A711" s="178"/>
      <c r="B711" s="178"/>
      <c r="C711" s="180"/>
      <c r="D711" s="178"/>
    </row>
    <row r="712" spans="1:4" x14ac:dyDescent="0.35">
      <c r="A712" s="178"/>
      <c r="B712" s="178"/>
      <c r="C712" s="180"/>
      <c r="D712" s="178"/>
    </row>
    <row r="713" spans="1:4" x14ac:dyDescent="0.35">
      <c r="A713" s="178"/>
      <c r="B713" s="178"/>
      <c r="C713" s="180"/>
      <c r="D713" s="178"/>
    </row>
    <row r="714" spans="1:4" x14ac:dyDescent="0.35">
      <c r="A714" s="178"/>
      <c r="B714" s="178"/>
      <c r="C714" s="180"/>
      <c r="D714" s="178"/>
    </row>
    <row r="715" spans="1:4" x14ac:dyDescent="0.35">
      <c r="A715" s="178"/>
      <c r="B715" s="178"/>
      <c r="C715" s="180"/>
      <c r="D715" s="178"/>
    </row>
    <row r="716" spans="1:4" x14ac:dyDescent="0.35">
      <c r="A716" s="178"/>
      <c r="B716" s="178"/>
      <c r="C716" s="180"/>
      <c r="D716" s="178"/>
    </row>
    <row r="717" spans="1:4" x14ac:dyDescent="0.35">
      <c r="A717" s="178"/>
      <c r="B717" s="178"/>
      <c r="C717" s="180"/>
      <c r="D717" s="178"/>
    </row>
    <row r="718" spans="1:4" x14ac:dyDescent="0.35">
      <c r="A718" s="178"/>
      <c r="B718" s="178"/>
      <c r="C718" s="180"/>
      <c r="D718" s="178"/>
    </row>
    <row r="719" spans="1:4" x14ac:dyDescent="0.35">
      <c r="A719" s="178"/>
      <c r="B719" s="178"/>
      <c r="C719" s="180"/>
      <c r="D719" s="178"/>
    </row>
    <row r="720" spans="1:4" x14ac:dyDescent="0.35">
      <c r="A720" s="178"/>
      <c r="B720" s="178"/>
      <c r="C720" s="180"/>
      <c r="D720" s="178"/>
    </row>
    <row r="721" spans="1:4" x14ac:dyDescent="0.35">
      <c r="A721" s="178"/>
      <c r="B721" s="178"/>
      <c r="C721" s="180"/>
      <c r="D721" s="178"/>
    </row>
    <row r="722" spans="1:4" x14ac:dyDescent="0.35">
      <c r="A722" s="178"/>
      <c r="B722" s="178"/>
      <c r="C722" s="180"/>
      <c r="D722" s="178"/>
    </row>
    <row r="723" spans="1:4" x14ac:dyDescent="0.35">
      <c r="A723" s="178"/>
      <c r="B723" s="178"/>
      <c r="C723" s="180"/>
      <c r="D723" s="178"/>
    </row>
    <row r="724" spans="1:4" x14ac:dyDescent="0.35">
      <c r="A724" s="178"/>
      <c r="B724" s="178"/>
      <c r="C724" s="180"/>
      <c r="D724" s="178"/>
    </row>
    <row r="725" spans="1:4" x14ac:dyDescent="0.35">
      <c r="A725" s="178"/>
      <c r="B725" s="178"/>
      <c r="C725" s="180"/>
      <c r="D725" s="178"/>
    </row>
    <row r="726" spans="1:4" x14ac:dyDescent="0.35">
      <c r="A726" s="178"/>
      <c r="B726" s="178"/>
      <c r="C726" s="180"/>
      <c r="D726" s="178"/>
    </row>
    <row r="727" spans="1:4" x14ac:dyDescent="0.35">
      <c r="A727" s="178"/>
      <c r="B727" s="178"/>
      <c r="C727" s="180"/>
      <c r="D727" s="178"/>
    </row>
    <row r="728" spans="1:4" x14ac:dyDescent="0.35">
      <c r="A728" s="178"/>
      <c r="B728" s="178"/>
      <c r="C728" s="180"/>
      <c r="D728" s="178"/>
    </row>
    <row r="729" spans="1:4" x14ac:dyDescent="0.35">
      <c r="A729" s="178"/>
      <c r="B729" s="178"/>
      <c r="C729" s="180"/>
      <c r="D729" s="178"/>
    </row>
    <row r="730" spans="1:4" x14ac:dyDescent="0.35">
      <c r="A730" s="178"/>
      <c r="B730" s="178"/>
      <c r="C730" s="180"/>
      <c r="D730" s="178"/>
    </row>
    <row r="731" spans="1:4" x14ac:dyDescent="0.35">
      <c r="A731" s="178"/>
      <c r="B731" s="178"/>
      <c r="C731" s="180"/>
      <c r="D731" s="178"/>
    </row>
    <row r="732" spans="1:4" x14ac:dyDescent="0.35">
      <c r="A732" s="178"/>
      <c r="B732" s="178"/>
      <c r="C732" s="180"/>
      <c r="D732" s="178"/>
    </row>
    <row r="733" spans="1:4" x14ac:dyDescent="0.35">
      <c r="A733" s="178"/>
      <c r="B733" s="178"/>
      <c r="C733" s="180"/>
      <c r="D733" s="178"/>
    </row>
    <row r="734" spans="1:4" x14ac:dyDescent="0.35">
      <c r="A734" s="178"/>
      <c r="B734" s="178"/>
      <c r="C734" s="180"/>
      <c r="D734" s="178"/>
    </row>
    <row r="735" spans="1:4" x14ac:dyDescent="0.35">
      <c r="A735" s="178"/>
      <c r="B735" s="178"/>
      <c r="C735" s="180"/>
      <c r="D735" s="178"/>
    </row>
    <row r="736" spans="1:4" x14ac:dyDescent="0.35">
      <c r="A736" s="178"/>
      <c r="B736" s="178"/>
      <c r="C736" s="180"/>
      <c r="D736" s="178"/>
    </row>
    <row r="737" spans="1:4" x14ac:dyDescent="0.35">
      <c r="A737" s="178"/>
      <c r="B737" s="178"/>
      <c r="C737" s="180"/>
      <c r="D737" s="178"/>
    </row>
    <row r="738" spans="1:4" x14ac:dyDescent="0.35">
      <c r="A738" s="178"/>
      <c r="B738" s="178"/>
      <c r="C738" s="180"/>
      <c r="D738" s="178"/>
    </row>
    <row r="739" spans="1:4" x14ac:dyDescent="0.35">
      <c r="A739" s="178"/>
      <c r="B739" s="178"/>
      <c r="C739" s="180"/>
      <c r="D739" s="178"/>
    </row>
    <row r="740" spans="1:4" x14ac:dyDescent="0.35">
      <c r="A740" s="178"/>
      <c r="B740" s="178"/>
      <c r="C740" s="180"/>
      <c r="D740" s="178"/>
    </row>
    <row r="741" spans="1:4" x14ac:dyDescent="0.35">
      <c r="A741" s="178"/>
      <c r="B741" s="178"/>
      <c r="C741" s="180"/>
      <c r="D741" s="178"/>
    </row>
    <row r="742" spans="1:4" x14ac:dyDescent="0.35">
      <c r="A742" s="178"/>
      <c r="B742" s="178"/>
      <c r="C742" s="180"/>
      <c r="D742" s="178"/>
    </row>
    <row r="743" spans="1:4" x14ac:dyDescent="0.35">
      <c r="A743" s="178"/>
      <c r="B743" s="178"/>
      <c r="C743" s="180"/>
      <c r="D743" s="178"/>
    </row>
    <row r="744" spans="1:4" x14ac:dyDescent="0.35">
      <c r="A744" s="178"/>
      <c r="B744" s="178"/>
      <c r="C744" s="180"/>
      <c r="D744" s="178"/>
    </row>
    <row r="745" spans="1:4" x14ac:dyDescent="0.35">
      <c r="A745" s="178"/>
      <c r="B745" s="178"/>
      <c r="C745" s="180"/>
      <c r="D745" s="178"/>
    </row>
    <row r="746" spans="1:4" x14ac:dyDescent="0.35">
      <c r="A746" s="178"/>
      <c r="B746" s="178"/>
      <c r="C746" s="180"/>
      <c r="D746" s="178"/>
    </row>
    <row r="747" spans="1:4" x14ac:dyDescent="0.35">
      <c r="A747" s="178"/>
      <c r="B747" s="178"/>
      <c r="C747" s="180"/>
      <c r="D747" s="178"/>
    </row>
    <row r="748" spans="1:4" x14ac:dyDescent="0.35">
      <c r="A748" s="178"/>
      <c r="B748" s="178"/>
      <c r="C748" s="180"/>
      <c r="D748" s="178"/>
    </row>
    <row r="749" spans="1:4" x14ac:dyDescent="0.35">
      <c r="A749" s="178"/>
      <c r="B749" s="178"/>
      <c r="C749" s="180"/>
      <c r="D749" s="178"/>
    </row>
    <row r="750" spans="1:4" x14ac:dyDescent="0.35">
      <c r="A750" s="178"/>
      <c r="B750" s="178"/>
      <c r="C750" s="180"/>
      <c r="D750" s="178"/>
    </row>
    <row r="751" spans="1:4" x14ac:dyDescent="0.35">
      <c r="A751" s="178"/>
      <c r="B751" s="178"/>
      <c r="C751" s="180"/>
      <c r="D751" s="178"/>
    </row>
    <row r="752" spans="1:4" x14ac:dyDescent="0.35">
      <c r="A752" s="178"/>
      <c r="B752" s="178"/>
      <c r="C752" s="180"/>
      <c r="D752" s="178"/>
    </row>
    <row r="753" spans="1:4" x14ac:dyDescent="0.35">
      <c r="A753" s="178"/>
      <c r="B753" s="178"/>
      <c r="C753" s="180"/>
      <c r="D753" s="178"/>
    </row>
    <row r="754" spans="1:4" x14ac:dyDescent="0.35">
      <c r="A754" s="178"/>
      <c r="B754" s="178"/>
      <c r="C754" s="180"/>
      <c r="D754" s="178"/>
    </row>
    <row r="755" spans="1:4" x14ac:dyDescent="0.35">
      <c r="A755" s="178"/>
      <c r="B755" s="178"/>
      <c r="C755" s="180"/>
      <c r="D755" s="178"/>
    </row>
    <row r="756" spans="1:4" x14ac:dyDescent="0.35">
      <c r="A756" s="178"/>
      <c r="B756" s="178"/>
      <c r="C756" s="180"/>
      <c r="D756" s="178"/>
    </row>
    <row r="757" spans="1:4" x14ac:dyDescent="0.35">
      <c r="A757" s="178"/>
      <c r="B757" s="178"/>
      <c r="C757" s="180"/>
      <c r="D757" s="178"/>
    </row>
    <row r="758" spans="1:4" x14ac:dyDescent="0.35">
      <c r="A758" s="178"/>
      <c r="B758" s="178"/>
      <c r="C758" s="180"/>
      <c r="D758" s="178"/>
    </row>
    <row r="759" spans="1:4" x14ac:dyDescent="0.35">
      <c r="A759" s="178"/>
      <c r="B759" s="178"/>
      <c r="C759" s="180"/>
      <c r="D759" s="178"/>
    </row>
    <row r="760" spans="1:4" x14ac:dyDescent="0.35">
      <c r="A760" s="178"/>
      <c r="B760" s="178"/>
      <c r="C760" s="180"/>
      <c r="D760" s="178"/>
    </row>
    <row r="761" spans="1:4" x14ac:dyDescent="0.35">
      <c r="A761" s="178"/>
      <c r="B761" s="178"/>
      <c r="C761" s="180"/>
      <c r="D761" s="178"/>
    </row>
    <row r="762" spans="1:4" x14ac:dyDescent="0.35">
      <c r="A762" s="178"/>
      <c r="B762" s="178"/>
      <c r="C762" s="180"/>
      <c r="D762" s="178"/>
    </row>
    <row r="763" spans="1:4" x14ac:dyDescent="0.35">
      <c r="A763" s="178"/>
      <c r="B763" s="178"/>
      <c r="C763" s="180"/>
      <c r="D763" s="178"/>
    </row>
    <row r="764" spans="1:4" x14ac:dyDescent="0.35">
      <c r="A764" s="178"/>
      <c r="B764" s="178"/>
      <c r="C764" s="180"/>
      <c r="D764" s="178"/>
    </row>
    <row r="765" spans="1:4" x14ac:dyDescent="0.35">
      <c r="A765" s="178"/>
      <c r="B765" s="178"/>
      <c r="C765" s="180"/>
      <c r="D765" s="178"/>
    </row>
    <row r="766" spans="1:4" x14ac:dyDescent="0.35">
      <c r="A766" s="178"/>
      <c r="B766" s="178"/>
      <c r="C766" s="180"/>
      <c r="D766" s="178"/>
    </row>
    <row r="767" spans="1:4" x14ac:dyDescent="0.35">
      <c r="A767" s="178"/>
      <c r="B767" s="178"/>
      <c r="C767" s="180"/>
      <c r="D767" s="178"/>
    </row>
    <row r="768" spans="1:4" x14ac:dyDescent="0.35">
      <c r="A768" s="178"/>
      <c r="B768" s="178"/>
      <c r="C768" s="180"/>
      <c r="D768" s="178"/>
    </row>
    <row r="769" spans="1:4" x14ac:dyDescent="0.35">
      <c r="A769" s="178"/>
      <c r="B769" s="178"/>
      <c r="C769" s="180"/>
      <c r="D769" s="178"/>
    </row>
    <row r="770" spans="1:4" x14ac:dyDescent="0.35">
      <c r="A770" s="178"/>
      <c r="B770" s="178"/>
      <c r="C770" s="180"/>
      <c r="D770" s="178"/>
    </row>
    <row r="771" spans="1:4" x14ac:dyDescent="0.35">
      <c r="A771" s="178"/>
      <c r="B771" s="178"/>
      <c r="C771" s="180"/>
      <c r="D771" s="178"/>
    </row>
    <row r="772" spans="1:4" x14ac:dyDescent="0.35">
      <c r="A772" s="178"/>
      <c r="B772" s="178"/>
      <c r="C772" s="180"/>
      <c r="D772" s="178"/>
    </row>
    <row r="773" spans="1:4" x14ac:dyDescent="0.35">
      <c r="A773" s="178"/>
      <c r="B773" s="178"/>
      <c r="C773" s="180"/>
      <c r="D773" s="178"/>
    </row>
    <row r="774" spans="1:4" x14ac:dyDescent="0.35">
      <c r="A774" s="178"/>
      <c r="B774" s="178"/>
      <c r="C774" s="180"/>
      <c r="D774" s="178"/>
    </row>
    <row r="775" spans="1:4" x14ac:dyDescent="0.35">
      <c r="A775" s="178"/>
      <c r="B775" s="178"/>
      <c r="C775" s="180"/>
      <c r="D775" s="178"/>
    </row>
    <row r="776" spans="1:4" x14ac:dyDescent="0.35">
      <c r="A776" s="178"/>
      <c r="B776" s="178"/>
      <c r="C776" s="180"/>
      <c r="D776" s="178"/>
    </row>
    <row r="777" spans="1:4" x14ac:dyDescent="0.35">
      <c r="A777" s="178"/>
      <c r="B777" s="178"/>
      <c r="C777" s="180"/>
      <c r="D777" s="178"/>
    </row>
    <row r="778" spans="1:4" x14ac:dyDescent="0.35">
      <c r="A778" s="178"/>
      <c r="B778" s="178"/>
      <c r="C778" s="180"/>
      <c r="D778" s="178"/>
    </row>
    <row r="779" spans="1:4" x14ac:dyDescent="0.35">
      <c r="A779" s="178"/>
      <c r="B779" s="178"/>
      <c r="C779" s="180"/>
      <c r="D779" s="178"/>
    </row>
    <row r="780" spans="1:4" x14ac:dyDescent="0.35">
      <c r="A780" s="178"/>
      <c r="B780" s="178"/>
      <c r="C780" s="180"/>
      <c r="D780" s="178"/>
    </row>
    <row r="781" spans="1:4" x14ac:dyDescent="0.35">
      <c r="A781" s="178"/>
      <c r="B781" s="178"/>
      <c r="C781" s="180"/>
      <c r="D781" s="178"/>
    </row>
    <row r="782" spans="1:4" x14ac:dyDescent="0.35">
      <c r="A782" s="178"/>
      <c r="B782" s="178"/>
      <c r="C782" s="180"/>
      <c r="D782" s="178"/>
    </row>
    <row r="783" spans="1:4" x14ac:dyDescent="0.35">
      <c r="A783" s="178"/>
      <c r="B783" s="178"/>
      <c r="C783" s="180"/>
      <c r="D783" s="178"/>
    </row>
    <row r="784" spans="1:4" x14ac:dyDescent="0.35">
      <c r="A784" s="178"/>
      <c r="B784" s="178"/>
      <c r="C784" s="180"/>
      <c r="D784" s="178"/>
    </row>
    <row r="785" spans="1:4" x14ac:dyDescent="0.35">
      <c r="A785" s="178"/>
      <c r="B785" s="178"/>
      <c r="C785" s="180"/>
      <c r="D785" s="178"/>
    </row>
    <row r="786" spans="1:4" x14ac:dyDescent="0.35">
      <c r="A786" s="178"/>
      <c r="B786" s="178"/>
      <c r="C786" s="180"/>
      <c r="D786" s="178"/>
    </row>
    <row r="787" spans="1:4" x14ac:dyDescent="0.35">
      <c r="A787" s="178"/>
      <c r="B787" s="178"/>
      <c r="C787" s="180"/>
      <c r="D787" s="178"/>
    </row>
    <row r="788" spans="1:4" x14ac:dyDescent="0.35">
      <c r="A788" s="178"/>
      <c r="B788" s="178"/>
      <c r="C788" s="180"/>
      <c r="D788" s="178"/>
    </row>
    <row r="789" spans="1:4" x14ac:dyDescent="0.35">
      <c r="A789" s="178"/>
      <c r="B789" s="178"/>
      <c r="C789" s="180"/>
      <c r="D789" s="178"/>
    </row>
    <row r="790" spans="1:4" x14ac:dyDescent="0.35">
      <c r="A790" s="178"/>
      <c r="B790" s="178"/>
      <c r="C790" s="180"/>
      <c r="D790" s="178"/>
    </row>
    <row r="791" spans="1:4" x14ac:dyDescent="0.35">
      <c r="A791" s="178"/>
      <c r="B791" s="178"/>
      <c r="C791" s="180"/>
      <c r="D791" s="178"/>
    </row>
    <row r="792" spans="1:4" x14ac:dyDescent="0.35">
      <c r="A792" s="178"/>
      <c r="B792" s="178"/>
      <c r="C792" s="180"/>
      <c r="D792" s="178"/>
    </row>
    <row r="793" spans="1:4" x14ac:dyDescent="0.35">
      <c r="A793" s="178"/>
      <c r="B793" s="178"/>
      <c r="C793" s="180"/>
      <c r="D793" s="178"/>
    </row>
    <row r="794" spans="1:4" x14ac:dyDescent="0.35">
      <c r="A794" s="178"/>
      <c r="B794" s="178"/>
      <c r="C794" s="180"/>
      <c r="D794" s="178"/>
    </row>
    <row r="795" spans="1:4" x14ac:dyDescent="0.35">
      <c r="A795" s="178"/>
      <c r="B795" s="178"/>
      <c r="C795" s="180"/>
      <c r="D795" s="178"/>
    </row>
    <row r="796" spans="1:4" x14ac:dyDescent="0.35">
      <c r="A796" s="178"/>
      <c r="B796" s="178"/>
      <c r="C796" s="180"/>
      <c r="D796" s="178"/>
    </row>
    <row r="797" spans="1:4" x14ac:dyDescent="0.35">
      <c r="A797" s="178"/>
      <c r="B797" s="178"/>
      <c r="C797" s="180"/>
      <c r="D797" s="178"/>
    </row>
    <row r="798" spans="1:4" x14ac:dyDescent="0.35">
      <c r="A798" s="178"/>
      <c r="B798" s="178"/>
      <c r="C798" s="180"/>
      <c r="D798" s="178"/>
    </row>
    <row r="799" spans="1:4" x14ac:dyDescent="0.35">
      <c r="A799" s="178"/>
      <c r="B799" s="178"/>
      <c r="C799" s="180"/>
      <c r="D799" s="178"/>
    </row>
    <row r="800" spans="1:4" x14ac:dyDescent="0.35">
      <c r="A800" s="178"/>
      <c r="B800" s="178"/>
      <c r="C800" s="180"/>
      <c r="D800" s="178"/>
    </row>
    <row r="801" spans="1:4" x14ac:dyDescent="0.35">
      <c r="A801" s="178"/>
      <c r="B801" s="178"/>
      <c r="C801" s="180"/>
      <c r="D801" s="178"/>
    </row>
    <row r="802" spans="1:4" x14ac:dyDescent="0.35">
      <c r="A802" s="178"/>
      <c r="B802" s="178"/>
      <c r="C802" s="180"/>
      <c r="D802" s="178"/>
    </row>
    <row r="803" spans="1:4" x14ac:dyDescent="0.35">
      <c r="A803" s="178"/>
      <c r="B803" s="178"/>
      <c r="C803" s="180"/>
      <c r="D803" s="178"/>
    </row>
    <row r="804" spans="1:4" x14ac:dyDescent="0.35">
      <c r="A804" s="178"/>
      <c r="B804" s="178"/>
      <c r="C804" s="180"/>
      <c r="D804" s="178"/>
    </row>
    <row r="805" spans="1:4" x14ac:dyDescent="0.35">
      <c r="A805" s="178"/>
      <c r="B805" s="178"/>
      <c r="C805" s="180"/>
      <c r="D805" s="178"/>
    </row>
    <row r="806" spans="1:4" x14ac:dyDescent="0.35">
      <c r="A806" s="178"/>
      <c r="B806" s="178"/>
      <c r="C806" s="180"/>
      <c r="D806" s="178"/>
    </row>
    <row r="807" spans="1:4" x14ac:dyDescent="0.35">
      <c r="A807" s="178"/>
      <c r="B807" s="178"/>
      <c r="C807" s="180"/>
      <c r="D807" s="178"/>
    </row>
    <row r="808" spans="1:4" x14ac:dyDescent="0.35">
      <c r="A808" s="178"/>
      <c r="B808" s="178"/>
      <c r="C808" s="180"/>
      <c r="D808" s="178"/>
    </row>
    <row r="809" spans="1:4" x14ac:dyDescent="0.35">
      <c r="A809" s="178"/>
      <c r="B809" s="178"/>
      <c r="C809" s="180"/>
      <c r="D809" s="178"/>
    </row>
    <row r="810" spans="1:4" x14ac:dyDescent="0.35">
      <c r="A810" s="178"/>
      <c r="B810" s="178"/>
      <c r="C810" s="180"/>
      <c r="D810" s="178"/>
    </row>
    <row r="811" spans="1:4" x14ac:dyDescent="0.35">
      <c r="A811" s="178"/>
      <c r="B811" s="178"/>
      <c r="C811" s="180"/>
      <c r="D811" s="178"/>
    </row>
    <row r="812" spans="1:4" x14ac:dyDescent="0.35">
      <c r="A812" s="178"/>
      <c r="B812" s="178"/>
      <c r="C812" s="180"/>
      <c r="D812" s="178"/>
    </row>
    <row r="813" spans="1:4" x14ac:dyDescent="0.35">
      <c r="A813" s="178"/>
      <c r="B813" s="178"/>
      <c r="C813" s="180"/>
      <c r="D813" s="178"/>
    </row>
    <row r="814" spans="1:4" x14ac:dyDescent="0.35">
      <c r="A814" s="178"/>
      <c r="B814" s="178"/>
      <c r="C814" s="180"/>
      <c r="D814" s="178"/>
    </row>
    <row r="815" spans="1:4" x14ac:dyDescent="0.35">
      <c r="A815" s="178"/>
      <c r="B815" s="178"/>
      <c r="C815" s="180"/>
      <c r="D815" s="178"/>
    </row>
    <row r="816" spans="1:4" x14ac:dyDescent="0.35">
      <c r="A816" s="178"/>
      <c r="B816" s="178"/>
      <c r="C816" s="180"/>
      <c r="D816" s="178"/>
    </row>
    <row r="817" spans="1:4" x14ac:dyDescent="0.35">
      <c r="A817" s="178"/>
      <c r="B817" s="178"/>
      <c r="C817" s="180"/>
      <c r="D817" s="178"/>
    </row>
    <row r="818" spans="1:4" x14ac:dyDescent="0.35">
      <c r="A818" s="178"/>
      <c r="B818" s="178"/>
      <c r="C818" s="180"/>
      <c r="D818" s="178"/>
    </row>
    <row r="819" spans="1:4" x14ac:dyDescent="0.35">
      <c r="A819" s="178"/>
      <c r="B819" s="178"/>
      <c r="C819" s="180"/>
      <c r="D819" s="178"/>
    </row>
    <row r="820" spans="1:4" x14ac:dyDescent="0.35">
      <c r="A820" s="178"/>
      <c r="B820" s="178"/>
      <c r="C820" s="180"/>
      <c r="D820" s="178"/>
    </row>
    <row r="821" spans="1:4" x14ac:dyDescent="0.35">
      <c r="A821" s="178"/>
      <c r="B821" s="178"/>
      <c r="C821" s="180"/>
      <c r="D821" s="178"/>
    </row>
    <row r="822" spans="1:4" x14ac:dyDescent="0.35">
      <c r="A822" s="178"/>
      <c r="B822" s="178"/>
      <c r="C822" s="180"/>
      <c r="D822" s="178"/>
    </row>
    <row r="823" spans="1:4" x14ac:dyDescent="0.35">
      <c r="A823" s="178"/>
      <c r="B823" s="178"/>
      <c r="C823" s="180"/>
      <c r="D823" s="178"/>
    </row>
    <row r="824" spans="1:4" x14ac:dyDescent="0.35">
      <c r="A824" s="178"/>
      <c r="B824" s="178"/>
      <c r="C824" s="180"/>
      <c r="D824" s="178"/>
    </row>
    <row r="825" spans="1:4" x14ac:dyDescent="0.35">
      <c r="A825" s="178"/>
      <c r="B825" s="178"/>
      <c r="C825" s="180"/>
      <c r="D825" s="178"/>
    </row>
    <row r="826" spans="1:4" x14ac:dyDescent="0.35">
      <c r="A826" s="178"/>
      <c r="B826" s="178"/>
      <c r="C826" s="180"/>
      <c r="D826" s="178"/>
    </row>
    <row r="827" spans="1:4" x14ac:dyDescent="0.35">
      <c r="A827" s="178"/>
      <c r="B827" s="178"/>
      <c r="C827" s="180"/>
      <c r="D827" s="178"/>
    </row>
    <row r="828" spans="1:4" x14ac:dyDescent="0.35">
      <c r="A828" s="178"/>
      <c r="B828" s="178"/>
      <c r="C828" s="180"/>
      <c r="D828" s="178"/>
    </row>
    <row r="829" spans="1:4" x14ac:dyDescent="0.35">
      <c r="A829" s="178"/>
      <c r="B829" s="178"/>
      <c r="C829" s="180"/>
      <c r="D829" s="178"/>
    </row>
    <row r="830" spans="1:4" x14ac:dyDescent="0.35">
      <c r="A830" s="178"/>
      <c r="B830" s="178"/>
      <c r="C830" s="180"/>
      <c r="D830" s="178"/>
    </row>
    <row r="831" spans="1:4" x14ac:dyDescent="0.35">
      <c r="A831" s="178"/>
      <c r="B831" s="178"/>
      <c r="C831" s="180"/>
      <c r="D831" s="178"/>
    </row>
    <row r="832" spans="1:4" x14ac:dyDescent="0.35">
      <c r="A832" s="178"/>
      <c r="B832" s="178"/>
      <c r="C832" s="180"/>
      <c r="D832" s="178"/>
    </row>
    <row r="833" spans="1:4" x14ac:dyDescent="0.35">
      <c r="A833" s="178"/>
      <c r="B833" s="178"/>
      <c r="C833" s="180"/>
      <c r="D833" s="178"/>
    </row>
    <row r="834" spans="1:4" x14ac:dyDescent="0.35">
      <c r="A834" s="178"/>
      <c r="B834" s="178"/>
      <c r="C834" s="180"/>
      <c r="D834" s="178"/>
    </row>
    <row r="835" spans="1:4" x14ac:dyDescent="0.35">
      <c r="A835" s="178"/>
      <c r="B835" s="178"/>
      <c r="C835" s="180"/>
      <c r="D835" s="178"/>
    </row>
    <row r="836" spans="1:4" x14ac:dyDescent="0.35">
      <c r="A836" s="178"/>
      <c r="B836" s="178"/>
      <c r="C836" s="180"/>
      <c r="D836" s="178"/>
    </row>
    <row r="837" spans="1:4" x14ac:dyDescent="0.35">
      <c r="A837" s="178"/>
      <c r="B837" s="178"/>
      <c r="C837" s="180"/>
      <c r="D837" s="178"/>
    </row>
    <row r="838" spans="1:4" x14ac:dyDescent="0.35">
      <c r="A838" s="178"/>
      <c r="B838" s="178"/>
      <c r="C838" s="180"/>
      <c r="D838" s="178"/>
    </row>
    <row r="839" spans="1:4" x14ac:dyDescent="0.35">
      <c r="A839" s="178"/>
      <c r="B839" s="178"/>
      <c r="C839" s="180"/>
      <c r="D839" s="178"/>
    </row>
    <row r="840" spans="1:4" x14ac:dyDescent="0.35">
      <c r="A840" s="178"/>
      <c r="B840" s="178"/>
      <c r="C840" s="180"/>
      <c r="D840" s="178"/>
    </row>
    <row r="841" spans="1:4" x14ac:dyDescent="0.35">
      <c r="A841" s="178"/>
      <c r="B841" s="178"/>
      <c r="C841" s="180"/>
      <c r="D841" s="178"/>
    </row>
    <row r="842" spans="1:4" x14ac:dyDescent="0.35">
      <c r="A842" s="178"/>
      <c r="B842" s="178"/>
      <c r="C842" s="180"/>
      <c r="D842" s="178"/>
    </row>
    <row r="843" spans="1:4" x14ac:dyDescent="0.35">
      <c r="A843" s="178"/>
      <c r="B843" s="178"/>
      <c r="C843" s="180"/>
      <c r="D843" s="178"/>
    </row>
    <row r="844" spans="1:4" x14ac:dyDescent="0.35">
      <c r="A844" s="178"/>
      <c r="B844" s="178"/>
      <c r="C844" s="180"/>
      <c r="D844" s="178"/>
    </row>
    <row r="845" spans="1:4" x14ac:dyDescent="0.35">
      <c r="A845" s="178"/>
      <c r="B845" s="178"/>
      <c r="C845" s="180"/>
      <c r="D845" s="178"/>
    </row>
    <row r="846" spans="1:4" x14ac:dyDescent="0.35">
      <c r="A846" s="178"/>
      <c r="B846" s="178"/>
      <c r="C846" s="180"/>
      <c r="D846" s="178"/>
    </row>
    <row r="847" spans="1:4" x14ac:dyDescent="0.35">
      <c r="A847" s="178"/>
      <c r="B847" s="178"/>
      <c r="C847" s="180"/>
      <c r="D847" s="178"/>
    </row>
    <row r="848" spans="1:4" x14ac:dyDescent="0.35">
      <c r="A848" s="178"/>
      <c r="B848" s="178"/>
      <c r="C848" s="180"/>
      <c r="D848" s="178"/>
    </row>
    <row r="849" spans="1:4" x14ac:dyDescent="0.35">
      <c r="A849" s="178"/>
      <c r="B849" s="178"/>
      <c r="C849" s="180"/>
      <c r="D849" s="178"/>
    </row>
    <row r="850" spans="1:4" x14ac:dyDescent="0.35">
      <c r="A850" s="178"/>
      <c r="B850" s="178"/>
      <c r="C850" s="180"/>
      <c r="D850" s="178"/>
    </row>
    <row r="851" spans="1:4" x14ac:dyDescent="0.35">
      <c r="A851" s="178"/>
      <c r="B851" s="178"/>
      <c r="C851" s="180"/>
      <c r="D851" s="178"/>
    </row>
    <row r="852" spans="1:4" x14ac:dyDescent="0.35">
      <c r="A852" s="178"/>
      <c r="B852" s="178"/>
      <c r="C852" s="180"/>
      <c r="D852" s="178"/>
    </row>
    <row r="853" spans="1:4" x14ac:dyDescent="0.35">
      <c r="A853" s="178"/>
      <c r="B853" s="178"/>
      <c r="C853" s="180"/>
      <c r="D853" s="178"/>
    </row>
    <row r="854" spans="1:4" x14ac:dyDescent="0.35">
      <c r="A854" s="178"/>
      <c r="B854" s="178"/>
      <c r="C854" s="180"/>
      <c r="D854" s="178"/>
    </row>
    <row r="855" spans="1:4" x14ac:dyDescent="0.35">
      <c r="A855" s="178"/>
      <c r="B855" s="178"/>
      <c r="C855" s="180"/>
      <c r="D855" s="178"/>
    </row>
    <row r="856" spans="1:4" x14ac:dyDescent="0.35">
      <c r="A856" s="178"/>
      <c r="B856" s="178"/>
      <c r="C856" s="180"/>
      <c r="D856" s="178"/>
    </row>
    <row r="857" spans="1:4" x14ac:dyDescent="0.35">
      <c r="A857" s="178"/>
      <c r="B857" s="178"/>
      <c r="C857" s="180"/>
      <c r="D857" s="178"/>
    </row>
    <row r="858" spans="1:4" x14ac:dyDescent="0.35">
      <c r="A858" s="178"/>
      <c r="B858" s="178"/>
      <c r="C858" s="180"/>
      <c r="D858" s="178"/>
    </row>
    <row r="859" spans="1:4" x14ac:dyDescent="0.35">
      <c r="A859" s="178"/>
      <c r="B859" s="178"/>
      <c r="C859" s="180"/>
      <c r="D859" s="178"/>
    </row>
    <row r="860" spans="1:4" x14ac:dyDescent="0.35">
      <c r="A860" s="178"/>
      <c r="B860" s="178"/>
      <c r="C860" s="180"/>
      <c r="D860" s="178"/>
    </row>
    <row r="861" spans="1:4" x14ac:dyDescent="0.35">
      <c r="A861" s="178"/>
      <c r="B861" s="178"/>
      <c r="C861" s="180"/>
      <c r="D861" s="178"/>
    </row>
    <row r="862" spans="1:4" x14ac:dyDescent="0.35">
      <c r="A862" s="178"/>
      <c r="B862" s="178"/>
      <c r="C862" s="180"/>
      <c r="D862" s="178"/>
    </row>
    <row r="863" spans="1:4" x14ac:dyDescent="0.35">
      <c r="A863" s="178"/>
      <c r="B863" s="178"/>
      <c r="C863" s="180"/>
      <c r="D863" s="178"/>
    </row>
    <row r="864" spans="1:4" x14ac:dyDescent="0.35">
      <c r="A864" s="178"/>
      <c r="B864" s="178"/>
      <c r="C864" s="180"/>
      <c r="D864" s="178"/>
    </row>
    <row r="865" spans="1:4" x14ac:dyDescent="0.35">
      <c r="A865" s="178"/>
      <c r="B865" s="178"/>
      <c r="C865" s="180"/>
      <c r="D865" s="178"/>
    </row>
    <row r="866" spans="1:4" x14ac:dyDescent="0.35">
      <c r="A866" s="178"/>
      <c r="B866" s="178"/>
      <c r="C866" s="180"/>
      <c r="D866" s="178"/>
    </row>
    <row r="867" spans="1:4" x14ac:dyDescent="0.35">
      <c r="A867" s="178"/>
      <c r="B867" s="178"/>
      <c r="C867" s="180"/>
      <c r="D867" s="178"/>
    </row>
    <row r="868" spans="1:4" x14ac:dyDescent="0.35">
      <c r="A868" s="178"/>
      <c r="B868" s="178"/>
      <c r="C868" s="180"/>
      <c r="D868" s="178"/>
    </row>
    <row r="869" spans="1:4" x14ac:dyDescent="0.35">
      <c r="A869" s="178"/>
      <c r="B869" s="178"/>
      <c r="C869" s="180"/>
      <c r="D869" s="178"/>
    </row>
    <row r="870" spans="1:4" x14ac:dyDescent="0.35">
      <c r="A870" s="178"/>
      <c r="B870" s="178"/>
      <c r="C870" s="180"/>
      <c r="D870" s="178"/>
    </row>
    <row r="871" spans="1:4" x14ac:dyDescent="0.35">
      <c r="A871" s="178"/>
      <c r="B871" s="178"/>
      <c r="C871" s="180"/>
      <c r="D871" s="178"/>
    </row>
    <row r="872" spans="1:4" x14ac:dyDescent="0.35">
      <c r="A872" s="178"/>
      <c r="B872" s="178"/>
      <c r="C872" s="180"/>
      <c r="D872" s="178"/>
    </row>
    <row r="873" spans="1:4" x14ac:dyDescent="0.35">
      <c r="A873" s="178"/>
      <c r="B873" s="178"/>
      <c r="C873" s="180"/>
      <c r="D873" s="178"/>
    </row>
    <row r="874" spans="1:4" x14ac:dyDescent="0.35">
      <c r="A874" s="178"/>
      <c r="B874" s="178"/>
      <c r="C874" s="180"/>
      <c r="D874" s="178"/>
    </row>
    <row r="875" spans="1:4" x14ac:dyDescent="0.35">
      <c r="A875" s="178"/>
      <c r="B875" s="178"/>
      <c r="C875" s="180"/>
      <c r="D875" s="178"/>
    </row>
    <row r="876" spans="1:4" x14ac:dyDescent="0.35">
      <c r="A876" s="178"/>
      <c r="B876" s="178"/>
      <c r="C876" s="180"/>
      <c r="D876" s="178"/>
    </row>
    <row r="877" spans="1:4" x14ac:dyDescent="0.35">
      <c r="A877" s="178"/>
      <c r="B877" s="178"/>
      <c r="C877" s="180"/>
      <c r="D877" s="178"/>
    </row>
    <row r="878" spans="1:4" x14ac:dyDescent="0.35">
      <c r="A878" s="178"/>
      <c r="B878" s="178"/>
      <c r="C878" s="180"/>
      <c r="D878" s="178"/>
    </row>
    <row r="879" spans="1:4" x14ac:dyDescent="0.35">
      <c r="A879" s="178"/>
      <c r="B879" s="178"/>
      <c r="C879" s="180"/>
      <c r="D879" s="178"/>
    </row>
    <row r="880" spans="1:4" x14ac:dyDescent="0.35">
      <c r="A880" s="178"/>
      <c r="B880" s="178"/>
      <c r="C880" s="180"/>
      <c r="D880" s="178"/>
    </row>
    <row r="881" spans="1:4" x14ac:dyDescent="0.35">
      <c r="A881" s="178"/>
      <c r="B881" s="178"/>
      <c r="C881" s="180"/>
      <c r="D881" s="178"/>
    </row>
    <row r="882" spans="1:4" x14ac:dyDescent="0.35">
      <c r="A882" s="178"/>
      <c r="B882" s="178"/>
      <c r="C882" s="180"/>
      <c r="D882" s="178"/>
    </row>
    <row r="883" spans="1:4" x14ac:dyDescent="0.35">
      <c r="A883" s="178"/>
      <c r="B883" s="178"/>
      <c r="C883" s="180"/>
      <c r="D883" s="178"/>
    </row>
    <row r="884" spans="1:4" x14ac:dyDescent="0.35">
      <c r="A884" s="178"/>
      <c r="B884" s="178"/>
      <c r="C884" s="180"/>
      <c r="D884" s="178"/>
    </row>
    <row r="885" spans="1:4" x14ac:dyDescent="0.35">
      <c r="A885" s="178"/>
      <c r="B885" s="178"/>
      <c r="C885" s="180"/>
      <c r="D885" s="178"/>
    </row>
    <row r="886" spans="1:4" x14ac:dyDescent="0.35">
      <c r="A886" s="178"/>
      <c r="B886" s="178"/>
      <c r="C886" s="180"/>
      <c r="D886" s="178"/>
    </row>
    <row r="887" spans="1:4" x14ac:dyDescent="0.35">
      <c r="A887" s="178"/>
      <c r="B887" s="178"/>
      <c r="C887" s="180"/>
      <c r="D887" s="178"/>
    </row>
    <row r="888" spans="1:4" x14ac:dyDescent="0.35">
      <c r="A888" s="178"/>
      <c r="B888" s="178"/>
      <c r="C888" s="180"/>
      <c r="D888" s="178"/>
    </row>
    <row r="889" spans="1:4" x14ac:dyDescent="0.35">
      <c r="A889" s="178"/>
      <c r="B889" s="178"/>
      <c r="C889" s="180"/>
      <c r="D889" s="178"/>
    </row>
    <row r="890" spans="1:4" x14ac:dyDescent="0.35">
      <c r="A890" s="178"/>
      <c r="B890" s="178"/>
      <c r="C890" s="180"/>
      <c r="D890" s="178"/>
    </row>
    <row r="891" spans="1:4" x14ac:dyDescent="0.35">
      <c r="A891" s="178"/>
      <c r="B891" s="178"/>
      <c r="C891" s="180"/>
      <c r="D891" s="178"/>
    </row>
    <row r="892" spans="1:4" x14ac:dyDescent="0.35">
      <c r="A892" s="178"/>
      <c r="B892" s="178"/>
      <c r="C892" s="180"/>
      <c r="D892" s="178"/>
    </row>
    <row r="893" spans="1:4" x14ac:dyDescent="0.35">
      <c r="A893" s="178"/>
      <c r="B893" s="178"/>
      <c r="C893" s="180"/>
      <c r="D893" s="178"/>
    </row>
    <row r="894" spans="1:4" x14ac:dyDescent="0.35">
      <c r="A894" s="178"/>
      <c r="B894" s="178"/>
      <c r="C894" s="180"/>
      <c r="D894" s="178"/>
    </row>
    <row r="895" spans="1:4" x14ac:dyDescent="0.35">
      <c r="A895" s="178"/>
      <c r="B895" s="178"/>
      <c r="C895" s="180"/>
      <c r="D895" s="178"/>
    </row>
    <row r="896" spans="1:4" x14ac:dyDescent="0.35">
      <c r="A896" s="178"/>
      <c r="B896" s="178"/>
      <c r="C896" s="180"/>
      <c r="D896" s="178"/>
    </row>
    <row r="897" spans="1:4" x14ac:dyDescent="0.35">
      <c r="A897" s="178"/>
      <c r="B897" s="178"/>
      <c r="C897" s="180"/>
      <c r="D897" s="178"/>
    </row>
    <row r="898" spans="1:4" x14ac:dyDescent="0.35">
      <c r="A898" s="178"/>
      <c r="B898" s="178"/>
      <c r="C898" s="180"/>
      <c r="D898" s="178"/>
    </row>
    <row r="899" spans="1:4" x14ac:dyDescent="0.35">
      <c r="A899" s="178"/>
      <c r="B899" s="178"/>
      <c r="C899" s="180"/>
      <c r="D899" s="178"/>
    </row>
    <row r="900" spans="1:4" x14ac:dyDescent="0.35">
      <c r="A900" s="178"/>
      <c r="B900" s="178"/>
      <c r="C900" s="180"/>
      <c r="D900" s="178"/>
    </row>
    <row r="901" spans="1:4" x14ac:dyDescent="0.35">
      <c r="A901" s="178"/>
      <c r="B901" s="178"/>
      <c r="C901" s="180"/>
      <c r="D901" s="178"/>
    </row>
    <row r="902" spans="1:4" x14ac:dyDescent="0.35">
      <c r="A902" s="178"/>
      <c r="B902" s="178"/>
      <c r="C902" s="180"/>
      <c r="D902" s="178"/>
    </row>
    <row r="903" spans="1:4" x14ac:dyDescent="0.35">
      <c r="A903" s="178"/>
      <c r="B903" s="178"/>
      <c r="C903" s="180"/>
      <c r="D903" s="178"/>
    </row>
    <row r="904" spans="1:4" x14ac:dyDescent="0.35">
      <c r="A904" s="178"/>
      <c r="B904" s="178"/>
      <c r="C904" s="180"/>
      <c r="D904" s="178"/>
    </row>
    <row r="905" spans="1:4" x14ac:dyDescent="0.35">
      <c r="A905" s="178"/>
      <c r="B905" s="178"/>
      <c r="C905" s="180"/>
      <c r="D905" s="178"/>
    </row>
    <row r="906" spans="1:4" x14ac:dyDescent="0.35">
      <c r="A906" s="178"/>
      <c r="B906" s="178"/>
      <c r="C906" s="180"/>
      <c r="D906" s="178"/>
    </row>
    <row r="907" spans="1:4" x14ac:dyDescent="0.35">
      <c r="A907" s="178"/>
      <c r="B907" s="178"/>
      <c r="C907" s="180"/>
      <c r="D907" s="178"/>
    </row>
    <row r="908" spans="1:4" x14ac:dyDescent="0.35">
      <c r="A908" s="178"/>
      <c r="B908" s="178"/>
      <c r="C908" s="180"/>
      <c r="D908" s="178"/>
    </row>
    <row r="909" spans="1:4" x14ac:dyDescent="0.35">
      <c r="A909" s="178"/>
      <c r="B909" s="178"/>
      <c r="C909" s="180"/>
      <c r="D909" s="178"/>
    </row>
    <row r="910" spans="1:4" x14ac:dyDescent="0.35">
      <c r="A910" s="178"/>
      <c r="B910" s="178"/>
      <c r="C910" s="180"/>
      <c r="D910" s="178"/>
    </row>
    <row r="911" spans="1:4" x14ac:dyDescent="0.35">
      <c r="A911" s="178"/>
      <c r="B911" s="178"/>
      <c r="C911" s="180"/>
      <c r="D911" s="178"/>
    </row>
    <row r="912" spans="1:4" x14ac:dyDescent="0.35">
      <c r="A912" s="178"/>
      <c r="B912" s="178"/>
      <c r="C912" s="180"/>
      <c r="D912" s="178"/>
    </row>
    <row r="913" spans="1:4" x14ac:dyDescent="0.35">
      <c r="A913" s="178"/>
      <c r="B913" s="178"/>
      <c r="C913" s="180"/>
      <c r="D913" s="178"/>
    </row>
    <row r="914" spans="1:4" x14ac:dyDescent="0.35">
      <c r="A914" s="178"/>
      <c r="B914" s="178"/>
      <c r="C914" s="180"/>
      <c r="D914" s="178"/>
    </row>
    <row r="915" spans="1:4" x14ac:dyDescent="0.35">
      <c r="A915" s="178"/>
      <c r="B915" s="178"/>
      <c r="C915" s="180"/>
      <c r="D915" s="178"/>
    </row>
    <row r="916" spans="1:4" x14ac:dyDescent="0.35">
      <c r="A916" s="178"/>
      <c r="B916" s="178"/>
      <c r="C916" s="180"/>
      <c r="D916" s="178"/>
    </row>
    <row r="917" spans="1:4" x14ac:dyDescent="0.35">
      <c r="A917" s="178"/>
      <c r="B917" s="178"/>
      <c r="C917" s="180"/>
      <c r="D917" s="178"/>
    </row>
    <row r="918" spans="1:4" x14ac:dyDescent="0.35">
      <c r="A918" s="178"/>
      <c r="B918" s="178"/>
      <c r="C918" s="180"/>
      <c r="D918" s="178"/>
    </row>
    <row r="919" spans="1:4" x14ac:dyDescent="0.35">
      <c r="A919" s="178"/>
      <c r="B919" s="178"/>
      <c r="C919" s="180"/>
      <c r="D919" s="178"/>
    </row>
    <row r="920" spans="1:4" x14ac:dyDescent="0.35">
      <c r="A920" s="178"/>
      <c r="B920" s="178"/>
      <c r="C920" s="180"/>
      <c r="D920" s="178"/>
    </row>
    <row r="921" spans="1:4" x14ac:dyDescent="0.35">
      <c r="A921" s="178"/>
      <c r="B921" s="178"/>
      <c r="C921" s="180"/>
      <c r="D921" s="178"/>
    </row>
    <row r="922" spans="1:4" x14ac:dyDescent="0.35">
      <c r="A922" s="178"/>
      <c r="B922" s="178"/>
      <c r="C922" s="180"/>
      <c r="D922" s="178"/>
    </row>
    <row r="923" spans="1:4" x14ac:dyDescent="0.35">
      <c r="A923" s="178"/>
      <c r="B923" s="178"/>
      <c r="C923" s="180"/>
      <c r="D923" s="178"/>
    </row>
    <row r="924" spans="1:4" x14ac:dyDescent="0.35">
      <c r="A924" s="178"/>
      <c r="B924" s="178"/>
      <c r="C924" s="180"/>
      <c r="D924" s="178"/>
    </row>
    <row r="925" spans="1:4" x14ac:dyDescent="0.35">
      <c r="A925" s="178"/>
      <c r="B925" s="178"/>
      <c r="C925" s="180"/>
      <c r="D925" s="178"/>
    </row>
    <row r="926" spans="1:4" x14ac:dyDescent="0.35">
      <c r="A926" s="178"/>
      <c r="B926" s="178"/>
      <c r="C926" s="180"/>
      <c r="D926" s="178"/>
    </row>
    <row r="927" spans="1:4" x14ac:dyDescent="0.35">
      <c r="A927" s="178"/>
      <c r="B927" s="178"/>
      <c r="C927" s="180"/>
      <c r="D927" s="178"/>
    </row>
    <row r="928" spans="1:4" x14ac:dyDescent="0.35">
      <c r="A928" s="178"/>
      <c r="B928" s="178"/>
      <c r="C928" s="180"/>
      <c r="D928" s="178"/>
    </row>
    <row r="929" spans="1:4" x14ac:dyDescent="0.35">
      <c r="A929" s="178"/>
      <c r="B929" s="178"/>
      <c r="C929" s="180"/>
      <c r="D929" s="178"/>
    </row>
    <row r="930" spans="1:4" x14ac:dyDescent="0.35">
      <c r="A930" s="178"/>
      <c r="B930" s="178"/>
      <c r="C930" s="180"/>
      <c r="D930" s="178"/>
    </row>
    <row r="931" spans="1:4" x14ac:dyDescent="0.35">
      <c r="A931" s="178"/>
      <c r="B931" s="178"/>
      <c r="C931" s="180"/>
      <c r="D931" s="178"/>
    </row>
    <row r="932" spans="1:4" x14ac:dyDescent="0.35">
      <c r="A932" s="178"/>
      <c r="B932" s="178"/>
      <c r="C932" s="180"/>
      <c r="D932" s="178"/>
    </row>
    <row r="933" spans="1:4" x14ac:dyDescent="0.35">
      <c r="A933" s="178"/>
      <c r="B933" s="178"/>
      <c r="C933" s="180"/>
      <c r="D933" s="178"/>
    </row>
    <row r="934" spans="1:4" x14ac:dyDescent="0.35">
      <c r="A934" s="178"/>
      <c r="B934" s="178"/>
      <c r="C934" s="180"/>
      <c r="D934" s="178"/>
    </row>
    <row r="935" spans="1:4" x14ac:dyDescent="0.35">
      <c r="A935" s="178"/>
      <c r="B935" s="178"/>
      <c r="C935" s="180"/>
      <c r="D935" s="178"/>
    </row>
    <row r="936" spans="1:4" x14ac:dyDescent="0.35">
      <c r="A936" s="178"/>
      <c r="B936" s="178"/>
      <c r="C936" s="180"/>
      <c r="D936" s="178"/>
    </row>
    <row r="937" spans="1:4" x14ac:dyDescent="0.35">
      <c r="A937" s="178"/>
      <c r="B937" s="178"/>
      <c r="C937" s="180"/>
      <c r="D937" s="178"/>
    </row>
    <row r="938" spans="1:4" x14ac:dyDescent="0.35">
      <c r="A938" s="178"/>
      <c r="B938" s="178"/>
      <c r="C938" s="180"/>
      <c r="D938" s="178"/>
    </row>
    <row r="939" spans="1:4" x14ac:dyDescent="0.35">
      <c r="A939" s="178"/>
      <c r="B939" s="178"/>
      <c r="C939" s="180"/>
      <c r="D939" s="178"/>
    </row>
    <row r="940" spans="1:4" x14ac:dyDescent="0.35">
      <c r="A940" s="178"/>
      <c r="B940" s="178"/>
      <c r="C940" s="180"/>
      <c r="D940" s="178"/>
    </row>
    <row r="941" spans="1:4" x14ac:dyDescent="0.35">
      <c r="A941" s="178"/>
      <c r="B941" s="178"/>
      <c r="C941" s="180"/>
      <c r="D941" s="178"/>
    </row>
    <row r="942" spans="1:4" x14ac:dyDescent="0.35">
      <c r="A942" s="178"/>
      <c r="B942" s="178"/>
      <c r="C942" s="180"/>
      <c r="D942" s="178"/>
    </row>
    <row r="943" spans="1:4" x14ac:dyDescent="0.35">
      <c r="A943" s="178"/>
      <c r="B943" s="178"/>
      <c r="C943" s="180"/>
      <c r="D943" s="178"/>
    </row>
    <row r="944" spans="1:4" x14ac:dyDescent="0.35">
      <c r="A944" s="178"/>
      <c r="B944" s="178"/>
      <c r="C944" s="180"/>
      <c r="D944" s="178"/>
    </row>
    <row r="945" spans="1:6" x14ac:dyDescent="0.35">
      <c r="A945" s="178"/>
      <c r="B945" s="178"/>
      <c r="C945" s="180"/>
      <c r="D945" s="178"/>
    </row>
    <row r="946" spans="1:6" x14ac:dyDescent="0.35">
      <c r="A946" s="178"/>
      <c r="B946" s="178"/>
      <c r="C946" s="180"/>
      <c r="D946" s="178"/>
    </row>
    <row r="947" spans="1:6" x14ac:dyDescent="0.35">
      <c r="A947" s="178"/>
      <c r="B947" s="178"/>
      <c r="C947" s="180"/>
      <c r="D947" s="178"/>
    </row>
    <row r="948" spans="1:6" x14ac:dyDescent="0.35">
      <c r="A948" s="178"/>
      <c r="B948" s="178"/>
      <c r="C948" s="180"/>
      <c r="D948" s="178"/>
    </row>
    <row r="949" spans="1:6" x14ac:dyDescent="0.35">
      <c r="A949" s="178"/>
      <c r="B949" s="178"/>
      <c r="C949" s="180"/>
      <c r="D949" s="178"/>
    </row>
    <row r="950" spans="1:6" x14ac:dyDescent="0.35">
      <c r="A950" s="178"/>
      <c r="B950" s="178"/>
      <c r="C950" s="180"/>
      <c r="D950" s="178"/>
    </row>
    <row r="951" spans="1:6" x14ac:dyDescent="0.35">
      <c r="A951" s="178"/>
      <c r="B951" s="178"/>
      <c r="C951" s="180"/>
      <c r="D951" s="178"/>
      <c r="E951" s="178"/>
      <c r="F951" s="178"/>
    </row>
    <row r="952" spans="1:6" x14ac:dyDescent="0.35">
      <c r="A952" s="178"/>
      <c r="B952" s="178"/>
      <c r="C952" s="180"/>
      <c r="D952" s="178"/>
    </row>
    <row r="953" spans="1:6" x14ac:dyDescent="0.35">
      <c r="A953" s="178"/>
      <c r="B953" s="178"/>
      <c r="C953" s="180"/>
      <c r="D953" s="178"/>
    </row>
    <row r="954" spans="1:6" x14ac:dyDescent="0.35">
      <c r="A954" s="178"/>
      <c r="B954" s="178"/>
      <c r="C954" s="180"/>
      <c r="D954" s="178"/>
    </row>
    <row r="955" spans="1:6" x14ac:dyDescent="0.35">
      <c r="A955" s="178"/>
      <c r="B955" s="178"/>
      <c r="C955" s="180"/>
      <c r="D955" s="178"/>
    </row>
    <row r="956" spans="1:6" x14ac:dyDescent="0.35">
      <c r="A956" s="178"/>
      <c r="B956" s="178"/>
      <c r="C956" s="180"/>
      <c r="D956" s="178"/>
    </row>
    <row r="957" spans="1:6" x14ac:dyDescent="0.35">
      <c r="A957" s="178"/>
      <c r="B957" s="178"/>
      <c r="C957" s="180"/>
      <c r="D957" s="178"/>
    </row>
    <row r="958" spans="1:6" x14ac:dyDescent="0.35">
      <c r="A958" s="178"/>
      <c r="B958" s="178"/>
      <c r="C958" s="180"/>
      <c r="D958" s="178"/>
    </row>
    <row r="959" spans="1:6" x14ac:dyDescent="0.35">
      <c r="A959" s="178"/>
      <c r="B959" s="178"/>
      <c r="C959" s="180"/>
      <c r="D959" s="178"/>
    </row>
    <row r="960" spans="1:6" x14ac:dyDescent="0.35">
      <c r="A960" s="178"/>
      <c r="B960" s="178"/>
      <c r="C960" s="180"/>
      <c r="D960" s="178"/>
    </row>
    <row r="961" spans="1:4" x14ac:dyDescent="0.35">
      <c r="A961" s="178"/>
      <c r="B961" s="178"/>
      <c r="C961" s="180"/>
      <c r="D961" s="178"/>
    </row>
    <row r="962" spans="1:4" x14ac:dyDescent="0.35">
      <c r="A962" s="178"/>
      <c r="B962" s="178"/>
      <c r="C962" s="180"/>
      <c r="D962" s="178"/>
    </row>
    <row r="963" spans="1:4" x14ac:dyDescent="0.35">
      <c r="A963" s="178"/>
      <c r="B963" s="178"/>
      <c r="C963" s="180"/>
      <c r="D963" s="178"/>
    </row>
    <row r="964" spans="1:4" x14ac:dyDescent="0.35">
      <c r="A964" s="178"/>
      <c r="B964" s="178"/>
      <c r="C964" s="180"/>
      <c r="D964" s="178"/>
    </row>
    <row r="965" spans="1:4" x14ac:dyDescent="0.35">
      <c r="A965" s="178"/>
      <c r="B965" s="178"/>
      <c r="C965" s="180"/>
      <c r="D965" s="178"/>
    </row>
    <row r="966" spans="1:4" x14ac:dyDescent="0.35">
      <c r="A966" s="178"/>
      <c r="B966" s="178"/>
      <c r="C966" s="180"/>
      <c r="D966" s="178"/>
    </row>
    <row r="967" spans="1:4" x14ac:dyDescent="0.35">
      <c r="A967" s="178"/>
      <c r="B967" s="178"/>
      <c r="C967" s="180"/>
      <c r="D967" s="178"/>
    </row>
    <row r="968" spans="1:4" x14ac:dyDescent="0.35">
      <c r="A968" s="178"/>
      <c r="B968" s="178"/>
      <c r="C968" s="180"/>
      <c r="D968" s="178"/>
    </row>
    <row r="969" spans="1:4" x14ac:dyDescent="0.35">
      <c r="A969" s="178"/>
      <c r="B969" s="178"/>
      <c r="C969" s="180"/>
      <c r="D969" s="178"/>
    </row>
    <row r="970" spans="1:4" x14ac:dyDescent="0.35">
      <c r="A970" s="178"/>
      <c r="B970" s="178"/>
      <c r="C970" s="180"/>
      <c r="D970" s="178"/>
    </row>
    <row r="971" spans="1:4" x14ac:dyDescent="0.35">
      <c r="A971" s="178"/>
      <c r="B971" s="178"/>
      <c r="C971" s="180"/>
      <c r="D971" s="178"/>
    </row>
    <row r="972" spans="1:4" x14ac:dyDescent="0.35">
      <c r="A972" s="178"/>
      <c r="B972" s="178"/>
      <c r="C972" s="180"/>
      <c r="D972" s="178"/>
    </row>
    <row r="973" spans="1:4" x14ac:dyDescent="0.35">
      <c r="A973" s="178"/>
      <c r="B973" s="178"/>
      <c r="C973" s="180"/>
      <c r="D973" s="178"/>
    </row>
    <row r="974" spans="1:4" x14ac:dyDescent="0.35">
      <c r="A974" s="178"/>
      <c r="B974" s="178"/>
      <c r="C974" s="180"/>
      <c r="D974" s="178"/>
    </row>
    <row r="975" spans="1:4" x14ac:dyDescent="0.35">
      <c r="A975" s="178"/>
      <c r="B975" s="178"/>
      <c r="C975" s="180"/>
      <c r="D975" s="178"/>
    </row>
    <row r="976" spans="1:4" x14ac:dyDescent="0.35">
      <c r="A976" s="178"/>
      <c r="B976" s="178"/>
      <c r="C976" s="180"/>
      <c r="D976" s="178"/>
    </row>
    <row r="977" spans="1:4" x14ac:dyDescent="0.35">
      <c r="A977" s="178"/>
      <c r="B977" s="178"/>
      <c r="C977" s="180"/>
      <c r="D977" s="178"/>
    </row>
    <row r="978" spans="1:4" x14ac:dyDescent="0.35">
      <c r="A978" s="178"/>
      <c r="B978" s="178"/>
      <c r="C978" s="180"/>
      <c r="D978" s="178"/>
    </row>
    <row r="979" spans="1:4" x14ac:dyDescent="0.35">
      <c r="A979" s="178"/>
      <c r="B979" s="178"/>
      <c r="C979" s="180"/>
      <c r="D979" s="178"/>
    </row>
    <row r="980" spans="1:4" x14ac:dyDescent="0.35">
      <c r="A980" s="178"/>
      <c r="B980" s="178"/>
      <c r="C980" s="180"/>
      <c r="D980" s="178"/>
    </row>
    <row r="981" spans="1:4" x14ac:dyDescent="0.35">
      <c r="A981" s="178"/>
      <c r="B981" s="178"/>
      <c r="C981" s="180"/>
      <c r="D981" s="178"/>
    </row>
    <row r="982" spans="1:4" x14ac:dyDescent="0.35">
      <c r="A982" s="178"/>
      <c r="B982" s="178"/>
      <c r="C982" s="180"/>
      <c r="D982" s="178"/>
    </row>
    <row r="983" spans="1:4" x14ac:dyDescent="0.35">
      <c r="A983" s="178"/>
      <c r="B983" s="178"/>
      <c r="C983" s="180"/>
      <c r="D983" s="178"/>
    </row>
    <row r="984" spans="1:4" x14ac:dyDescent="0.35">
      <c r="A984" s="178"/>
      <c r="B984" s="178"/>
      <c r="C984" s="180"/>
      <c r="D984" s="178"/>
    </row>
    <row r="985" spans="1:4" x14ac:dyDescent="0.35">
      <c r="A985" s="178"/>
      <c r="B985" s="178"/>
      <c r="C985" s="180"/>
      <c r="D985" s="178"/>
    </row>
    <row r="986" spans="1:4" x14ac:dyDescent="0.35">
      <c r="A986" s="178"/>
      <c r="B986" s="178"/>
      <c r="C986" s="180"/>
      <c r="D986" s="178"/>
    </row>
    <row r="987" spans="1:4" x14ac:dyDescent="0.35">
      <c r="A987" s="178"/>
      <c r="B987" s="178"/>
      <c r="C987" s="180"/>
      <c r="D987" s="178"/>
    </row>
    <row r="988" spans="1:4" x14ac:dyDescent="0.35">
      <c r="A988" s="178"/>
      <c r="B988" s="178"/>
      <c r="C988" s="180"/>
      <c r="D988" s="178"/>
    </row>
    <row r="989" spans="1:4" x14ac:dyDescent="0.35">
      <c r="A989" s="178"/>
      <c r="B989" s="178"/>
      <c r="C989" s="180"/>
      <c r="D989" s="178"/>
    </row>
    <row r="990" spans="1:4" x14ac:dyDescent="0.35">
      <c r="A990" s="178"/>
      <c r="B990" s="178"/>
      <c r="C990" s="180"/>
      <c r="D990" s="178"/>
    </row>
    <row r="991" spans="1:4" x14ac:dyDescent="0.35">
      <c r="A991" s="178"/>
      <c r="B991" s="178"/>
      <c r="C991" s="180"/>
      <c r="D991" s="178"/>
    </row>
    <row r="992" spans="1:4" x14ac:dyDescent="0.35">
      <c r="A992" s="178"/>
      <c r="B992" s="178"/>
      <c r="C992" s="180"/>
      <c r="D992" s="178"/>
    </row>
    <row r="993" spans="1:4" x14ac:dyDescent="0.35">
      <c r="A993" s="178"/>
      <c r="B993" s="178"/>
      <c r="C993" s="180"/>
      <c r="D993" s="178"/>
    </row>
    <row r="994" spans="1:4" x14ac:dyDescent="0.35">
      <c r="A994" s="178"/>
      <c r="B994" s="178"/>
      <c r="C994" s="180"/>
      <c r="D994" s="178"/>
    </row>
    <row r="995" spans="1:4" x14ac:dyDescent="0.35">
      <c r="A995" s="178"/>
      <c r="B995" s="178"/>
      <c r="C995" s="180"/>
      <c r="D995" s="178"/>
    </row>
    <row r="996" spans="1:4" x14ac:dyDescent="0.35">
      <c r="A996" s="178"/>
      <c r="B996" s="178"/>
      <c r="C996" s="180"/>
      <c r="D996" s="178"/>
    </row>
    <row r="997" spans="1:4" x14ac:dyDescent="0.35">
      <c r="A997" s="178"/>
      <c r="B997" s="178"/>
      <c r="C997" s="180"/>
      <c r="D997" s="178"/>
    </row>
    <row r="998" spans="1:4" x14ac:dyDescent="0.35">
      <c r="A998" s="178"/>
      <c r="B998" s="178"/>
      <c r="C998" s="180"/>
      <c r="D998" s="178"/>
    </row>
    <row r="999" spans="1:4" x14ac:dyDescent="0.35">
      <c r="A999" s="178"/>
      <c r="B999" s="178"/>
      <c r="C999" s="180"/>
      <c r="D999" s="178"/>
    </row>
    <row r="1000" spans="1:4" x14ac:dyDescent="0.35">
      <c r="A1000" s="178"/>
      <c r="B1000" s="178"/>
      <c r="C1000" s="180"/>
      <c r="D1000" s="178"/>
    </row>
    <row r="1001" spans="1:4" x14ac:dyDescent="0.35">
      <c r="A1001" s="178"/>
      <c r="B1001" s="178"/>
      <c r="C1001" s="180"/>
      <c r="D1001" s="178"/>
    </row>
    <row r="1002" spans="1:4" x14ac:dyDescent="0.35">
      <c r="A1002" s="178"/>
      <c r="B1002" s="178"/>
      <c r="C1002" s="180"/>
      <c r="D1002" s="178"/>
    </row>
    <row r="1003" spans="1:4" x14ac:dyDescent="0.35">
      <c r="A1003" s="178"/>
      <c r="B1003" s="178"/>
      <c r="C1003" s="180"/>
      <c r="D1003" s="178"/>
    </row>
    <row r="1004" spans="1:4" x14ac:dyDescent="0.35">
      <c r="A1004" s="178"/>
      <c r="B1004" s="178"/>
      <c r="C1004" s="180"/>
      <c r="D1004" s="178"/>
    </row>
    <row r="1005" spans="1:4" x14ac:dyDescent="0.35">
      <c r="A1005" s="178"/>
      <c r="B1005" s="178"/>
      <c r="C1005" s="180"/>
      <c r="D1005" s="178"/>
    </row>
    <row r="1006" spans="1:4" x14ac:dyDescent="0.35">
      <c r="A1006" s="178"/>
      <c r="B1006" s="178"/>
      <c r="C1006" s="180"/>
      <c r="D1006" s="178"/>
    </row>
    <row r="1007" spans="1:4" x14ac:dyDescent="0.35">
      <c r="A1007" s="178"/>
      <c r="B1007" s="178"/>
      <c r="C1007" s="180"/>
      <c r="D1007" s="178"/>
    </row>
    <row r="1008" spans="1:4" x14ac:dyDescent="0.35">
      <c r="A1008" s="178"/>
      <c r="B1008" s="178"/>
      <c r="C1008" s="180"/>
      <c r="D1008" s="178"/>
    </row>
    <row r="1009" spans="1:4" x14ac:dyDescent="0.35">
      <c r="A1009" s="178"/>
      <c r="B1009" s="178"/>
      <c r="C1009" s="180"/>
      <c r="D1009" s="178"/>
    </row>
    <row r="1010" spans="1:4" x14ac:dyDescent="0.35">
      <c r="A1010" s="178"/>
      <c r="B1010" s="178"/>
      <c r="C1010" s="180"/>
      <c r="D1010" s="178"/>
    </row>
    <row r="1011" spans="1:4" x14ac:dyDescent="0.35">
      <c r="A1011" s="178"/>
      <c r="B1011" s="178"/>
      <c r="C1011" s="180"/>
      <c r="D1011" s="178"/>
    </row>
    <row r="1012" spans="1:4" x14ac:dyDescent="0.35">
      <c r="A1012" s="178"/>
      <c r="B1012" s="178"/>
      <c r="C1012" s="180"/>
      <c r="D1012" s="178"/>
    </row>
    <row r="1013" spans="1:4" x14ac:dyDescent="0.35">
      <c r="A1013" s="178"/>
      <c r="B1013" s="178"/>
      <c r="C1013" s="180"/>
      <c r="D1013" s="178"/>
    </row>
    <row r="1014" spans="1:4" x14ac:dyDescent="0.35">
      <c r="A1014" s="178"/>
      <c r="B1014" s="178"/>
      <c r="C1014" s="180"/>
      <c r="D1014" s="178"/>
    </row>
    <row r="1015" spans="1:4" x14ac:dyDescent="0.35">
      <c r="A1015" s="178"/>
      <c r="B1015" s="178"/>
      <c r="C1015" s="180"/>
      <c r="D1015" s="178"/>
    </row>
    <row r="1016" spans="1:4" x14ac:dyDescent="0.35">
      <c r="A1016" s="178"/>
      <c r="B1016" s="178"/>
      <c r="C1016" s="180"/>
      <c r="D1016" s="178"/>
    </row>
    <row r="1017" spans="1:4" x14ac:dyDescent="0.35">
      <c r="A1017" s="178"/>
      <c r="B1017" s="178"/>
      <c r="C1017" s="180"/>
      <c r="D1017" s="178"/>
    </row>
    <row r="1018" spans="1:4" x14ac:dyDescent="0.35">
      <c r="A1018" s="178"/>
      <c r="B1018" s="178"/>
      <c r="C1018" s="180"/>
      <c r="D1018" s="178"/>
    </row>
    <row r="1019" spans="1:4" x14ac:dyDescent="0.35">
      <c r="A1019" s="178"/>
      <c r="B1019" s="178"/>
      <c r="C1019" s="180"/>
      <c r="D1019" s="178"/>
    </row>
    <row r="1020" spans="1:4" x14ac:dyDescent="0.35">
      <c r="A1020" s="178"/>
      <c r="B1020" s="178"/>
      <c r="C1020" s="180"/>
      <c r="D1020" s="178"/>
    </row>
    <row r="1021" spans="1:4" x14ac:dyDescent="0.35">
      <c r="A1021" s="178"/>
      <c r="B1021" s="178"/>
      <c r="C1021" s="180"/>
      <c r="D1021" s="178"/>
    </row>
    <row r="1022" spans="1:4" x14ac:dyDescent="0.35">
      <c r="A1022" s="178"/>
      <c r="B1022" s="178"/>
      <c r="C1022" s="180"/>
      <c r="D1022" s="178"/>
    </row>
    <row r="1023" spans="1:4" x14ac:dyDescent="0.35">
      <c r="A1023" s="178"/>
      <c r="B1023" s="178"/>
      <c r="C1023" s="180"/>
      <c r="D1023" s="178"/>
    </row>
    <row r="1024" spans="1:4" x14ac:dyDescent="0.35">
      <c r="A1024" s="178"/>
      <c r="B1024" s="178"/>
      <c r="C1024" s="180"/>
      <c r="D1024" s="178"/>
    </row>
    <row r="1025" spans="1:6" x14ac:dyDescent="0.35">
      <c r="A1025" s="178"/>
      <c r="B1025" s="178"/>
      <c r="C1025" s="180"/>
      <c r="D1025" s="178"/>
    </row>
    <row r="1026" spans="1:6" x14ac:dyDescent="0.35">
      <c r="A1026" s="178"/>
      <c r="B1026" s="178"/>
      <c r="C1026" s="180"/>
      <c r="D1026" s="178"/>
    </row>
    <row r="1027" spans="1:6" x14ac:dyDescent="0.35">
      <c r="A1027" s="178"/>
      <c r="B1027" s="178"/>
      <c r="C1027" s="180"/>
      <c r="D1027" s="178"/>
    </row>
    <row r="1028" spans="1:6" x14ac:dyDescent="0.35">
      <c r="A1028" s="178"/>
      <c r="B1028" s="178"/>
      <c r="C1028" s="180"/>
      <c r="D1028" s="178"/>
    </row>
    <row r="1029" spans="1:6" x14ac:dyDescent="0.35">
      <c r="A1029" s="178"/>
      <c r="B1029" s="178"/>
      <c r="C1029" s="180"/>
      <c r="D1029" s="178"/>
    </row>
    <row r="1030" spans="1:6" x14ac:dyDescent="0.35">
      <c r="A1030" s="178"/>
      <c r="B1030" s="178"/>
      <c r="C1030" s="180"/>
      <c r="D1030" s="178"/>
    </row>
    <row r="1031" spans="1:6" x14ac:dyDescent="0.35">
      <c r="A1031" s="178"/>
      <c r="B1031" s="178"/>
      <c r="C1031" s="180"/>
      <c r="D1031" s="178"/>
    </row>
    <row r="1032" spans="1:6" x14ac:dyDescent="0.35">
      <c r="A1032" s="178"/>
      <c r="B1032" s="178"/>
      <c r="C1032" s="180"/>
      <c r="D1032" s="178"/>
    </row>
    <row r="1033" spans="1:6" x14ac:dyDescent="0.35">
      <c r="A1033" s="178"/>
      <c r="B1033" s="178"/>
      <c r="C1033" s="180"/>
      <c r="D1033" s="178"/>
    </row>
    <row r="1034" spans="1:6" x14ac:dyDescent="0.35">
      <c r="A1034" s="178"/>
      <c r="B1034" s="178"/>
      <c r="C1034" s="180"/>
      <c r="D1034" s="178"/>
    </row>
    <row r="1035" spans="1:6" x14ac:dyDescent="0.35">
      <c r="A1035" s="178"/>
      <c r="B1035" s="178"/>
      <c r="C1035" s="180"/>
      <c r="D1035" s="178"/>
    </row>
    <row r="1036" spans="1:6" x14ac:dyDescent="0.35">
      <c r="A1036" s="178"/>
      <c r="B1036" s="178"/>
      <c r="C1036" s="180"/>
      <c r="D1036" s="178"/>
    </row>
    <row r="1037" spans="1:6" x14ac:dyDescent="0.35">
      <c r="A1037" s="178"/>
      <c r="B1037" s="178"/>
      <c r="C1037" s="180"/>
      <c r="D1037" s="178"/>
    </row>
    <row r="1038" spans="1:6" x14ac:dyDescent="0.35">
      <c r="A1038" s="178"/>
      <c r="B1038" s="178"/>
      <c r="C1038" s="180"/>
      <c r="D1038" s="178"/>
      <c r="F1038" s="178"/>
    </row>
    <row r="1039" spans="1:6" x14ac:dyDescent="0.35">
      <c r="A1039" s="178"/>
      <c r="B1039" s="178"/>
      <c r="C1039" s="180"/>
      <c r="D1039" s="178"/>
    </row>
    <row r="1040" spans="1:6" x14ac:dyDescent="0.35">
      <c r="A1040" s="178"/>
      <c r="B1040" s="178"/>
      <c r="C1040" s="180"/>
      <c r="D1040" s="178"/>
    </row>
    <row r="1041" spans="1:4" x14ac:dyDescent="0.35">
      <c r="A1041" s="178"/>
      <c r="B1041" s="178"/>
      <c r="C1041" s="180"/>
      <c r="D1041" s="178"/>
    </row>
    <row r="1042" spans="1:4" x14ac:dyDescent="0.35">
      <c r="A1042" s="178"/>
      <c r="B1042" s="178"/>
      <c r="C1042" s="180"/>
      <c r="D1042" s="178"/>
    </row>
    <row r="1043" spans="1:4" x14ac:dyDescent="0.35">
      <c r="A1043" s="178"/>
      <c r="B1043" s="178"/>
      <c r="C1043" s="180"/>
      <c r="D1043" s="178"/>
    </row>
    <row r="1044" spans="1:4" x14ac:dyDescent="0.35">
      <c r="A1044" s="178"/>
      <c r="B1044" s="178"/>
      <c r="C1044" s="180"/>
      <c r="D1044" s="178"/>
    </row>
    <row r="1045" spans="1:4" x14ac:dyDescent="0.35">
      <c r="A1045" s="178"/>
      <c r="B1045" s="178"/>
      <c r="C1045" s="180"/>
      <c r="D1045" s="178"/>
    </row>
    <row r="1046" spans="1:4" x14ac:dyDescent="0.35">
      <c r="A1046" s="178"/>
      <c r="B1046" s="178"/>
      <c r="C1046" s="180"/>
      <c r="D1046" s="178"/>
    </row>
    <row r="1047" spans="1:4" x14ac:dyDescent="0.35">
      <c r="A1047" s="178"/>
      <c r="B1047" s="178"/>
      <c r="C1047" s="180"/>
      <c r="D1047" s="178"/>
    </row>
    <row r="1048" spans="1:4" x14ac:dyDescent="0.35">
      <c r="A1048" s="178"/>
      <c r="B1048" s="178"/>
      <c r="C1048" s="180"/>
      <c r="D1048" s="178"/>
    </row>
    <row r="1049" spans="1:4" x14ac:dyDescent="0.35">
      <c r="A1049" s="178"/>
      <c r="B1049" s="178"/>
      <c r="C1049" s="180"/>
      <c r="D1049" s="178"/>
    </row>
    <row r="1050" spans="1:4" x14ac:dyDescent="0.35">
      <c r="A1050" s="178"/>
      <c r="B1050" s="178"/>
      <c r="C1050" s="180"/>
      <c r="D1050" s="178"/>
    </row>
    <row r="1051" spans="1:4" x14ac:dyDescent="0.35">
      <c r="A1051" s="178"/>
      <c r="B1051" s="178"/>
      <c r="C1051" s="180"/>
      <c r="D1051" s="178"/>
    </row>
    <row r="1052" spans="1:4" x14ac:dyDescent="0.35">
      <c r="A1052" s="178"/>
      <c r="B1052" s="178"/>
      <c r="C1052" s="180"/>
      <c r="D1052" s="178"/>
    </row>
    <row r="1053" spans="1:4" x14ac:dyDescent="0.35">
      <c r="A1053" s="178"/>
      <c r="B1053" s="178"/>
      <c r="C1053" s="180"/>
      <c r="D1053" s="178"/>
    </row>
    <row r="1054" spans="1:4" x14ac:dyDescent="0.35">
      <c r="A1054" s="178"/>
      <c r="B1054" s="178"/>
      <c r="C1054" s="180"/>
      <c r="D1054" s="178"/>
    </row>
    <row r="1055" spans="1:4" x14ac:dyDescent="0.35">
      <c r="A1055" s="178"/>
      <c r="B1055" s="178"/>
      <c r="C1055" s="180"/>
      <c r="D1055" s="178"/>
    </row>
    <row r="1056" spans="1:4" x14ac:dyDescent="0.35">
      <c r="A1056" s="178"/>
      <c r="B1056" s="178"/>
      <c r="C1056" s="180"/>
      <c r="D1056" s="178"/>
    </row>
    <row r="1057" spans="1:4" x14ac:dyDescent="0.35">
      <c r="A1057" s="178"/>
      <c r="B1057" s="178"/>
      <c r="C1057" s="180"/>
      <c r="D1057" s="178"/>
    </row>
    <row r="1058" spans="1:4" x14ac:dyDescent="0.35">
      <c r="A1058" s="178"/>
      <c r="B1058" s="178"/>
      <c r="C1058" s="180"/>
      <c r="D1058" s="178"/>
    </row>
    <row r="1059" spans="1:4" x14ac:dyDescent="0.35">
      <c r="A1059" s="178"/>
      <c r="B1059" s="178"/>
      <c r="C1059" s="180"/>
      <c r="D1059" s="178"/>
    </row>
    <row r="1060" spans="1:4" x14ac:dyDescent="0.35">
      <c r="A1060" s="178"/>
      <c r="B1060" s="178"/>
      <c r="C1060" s="180"/>
      <c r="D1060" s="178"/>
    </row>
    <row r="1061" spans="1:4" x14ac:dyDescent="0.35">
      <c r="A1061" s="178"/>
      <c r="B1061" s="178"/>
      <c r="C1061" s="180"/>
      <c r="D1061" s="178"/>
    </row>
    <row r="1062" spans="1:4" x14ac:dyDescent="0.35">
      <c r="A1062" s="178"/>
      <c r="B1062" s="178"/>
      <c r="C1062" s="180"/>
      <c r="D1062" s="178"/>
    </row>
    <row r="1063" spans="1:4" x14ac:dyDescent="0.35">
      <c r="A1063" s="178"/>
      <c r="B1063" s="178"/>
      <c r="C1063" s="180"/>
      <c r="D1063" s="178"/>
    </row>
    <row r="1064" spans="1:4" x14ac:dyDescent="0.35">
      <c r="A1064" s="178"/>
      <c r="B1064" s="178"/>
      <c r="C1064" s="180"/>
      <c r="D1064" s="178"/>
    </row>
    <row r="1065" spans="1:4" x14ac:dyDescent="0.35">
      <c r="A1065" s="178"/>
      <c r="B1065" s="178"/>
      <c r="C1065" s="180"/>
      <c r="D1065" s="178"/>
    </row>
    <row r="1066" spans="1:4" x14ac:dyDescent="0.35">
      <c r="A1066" s="178"/>
      <c r="B1066" s="178"/>
      <c r="C1066" s="180"/>
      <c r="D1066" s="178"/>
    </row>
    <row r="1067" spans="1:4" x14ac:dyDescent="0.35">
      <c r="A1067" s="178"/>
      <c r="B1067" s="178"/>
      <c r="C1067" s="180"/>
      <c r="D1067" s="178"/>
    </row>
    <row r="1068" spans="1:4" x14ac:dyDescent="0.35">
      <c r="A1068" s="178"/>
      <c r="B1068" s="178"/>
      <c r="C1068" s="180"/>
      <c r="D1068" s="178"/>
    </row>
    <row r="1069" spans="1:4" x14ac:dyDescent="0.35">
      <c r="A1069" s="178"/>
      <c r="B1069" s="178"/>
      <c r="C1069" s="180"/>
      <c r="D1069" s="178"/>
    </row>
    <row r="1070" spans="1:4" x14ac:dyDescent="0.35">
      <c r="A1070" s="178"/>
      <c r="B1070" s="178"/>
      <c r="C1070" s="180"/>
      <c r="D1070" s="178"/>
    </row>
    <row r="1071" spans="1:4" x14ac:dyDescent="0.35">
      <c r="A1071" s="178"/>
      <c r="B1071" s="178"/>
      <c r="C1071" s="180"/>
      <c r="D1071" s="178"/>
    </row>
    <row r="1072" spans="1:4" x14ac:dyDescent="0.35">
      <c r="A1072" s="178"/>
      <c r="B1072" s="178"/>
      <c r="C1072" s="180"/>
      <c r="D1072" s="178"/>
    </row>
    <row r="1073" spans="1:4" x14ac:dyDescent="0.35">
      <c r="A1073" s="178"/>
      <c r="B1073" s="178"/>
      <c r="C1073" s="180"/>
      <c r="D1073" s="178"/>
    </row>
    <row r="1074" spans="1:4" x14ac:dyDescent="0.35">
      <c r="A1074" s="178"/>
      <c r="B1074" s="178"/>
      <c r="C1074" s="180"/>
      <c r="D1074" s="178"/>
    </row>
    <row r="1075" spans="1:4" x14ac:dyDescent="0.35">
      <c r="A1075" s="178"/>
      <c r="B1075" s="178"/>
      <c r="C1075" s="180"/>
      <c r="D1075" s="178"/>
    </row>
    <row r="1076" spans="1:4" x14ac:dyDescent="0.35">
      <c r="A1076" s="178"/>
      <c r="B1076" s="178"/>
      <c r="C1076" s="180"/>
      <c r="D1076" s="178"/>
    </row>
    <row r="1077" spans="1:4" x14ac:dyDescent="0.35">
      <c r="A1077" s="178"/>
      <c r="B1077" s="178"/>
      <c r="C1077" s="180"/>
      <c r="D1077" s="178"/>
    </row>
    <row r="1078" spans="1:4" x14ac:dyDescent="0.35">
      <c r="A1078" s="178"/>
      <c r="B1078" s="178"/>
      <c r="C1078" s="180"/>
      <c r="D1078" s="178"/>
    </row>
    <row r="1079" spans="1:4" x14ac:dyDescent="0.35">
      <c r="A1079" s="178"/>
      <c r="B1079" s="178"/>
      <c r="C1079" s="180"/>
      <c r="D1079" s="178"/>
    </row>
    <row r="1080" spans="1:4" x14ac:dyDescent="0.35">
      <c r="A1080" s="178"/>
      <c r="B1080" s="178"/>
      <c r="C1080" s="180"/>
      <c r="D1080" s="178"/>
    </row>
    <row r="1081" spans="1:4" x14ac:dyDescent="0.35">
      <c r="A1081" s="178"/>
      <c r="B1081" s="178"/>
      <c r="C1081" s="180"/>
      <c r="D1081" s="178"/>
    </row>
    <row r="1082" spans="1:4" x14ac:dyDescent="0.35">
      <c r="A1082" s="178"/>
      <c r="B1082" s="178"/>
      <c r="C1082" s="180"/>
      <c r="D1082" s="178"/>
    </row>
    <row r="1083" spans="1:4" x14ac:dyDescent="0.35">
      <c r="A1083" s="178"/>
      <c r="B1083" s="178"/>
      <c r="C1083" s="180"/>
      <c r="D1083" s="178"/>
    </row>
    <row r="1084" spans="1:4" x14ac:dyDescent="0.35">
      <c r="A1084" s="178"/>
      <c r="B1084" s="178"/>
      <c r="C1084" s="180"/>
      <c r="D1084" s="178"/>
    </row>
    <row r="1085" spans="1:4" x14ac:dyDescent="0.35">
      <c r="A1085" s="178"/>
      <c r="B1085" s="178"/>
      <c r="C1085" s="180"/>
      <c r="D1085" s="178"/>
    </row>
    <row r="1086" spans="1:4" x14ac:dyDescent="0.35">
      <c r="A1086" s="178"/>
      <c r="B1086" s="178"/>
      <c r="C1086" s="180"/>
      <c r="D1086" s="178"/>
    </row>
    <row r="1087" spans="1:4" x14ac:dyDescent="0.35">
      <c r="A1087" s="178"/>
      <c r="B1087" s="178"/>
      <c r="C1087" s="180"/>
      <c r="D1087" s="178"/>
    </row>
    <row r="1088" spans="1:4" x14ac:dyDescent="0.35">
      <c r="A1088" s="178"/>
      <c r="B1088" s="178"/>
      <c r="C1088" s="180"/>
      <c r="D1088" s="178"/>
    </row>
    <row r="1089" spans="1:4" x14ac:dyDescent="0.35">
      <c r="A1089" s="178"/>
      <c r="B1089" s="178"/>
      <c r="C1089" s="180"/>
      <c r="D1089" s="178"/>
    </row>
    <row r="1090" spans="1:4" x14ac:dyDescent="0.35">
      <c r="A1090" s="178"/>
      <c r="B1090" s="178"/>
      <c r="C1090" s="180"/>
      <c r="D1090" s="178"/>
    </row>
    <row r="1091" spans="1:4" x14ac:dyDescent="0.35">
      <c r="A1091" s="178"/>
      <c r="B1091" s="178"/>
      <c r="C1091" s="180"/>
      <c r="D1091" s="178"/>
    </row>
    <row r="1092" spans="1:4" x14ac:dyDescent="0.35">
      <c r="A1092" s="178"/>
      <c r="B1092" s="178"/>
      <c r="C1092" s="180"/>
      <c r="D1092" s="178"/>
    </row>
    <row r="1093" spans="1:4" x14ac:dyDescent="0.35">
      <c r="A1093" s="178"/>
      <c r="B1093" s="178"/>
      <c r="C1093" s="180"/>
      <c r="D1093" s="178"/>
    </row>
    <row r="1094" spans="1:4" x14ac:dyDescent="0.35">
      <c r="A1094" s="178"/>
      <c r="B1094" s="178"/>
      <c r="C1094" s="180"/>
      <c r="D1094" s="178"/>
    </row>
    <row r="1095" spans="1:4" x14ac:dyDescent="0.35">
      <c r="A1095" s="178"/>
      <c r="B1095" s="178"/>
      <c r="C1095" s="180"/>
      <c r="D1095" s="178"/>
    </row>
    <row r="1096" spans="1:4" x14ac:dyDescent="0.35">
      <c r="A1096" s="178"/>
      <c r="B1096" s="178"/>
      <c r="C1096" s="180"/>
      <c r="D1096" s="178"/>
    </row>
    <row r="1097" spans="1:4" x14ac:dyDescent="0.35">
      <c r="A1097" s="178"/>
      <c r="B1097" s="178"/>
      <c r="C1097" s="180"/>
      <c r="D1097" s="178"/>
    </row>
    <row r="1098" spans="1:4" x14ac:dyDescent="0.35">
      <c r="A1098" s="178"/>
      <c r="B1098" s="178"/>
      <c r="C1098" s="180"/>
      <c r="D1098" s="178"/>
    </row>
    <row r="1099" spans="1:4" x14ac:dyDescent="0.35">
      <c r="A1099" s="178"/>
      <c r="B1099" s="178"/>
      <c r="C1099" s="180"/>
      <c r="D1099" s="178"/>
    </row>
    <row r="1100" spans="1:4" x14ac:dyDescent="0.35">
      <c r="A1100" s="178"/>
      <c r="B1100" s="178"/>
      <c r="C1100" s="180"/>
      <c r="D1100" s="178"/>
    </row>
    <row r="1101" spans="1:4" x14ac:dyDescent="0.35">
      <c r="A1101" s="178"/>
      <c r="B1101" s="178"/>
      <c r="C1101" s="180"/>
      <c r="D1101" s="178"/>
    </row>
    <row r="1102" spans="1:4" x14ac:dyDescent="0.35">
      <c r="A1102" s="178"/>
      <c r="B1102" s="178"/>
      <c r="C1102" s="180"/>
      <c r="D1102" s="178"/>
    </row>
    <row r="1103" spans="1:4" x14ac:dyDescent="0.35">
      <c r="A1103" s="178"/>
      <c r="B1103" s="178"/>
      <c r="C1103" s="180"/>
      <c r="D1103" s="178"/>
    </row>
    <row r="1104" spans="1:4" x14ac:dyDescent="0.35">
      <c r="A1104" s="178"/>
      <c r="B1104" s="178"/>
      <c r="C1104" s="180"/>
      <c r="D1104" s="178"/>
    </row>
    <row r="1105" spans="1:4" x14ac:dyDescent="0.35">
      <c r="A1105" s="178"/>
      <c r="B1105" s="178"/>
      <c r="C1105" s="180"/>
      <c r="D1105" s="178"/>
    </row>
    <row r="1106" spans="1:4" x14ac:dyDescent="0.35">
      <c r="A1106" s="178"/>
      <c r="B1106" s="178"/>
      <c r="C1106" s="180"/>
      <c r="D1106" s="178"/>
    </row>
    <row r="1107" spans="1:4" x14ac:dyDescent="0.35">
      <c r="A1107" s="178"/>
      <c r="B1107" s="178"/>
      <c r="C1107" s="180"/>
      <c r="D1107" s="178"/>
    </row>
    <row r="1108" spans="1:4" x14ac:dyDescent="0.35">
      <c r="A1108" s="178"/>
      <c r="B1108" s="178"/>
      <c r="C1108" s="180"/>
      <c r="D1108" s="178"/>
    </row>
    <row r="1109" spans="1:4" x14ac:dyDescent="0.35">
      <c r="A1109" s="178"/>
      <c r="B1109" s="178"/>
      <c r="C1109" s="180"/>
      <c r="D1109" s="178"/>
    </row>
    <row r="1110" spans="1:4" x14ac:dyDescent="0.35">
      <c r="A1110" s="178"/>
      <c r="B1110" s="178"/>
      <c r="C1110" s="180"/>
      <c r="D1110" s="178"/>
    </row>
    <row r="1111" spans="1:4" x14ac:dyDescent="0.35">
      <c r="A1111" s="178"/>
      <c r="B1111" s="178"/>
      <c r="C1111" s="180"/>
      <c r="D1111" s="178"/>
    </row>
    <row r="1112" spans="1:4" x14ac:dyDescent="0.35">
      <c r="A1112" s="178"/>
      <c r="B1112" s="178"/>
      <c r="C1112" s="180"/>
      <c r="D1112" s="178"/>
    </row>
    <row r="1113" spans="1:4" x14ac:dyDescent="0.35">
      <c r="A1113" s="178"/>
      <c r="B1113" s="178"/>
      <c r="C1113" s="180"/>
      <c r="D1113" s="178"/>
    </row>
    <row r="1114" spans="1:4" x14ac:dyDescent="0.35">
      <c r="A1114" s="178"/>
      <c r="B1114" s="178"/>
      <c r="C1114" s="180"/>
      <c r="D1114" s="178"/>
    </row>
    <row r="1115" spans="1:4" x14ac:dyDescent="0.35">
      <c r="A1115" s="178"/>
      <c r="B1115" s="178"/>
      <c r="C1115" s="180"/>
      <c r="D1115" s="178"/>
    </row>
    <row r="1116" spans="1:4" x14ac:dyDescent="0.35">
      <c r="A1116" s="178"/>
      <c r="B1116" s="178"/>
      <c r="C1116" s="180"/>
      <c r="D1116" s="178"/>
    </row>
    <row r="1117" spans="1:4" x14ac:dyDescent="0.35">
      <c r="A1117" s="178"/>
      <c r="B1117" s="178"/>
      <c r="C1117" s="180"/>
      <c r="D1117" s="178"/>
    </row>
    <row r="1118" spans="1:4" x14ac:dyDescent="0.35">
      <c r="A1118" s="178"/>
      <c r="B1118" s="178"/>
      <c r="C1118" s="180"/>
      <c r="D1118" s="178"/>
    </row>
    <row r="1119" spans="1:4" x14ac:dyDescent="0.35">
      <c r="A1119" s="178"/>
      <c r="B1119" s="178"/>
      <c r="C1119" s="180"/>
      <c r="D1119" s="178"/>
    </row>
    <row r="1120" spans="1:4" x14ac:dyDescent="0.35">
      <c r="A1120" s="178"/>
      <c r="B1120" s="178"/>
      <c r="C1120" s="180"/>
      <c r="D1120" s="178"/>
    </row>
    <row r="1121" spans="1:4" x14ac:dyDescent="0.35">
      <c r="A1121" s="178"/>
      <c r="B1121" s="178"/>
      <c r="C1121" s="180"/>
      <c r="D1121" s="178"/>
    </row>
    <row r="1122" spans="1:4" x14ac:dyDescent="0.35">
      <c r="A1122" s="178"/>
      <c r="B1122" s="178"/>
      <c r="C1122" s="180"/>
      <c r="D1122" s="178"/>
    </row>
    <row r="1123" spans="1:4" x14ac:dyDescent="0.35">
      <c r="A1123" s="178"/>
      <c r="B1123" s="178"/>
      <c r="C1123" s="180"/>
      <c r="D1123" s="178"/>
    </row>
    <row r="1124" spans="1:4" x14ac:dyDescent="0.35">
      <c r="A1124" s="178"/>
      <c r="B1124" s="178"/>
      <c r="C1124" s="180"/>
      <c r="D1124" s="178"/>
    </row>
    <row r="1125" spans="1:4" x14ac:dyDescent="0.35">
      <c r="A1125" s="178"/>
      <c r="B1125" s="178"/>
      <c r="C1125" s="180"/>
      <c r="D1125" s="178"/>
    </row>
    <row r="1126" spans="1:4" x14ac:dyDescent="0.35">
      <c r="A1126" s="178"/>
      <c r="B1126" s="178"/>
      <c r="C1126" s="180"/>
      <c r="D1126" s="178"/>
    </row>
    <row r="1127" spans="1:4" x14ac:dyDescent="0.35">
      <c r="A1127" s="178"/>
      <c r="B1127" s="178"/>
      <c r="C1127" s="180"/>
      <c r="D1127" s="178"/>
    </row>
    <row r="1128" spans="1:4" x14ac:dyDescent="0.35">
      <c r="A1128" s="178"/>
      <c r="B1128" s="178"/>
      <c r="C1128" s="180"/>
      <c r="D1128" s="178"/>
    </row>
    <row r="1129" spans="1:4" x14ac:dyDescent="0.35">
      <c r="A1129" s="178"/>
      <c r="B1129" s="178"/>
      <c r="C1129" s="180"/>
      <c r="D1129" s="178"/>
    </row>
    <row r="1130" spans="1:4" x14ac:dyDescent="0.35">
      <c r="A1130" s="178"/>
      <c r="B1130" s="178"/>
      <c r="C1130" s="180"/>
      <c r="D1130" s="178"/>
    </row>
    <row r="1131" spans="1:4" x14ac:dyDescent="0.35">
      <c r="A1131" s="178"/>
      <c r="B1131" s="178"/>
      <c r="C1131" s="180"/>
      <c r="D1131" s="178"/>
    </row>
    <row r="1132" spans="1:4" x14ac:dyDescent="0.35">
      <c r="A1132" s="178"/>
      <c r="B1132" s="178"/>
      <c r="C1132" s="180"/>
      <c r="D1132" s="178"/>
    </row>
    <row r="1133" spans="1:4" x14ac:dyDescent="0.35">
      <c r="A1133" s="178"/>
      <c r="B1133" s="178"/>
      <c r="C1133" s="180"/>
      <c r="D1133" s="178"/>
    </row>
    <row r="1134" spans="1:4" x14ac:dyDescent="0.35">
      <c r="A1134" s="178"/>
      <c r="B1134" s="178"/>
      <c r="C1134" s="180"/>
      <c r="D1134" s="178"/>
    </row>
    <row r="1135" spans="1:4" x14ac:dyDescent="0.35">
      <c r="A1135" s="178"/>
      <c r="B1135" s="178"/>
      <c r="C1135" s="180"/>
      <c r="D1135" s="178"/>
    </row>
    <row r="1136" spans="1:4" x14ac:dyDescent="0.35">
      <c r="A1136" s="178"/>
      <c r="B1136" s="178"/>
      <c r="C1136" s="180"/>
      <c r="D1136" s="178"/>
    </row>
    <row r="1137" spans="1:6" x14ac:dyDescent="0.35">
      <c r="A1137" s="178"/>
      <c r="B1137" s="178"/>
      <c r="C1137" s="180"/>
      <c r="D1137" s="178"/>
    </row>
    <row r="1138" spans="1:6" x14ac:dyDescent="0.35">
      <c r="A1138" s="178"/>
      <c r="B1138" s="178"/>
      <c r="C1138" s="180"/>
      <c r="D1138" s="178"/>
    </row>
    <row r="1139" spans="1:6" x14ac:dyDescent="0.35">
      <c r="A1139" s="178"/>
      <c r="B1139" s="178"/>
      <c r="C1139" s="180"/>
      <c r="D1139" s="178"/>
    </row>
    <row r="1140" spans="1:6" x14ac:dyDescent="0.35">
      <c r="A1140" s="178"/>
      <c r="B1140" s="178"/>
      <c r="C1140" s="180"/>
      <c r="D1140" s="178"/>
    </row>
    <row r="1141" spans="1:6" x14ac:dyDescent="0.35">
      <c r="A1141" s="178"/>
      <c r="B1141" s="178"/>
      <c r="C1141" s="180"/>
      <c r="D1141" s="178"/>
    </row>
    <row r="1142" spans="1:6" x14ac:dyDescent="0.35">
      <c r="A1142" s="178"/>
      <c r="B1142" s="178"/>
      <c r="C1142" s="180"/>
      <c r="D1142" s="178"/>
    </row>
    <row r="1143" spans="1:6" x14ac:dyDescent="0.35">
      <c r="A1143" s="178"/>
      <c r="B1143" s="178"/>
      <c r="C1143" s="180"/>
      <c r="D1143" s="178"/>
    </row>
    <row r="1144" spans="1:6" x14ac:dyDescent="0.35">
      <c r="A1144" s="178"/>
      <c r="B1144" s="178"/>
      <c r="C1144" s="180"/>
      <c r="D1144" s="178"/>
    </row>
    <row r="1145" spans="1:6" x14ac:dyDescent="0.35">
      <c r="A1145" s="178"/>
      <c r="B1145" s="178"/>
      <c r="C1145" s="180"/>
      <c r="D1145" s="178"/>
    </row>
    <row r="1146" spans="1:6" x14ac:dyDescent="0.35">
      <c r="A1146" s="178"/>
      <c r="B1146" s="178"/>
      <c r="C1146" s="180"/>
      <c r="D1146" s="178"/>
    </row>
    <row r="1147" spans="1:6" x14ac:dyDescent="0.35">
      <c r="A1147" s="178"/>
      <c r="B1147" s="178"/>
      <c r="C1147" s="180"/>
      <c r="D1147" s="178"/>
    </row>
    <row r="1148" spans="1:6" x14ac:dyDescent="0.35">
      <c r="A1148" s="178"/>
      <c r="B1148" s="178"/>
      <c r="C1148" s="180"/>
      <c r="D1148" s="178"/>
      <c r="F1148" s="178"/>
    </row>
    <row r="1149" spans="1:6" x14ac:dyDescent="0.35">
      <c r="A1149" s="178"/>
      <c r="B1149" s="178"/>
      <c r="C1149" s="180"/>
      <c r="D1149" s="178"/>
    </row>
    <row r="1150" spans="1:6" x14ac:dyDescent="0.35">
      <c r="A1150" s="178"/>
      <c r="B1150" s="178"/>
      <c r="C1150" s="180"/>
      <c r="D1150" s="178"/>
    </row>
    <row r="1151" spans="1:6" x14ac:dyDescent="0.35">
      <c r="A1151" s="178"/>
      <c r="B1151" s="178"/>
      <c r="C1151" s="180"/>
      <c r="D1151" s="178"/>
    </row>
    <row r="1152" spans="1:6" x14ac:dyDescent="0.35">
      <c r="A1152" s="178"/>
      <c r="B1152" s="178"/>
      <c r="C1152" s="180"/>
      <c r="D1152" s="178"/>
    </row>
    <row r="1153" spans="1:4" x14ac:dyDescent="0.35">
      <c r="A1153" s="178"/>
      <c r="B1153" s="178"/>
      <c r="C1153" s="180"/>
      <c r="D1153" s="178"/>
    </row>
    <row r="1154" spans="1:4" x14ac:dyDescent="0.35">
      <c r="A1154" s="178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55"/>
  <sheetViews>
    <sheetView topLeftCell="A88" workbookViewId="0">
      <selection activeCell="E5" sqref="E5:E97"/>
    </sheetView>
  </sheetViews>
  <sheetFormatPr defaultColWidth="18.26953125" defaultRowHeight="14.5" x14ac:dyDescent="0.35"/>
  <cols>
    <col min="1" max="1" width="20.81640625" customWidth="1"/>
    <col min="2" max="2" width="21.54296875" bestFit="1" customWidth="1"/>
    <col min="3" max="3" width="11" bestFit="1" customWidth="1"/>
    <col min="4" max="4" width="14.90625" customWidth="1"/>
    <col min="5" max="5" width="11.453125" style="126" bestFit="1" customWidth="1"/>
    <col min="6" max="6" width="9" bestFit="1" customWidth="1"/>
    <col min="7" max="7" width="10" bestFit="1" customWidth="1"/>
  </cols>
  <sheetData>
    <row r="1" spans="1:7" x14ac:dyDescent="0.35">
      <c r="A1" s="178" t="s">
        <v>56</v>
      </c>
      <c r="E1"/>
    </row>
    <row r="2" spans="1:7" x14ac:dyDescent="0.35">
      <c r="A2" s="178" t="s">
        <v>697</v>
      </c>
      <c r="E2"/>
    </row>
    <row r="3" spans="1:7" x14ac:dyDescent="0.35">
      <c r="A3" s="178" t="s">
        <v>57</v>
      </c>
      <c r="E3"/>
    </row>
    <row r="4" spans="1:7" x14ac:dyDescent="0.35">
      <c r="A4" s="178" t="s">
        <v>698</v>
      </c>
      <c r="B4" s="178" t="s">
        <v>699</v>
      </c>
      <c r="C4" s="178" t="s">
        <v>700</v>
      </c>
      <c r="D4" s="178" t="s">
        <v>701</v>
      </c>
      <c r="E4" s="178" t="s">
        <v>702</v>
      </c>
      <c r="F4" s="178" t="s">
        <v>703</v>
      </c>
      <c r="G4" s="178" t="s">
        <v>704</v>
      </c>
    </row>
    <row r="5" spans="1:7" x14ac:dyDescent="0.35">
      <c r="A5" s="178" t="s">
        <v>705</v>
      </c>
      <c r="B5" s="178" t="s">
        <v>706</v>
      </c>
      <c r="C5" s="178" t="s">
        <v>707</v>
      </c>
      <c r="D5" s="178" t="s">
        <v>708</v>
      </c>
      <c r="E5">
        <v>-984.4</v>
      </c>
      <c r="F5">
        <v>-147.66</v>
      </c>
      <c r="G5">
        <v>-1132.06</v>
      </c>
    </row>
    <row r="6" spans="1:7" x14ac:dyDescent="0.35">
      <c r="A6" s="178" t="s">
        <v>709</v>
      </c>
      <c r="B6" s="178" t="s">
        <v>710</v>
      </c>
      <c r="C6" s="178" t="s">
        <v>707</v>
      </c>
      <c r="D6" s="178" t="s">
        <v>711</v>
      </c>
      <c r="E6">
        <v>-1209</v>
      </c>
      <c r="F6">
        <v>-181.35</v>
      </c>
      <c r="G6">
        <v>-1390.35</v>
      </c>
    </row>
    <row r="7" spans="1:7" x14ac:dyDescent="0.35">
      <c r="A7" s="178" t="s">
        <v>712</v>
      </c>
      <c r="B7" s="178" t="s">
        <v>713</v>
      </c>
      <c r="C7" s="178" t="s">
        <v>707</v>
      </c>
      <c r="D7" s="178" t="s">
        <v>714</v>
      </c>
      <c r="E7">
        <v>-330</v>
      </c>
      <c r="F7">
        <v>-49.5</v>
      </c>
      <c r="G7">
        <v>-379.5</v>
      </c>
    </row>
    <row r="8" spans="1:7" x14ac:dyDescent="0.35">
      <c r="A8" s="178" t="s">
        <v>715</v>
      </c>
      <c r="B8" s="178" t="s">
        <v>716</v>
      </c>
      <c r="C8" s="178" t="s">
        <v>707</v>
      </c>
      <c r="D8" s="178" t="s">
        <v>717</v>
      </c>
      <c r="E8">
        <v>-604.35</v>
      </c>
      <c r="F8">
        <v>-90.65</v>
      </c>
      <c r="G8">
        <v>-695</v>
      </c>
    </row>
    <row r="9" spans="1:7" x14ac:dyDescent="0.35">
      <c r="A9" s="178" t="s">
        <v>718</v>
      </c>
      <c r="B9" s="178" t="s">
        <v>719</v>
      </c>
      <c r="C9" s="178" t="s">
        <v>707</v>
      </c>
      <c r="D9">
        <v>49667</v>
      </c>
      <c r="E9">
        <v>-1165.25</v>
      </c>
      <c r="F9">
        <v>-174.79</v>
      </c>
      <c r="G9">
        <v>-1340.04</v>
      </c>
    </row>
    <row r="10" spans="1:7" x14ac:dyDescent="0.35">
      <c r="A10" s="178" t="s">
        <v>720</v>
      </c>
      <c r="B10" s="178" t="s">
        <v>721</v>
      </c>
      <c r="C10" s="178" t="s">
        <v>722</v>
      </c>
      <c r="D10" s="178" t="s">
        <v>723</v>
      </c>
      <c r="E10">
        <v>-4555.2</v>
      </c>
      <c r="F10">
        <v>-683.28</v>
      </c>
      <c r="G10">
        <v>-5238.4799999999996</v>
      </c>
    </row>
    <row r="11" spans="1:7" x14ac:dyDescent="0.35">
      <c r="A11" s="178" t="s">
        <v>720</v>
      </c>
      <c r="B11" s="178" t="s">
        <v>724</v>
      </c>
      <c r="C11" s="178" t="s">
        <v>722</v>
      </c>
      <c r="D11" s="178" t="s">
        <v>725</v>
      </c>
      <c r="E11">
        <v>-4661.05</v>
      </c>
      <c r="F11">
        <v>-699.16</v>
      </c>
      <c r="G11">
        <v>-5360.21</v>
      </c>
    </row>
    <row r="12" spans="1:7" x14ac:dyDescent="0.35">
      <c r="A12" s="178" t="s">
        <v>726</v>
      </c>
      <c r="B12" s="178" t="s">
        <v>727</v>
      </c>
      <c r="C12" s="178" t="s">
        <v>722</v>
      </c>
      <c r="D12">
        <v>49563</v>
      </c>
      <c r="E12">
        <v>-1900</v>
      </c>
      <c r="F12">
        <v>-285</v>
      </c>
      <c r="G12">
        <v>-2185</v>
      </c>
    </row>
    <row r="13" spans="1:7" x14ac:dyDescent="0.35">
      <c r="A13" s="178" t="s">
        <v>720</v>
      </c>
      <c r="B13" s="178" t="s">
        <v>728</v>
      </c>
      <c r="C13" s="178" t="s">
        <v>729</v>
      </c>
      <c r="D13" s="178" t="s">
        <v>730</v>
      </c>
      <c r="E13">
        <v>-1358.1</v>
      </c>
      <c r="F13">
        <v>-203.72</v>
      </c>
      <c r="G13">
        <v>-1561.82</v>
      </c>
    </row>
    <row r="14" spans="1:7" x14ac:dyDescent="0.35">
      <c r="A14" s="178" t="s">
        <v>731</v>
      </c>
      <c r="B14" s="178" t="s">
        <v>732</v>
      </c>
      <c r="C14" s="178" t="s">
        <v>729</v>
      </c>
      <c r="D14" s="178" t="s">
        <v>733</v>
      </c>
      <c r="E14">
        <v>-7420</v>
      </c>
      <c r="F14">
        <v>-1113</v>
      </c>
      <c r="G14">
        <v>-8533</v>
      </c>
    </row>
    <row r="15" spans="1:7" x14ac:dyDescent="0.35">
      <c r="A15" s="178" t="s">
        <v>734</v>
      </c>
      <c r="B15" s="178" t="s">
        <v>735</v>
      </c>
      <c r="C15" s="178" t="s">
        <v>729</v>
      </c>
      <c r="D15" s="178" t="s">
        <v>736</v>
      </c>
      <c r="E15">
        <v>-770.8</v>
      </c>
      <c r="F15">
        <v>-115.62</v>
      </c>
      <c r="G15">
        <v>-886.42</v>
      </c>
    </row>
    <row r="16" spans="1:7" x14ac:dyDescent="0.35">
      <c r="A16" s="178" t="s">
        <v>737</v>
      </c>
      <c r="B16" s="178" t="s">
        <v>738</v>
      </c>
      <c r="C16" s="178" t="s">
        <v>739</v>
      </c>
      <c r="D16" s="178" t="s">
        <v>740</v>
      </c>
      <c r="E16">
        <v>-2314.85</v>
      </c>
      <c r="F16">
        <v>-347.23</v>
      </c>
      <c r="G16">
        <v>-2662.08</v>
      </c>
    </row>
    <row r="17" spans="1:7" x14ac:dyDescent="0.35">
      <c r="A17" s="178" t="s">
        <v>741</v>
      </c>
      <c r="B17" s="178" t="s">
        <v>742</v>
      </c>
      <c r="C17" s="178" t="s">
        <v>739</v>
      </c>
      <c r="D17" s="178" t="s">
        <v>743</v>
      </c>
      <c r="E17">
        <v>-612</v>
      </c>
      <c r="F17">
        <v>-91.8</v>
      </c>
      <c r="G17">
        <v>-703.8</v>
      </c>
    </row>
    <row r="18" spans="1:7" x14ac:dyDescent="0.35">
      <c r="A18" s="178" t="s">
        <v>744</v>
      </c>
      <c r="B18" s="178" t="s">
        <v>745</v>
      </c>
      <c r="C18" s="178" t="s">
        <v>739</v>
      </c>
      <c r="D18" s="178" t="s">
        <v>733</v>
      </c>
      <c r="E18">
        <v>-2546</v>
      </c>
      <c r="F18">
        <v>-381.9</v>
      </c>
      <c r="G18">
        <v>-2927.9</v>
      </c>
    </row>
    <row r="19" spans="1:7" x14ac:dyDescent="0.35">
      <c r="A19" s="178" t="s">
        <v>746</v>
      </c>
      <c r="B19" s="178" t="s">
        <v>747</v>
      </c>
      <c r="C19" s="178" t="s">
        <v>748</v>
      </c>
      <c r="D19" s="178" t="s">
        <v>749</v>
      </c>
      <c r="E19">
        <v>-11257.35</v>
      </c>
      <c r="F19">
        <v>-1688.6</v>
      </c>
      <c r="G19">
        <v>-12945.95</v>
      </c>
    </row>
    <row r="20" spans="1:7" x14ac:dyDescent="0.35">
      <c r="A20" s="178" t="s">
        <v>750</v>
      </c>
      <c r="B20" s="178" t="s">
        <v>751</v>
      </c>
      <c r="C20" s="178" t="s">
        <v>748</v>
      </c>
      <c r="D20" s="178" t="s">
        <v>752</v>
      </c>
      <c r="E20">
        <v>-1800</v>
      </c>
      <c r="F20">
        <v>-270</v>
      </c>
      <c r="G20">
        <v>-2070</v>
      </c>
    </row>
    <row r="21" spans="1:7" x14ac:dyDescent="0.35">
      <c r="A21" s="178" t="s">
        <v>746</v>
      </c>
      <c r="B21" s="178" t="s">
        <v>753</v>
      </c>
      <c r="C21" s="178" t="s">
        <v>748</v>
      </c>
      <c r="D21" s="178" t="s">
        <v>754</v>
      </c>
      <c r="E21">
        <v>-1649.1</v>
      </c>
      <c r="F21">
        <v>-247.37</v>
      </c>
      <c r="G21">
        <v>-1896.47</v>
      </c>
    </row>
    <row r="22" spans="1:7" x14ac:dyDescent="0.35">
      <c r="A22" s="178" t="s">
        <v>755</v>
      </c>
      <c r="B22" s="178" t="s">
        <v>756</v>
      </c>
      <c r="C22" s="178" t="s">
        <v>748</v>
      </c>
      <c r="D22" s="178" t="s">
        <v>757</v>
      </c>
      <c r="E22">
        <v>-3987.2</v>
      </c>
      <c r="F22">
        <v>-598.08000000000004</v>
      </c>
      <c r="G22">
        <v>-4585.28</v>
      </c>
    </row>
    <row r="23" spans="1:7" x14ac:dyDescent="0.35">
      <c r="A23" s="178" t="s">
        <v>758</v>
      </c>
      <c r="B23" s="178" t="s">
        <v>759</v>
      </c>
      <c r="C23" s="178" t="s">
        <v>748</v>
      </c>
      <c r="D23" s="178" t="s">
        <v>760</v>
      </c>
      <c r="E23">
        <v>-834.3</v>
      </c>
      <c r="F23">
        <v>-125.15</v>
      </c>
      <c r="G23">
        <v>-959.45</v>
      </c>
    </row>
    <row r="24" spans="1:7" x14ac:dyDescent="0.35">
      <c r="A24" s="178" t="s">
        <v>761</v>
      </c>
      <c r="B24" s="178" t="s">
        <v>762</v>
      </c>
      <c r="C24" s="178" t="s">
        <v>763</v>
      </c>
      <c r="D24" s="178" t="s">
        <v>764</v>
      </c>
      <c r="E24">
        <v>-584.79999999999995</v>
      </c>
      <c r="F24">
        <v>-87.72</v>
      </c>
      <c r="G24">
        <v>-672.52</v>
      </c>
    </row>
    <row r="25" spans="1:7" x14ac:dyDescent="0.35">
      <c r="A25" s="178" t="s">
        <v>765</v>
      </c>
      <c r="B25" s="178" t="s">
        <v>766</v>
      </c>
      <c r="C25" s="178" t="s">
        <v>763</v>
      </c>
      <c r="D25" s="178" t="s">
        <v>767</v>
      </c>
      <c r="E25">
        <v>-7277.5</v>
      </c>
      <c r="F25">
        <v>-1091.6300000000001</v>
      </c>
      <c r="G25">
        <v>-8369.1299999999992</v>
      </c>
    </row>
    <row r="26" spans="1:7" x14ac:dyDescent="0.35">
      <c r="A26" s="178" t="s">
        <v>768</v>
      </c>
      <c r="B26" s="178" t="s">
        <v>769</v>
      </c>
      <c r="C26" s="178" t="s">
        <v>763</v>
      </c>
      <c r="D26" s="178" t="s">
        <v>770</v>
      </c>
      <c r="E26">
        <v>-778.3</v>
      </c>
      <c r="F26">
        <v>-116.75</v>
      </c>
      <c r="G26">
        <v>-895.05</v>
      </c>
    </row>
    <row r="27" spans="1:7" x14ac:dyDescent="0.35">
      <c r="A27" s="178" t="s">
        <v>771</v>
      </c>
      <c r="B27" s="178" t="s">
        <v>772</v>
      </c>
      <c r="C27" s="178" t="s">
        <v>763</v>
      </c>
      <c r="D27" s="178" t="s">
        <v>773</v>
      </c>
      <c r="E27">
        <v>-5845</v>
      </c>
      <c r="F27">
        <v>-876.75</v>
      </c>
      <c r="G27">
        <v>-6721.75</v>
      </c>
    </row>
    <row r="28" spans="1:7" x14ac:dyDescent="0.35">
      <c r="A28" s="178" t="s">
        <v>774</v>
      </c>
      <c r="B28" s="178" t="s">
        <v>775</v>
      </c>
      <c r="C28" s="178" t="s">
        <v>776</v>
      </c>
      <c r="D28" s="178" t="s">
        <v>777</v>
      </c>
      <c r="E28">
        <v>-748.2</v>
      </c>
      <c r="F28">
        <v>-112.23</v>
      </c>
      <c r="G28">
        <v>-860.43</v>
      </c>
    </row>
    <row r="29" spans="1:7" x14ac:dyDescent="0.35">
      <c r="A29" s="178" t="s">
        <v>778</v>
      </c>
      <c r="B29" s="178" t="s">
        <v>779</v>
      </c>
      <c r="C29" s="178" t="s">
        <v>776</v>
      </c>
      <c r="D29" s="178" t="s">
        <v>780</v>
      </c>
      <c r="E29">
        <v>-1320.2</v>
      </c>
      <c r="F29">
        <v>-198.03</v>
      </c>
      <c r="G29">
        <v>-1518.23</v>
      </c>
    </row>
    <row r="30" spans="1:7" x14ac:dyDescent="0.35">
      <c r="A30" s="178" t="s">
        <v>781</v>
      </c>
      <c r="B30" s="178" t="s">
        <v>782</v>
      </c>
      <c r="C30" s="178" t="s">
        <v>776</v>
      </c>
      <c r="D30" s="178" t="s">
        <v>783</v>
      </c>
      <c r="E30">
        <v>-838.3</v>
      </c>
      <c r="F30">
        <v>-125.75</v>
      </c>
      <c r="G30">
        <v>-964.05</v>
      </c>
    </row>
    <row r="31" spans="1:7" x14ac:dyDescent="0.35">
      <c r="A31" s="178" t="s">
        <v>746</v>
      </c>
      <c r="B31" s="178" t="s">
        <v>784</v>
      </c>
      <c r="C31" s="178" t="s">
        <v>776</v>
      </c>
      <c r="D31" s="178" t="s">
        <v>785</v>
      </c>
      <c r="E31">
        <v>-6216.9</v>
      </c>
      <c r="F31">
        <v>-932.54</v>
      </c>
      <c r="G31">
        <v>-7149.44</v>
      </c>
    </row>
    <row r="32" spans="1:7" x14ac:dyDescent="0.35">
      <c r="A32" s="178" t="s">
        <v>786</v>
      </c>
      <c r="B32" s="178" t="s">
        <v>787</v>
      </c>
      <c r="C32" s="178" t="s">
        <v>776</v>
      </c>
      <c r="D32" s="178" t="s">
        <v>788</v>
      </c>
      <c r="E32">
        <v>-4333.5</v>
      </c>
      <c r="F32">
        <v>-650.03</v>
      </c>
      <c r="G32">
        <v>-4983.53</v>
      </c>
    </row>
    <row r="33" spans="1:7" x14ac:dyDescent="0.35">
      <c r="A33" s="178" t="s">
        <v>789</v>
      </c>
      <c r="B33" s="178" t="s">
        <v>790</v>
      </c>
      <c r="C33" s="178" t="s">
        <v>791</v>
      </c>
      <c r="D33" s="178" t="s">
        <v>792</v>
      </c>
      <c r="E33">
        <v>-1276.2</v>
      </c>
      <c r="F33">
        <v>-191.43</v>
      </c>
      <c r="G33">
        <v>-1467.63</v>
      </c>
    </row>
    <row r="34" spans="1:7" x14ac:dyDescent="0.35">
      <c r="A34" s="178" t="s">
        <v>793</v>
      </c>
      <c r="B34" s="178" t="s">
        <v>794</v>
      </c>
      <c r="C34" s="178" t="s">
        <v>791</v>
      </c>
      <c r="D34">
        <v>38038</v>
      </c>
      <c r="E34">
        <v>-1980</v>
      </c>
      <c r="F34">
        <v>-297</v>
      </c>
      <c r="G34">
        <v>-2277</v>
      </c>
    </row>
    <row r="35" spans="1:7" x14ac:dyDescent="0.35">
      <c r="A35" s="178" t="s">
        <v>795</v>
      </c>
      <c r="B35" s="178" t="s">
        <v>796</v>
      </c>
      <c r="C35" s="178" t="s">
        <v>791</v>
      </c>
      <c r="D35" s="178" t="s">
        <v>760</v>
      </c>
      <c r="E35">
        <v>-6825.8</v>
      </c>
      <c r="F35">
        <v>-1023.88</v>
      </c>
      <c r="G35">
        <v>-7849.68</v>
      </c>
    </row>
    <row r="36" spans="1:7" x14ac:dyDescent="0.35">
      <c r="A36" s="178" t="s">
        <v>797</v>
      </c>
      <c r="B36" s="178" t="s">
        <v>798</v>
      </c>
      <c r="C36" s="178" t="s">
        <v>791</v>
      </c>
      <c r="D36" s="178" t="s">
        <v>733</v>
      </c>
      <c r="E36">
        <v>-2549.4</v>
      </c>
      <c r="F36">
        <v>-382.41</v>
      </c>
      <c r="G36">
        <v>-2931.81</v>
      </c>
    </row>
    <row r="37" spans="1:7" x14ac:dyDescent="0.35">
      <c r="A37" s="178" t="s">
        <v>799</v>
      </c>
      <c r="B37" s="178" t="s">
        <v>800</v>
      </c>
      <c r="C37" s="178" t="s">
        <v>791</v>
      </c>
      <c r="D37" s="178" t="s">
        <v>801</v>
      </c>
      <c r="E37">
        <v>-4126.75</v>
      </c>
      <c r="F37">
        <v>-619.01</v>
      </c>
      <c r="G37">
        <v>-4745.76</v>
      </c>
    </row>
    <row r="38" spans="1:7" x14ac:dyDescent="0.35">
      <c r="A38" s="178" t="s">
        <v>802</v>
      </c>
      <c r="B38" s="178" t="s">
        <v>803</v>
      </c>
      <c r="C38" s="178" t="s">
        <v>791</v>
      </c>
      <c r="D38" s="178" t="s">
        <v>804</v>
      </c>
      <c r="E38">
        <v>-4713.25</v>
      </c>
      <c r="F38">
        <v>-706.99</v>
      </c>
      <c r="G38">
        <v>-5420.24</v>
      </c>
    </row>
    <row r="39" spans="1:7" x14ac:dyDescent="0.35">
      <c r="A39" s="178" t="s">
        <v>805</v>
      </c>
      <c r="B39" s="178" t="s">
        <v>806</v>
      </c>
      <c r="C39" s="178" t="s">
        <v>807</v>
      </c>
      <c r="D39" s="178" t="s">
        <v>808</v>
      </c>
      <c r="E39">
        <v>-18814.95</v>
      </c>
      <c r="F39">
        <v>-2822.24</v>
      </c>
      <c r="G39">
        <v>-21637.19</v>
      </c>
    </row>
    <row r="40" spans="1:7" x14ac:dyDescent="0.35">
      <c r="A40" s="178" t="s">
        <v>809</v>
      </c>
      <c r="B40" s="178" t="s">
        <v>810</v>
      </c>
      <c r="C40" s="178" t="s">
        <v>807</v>
      </c>
      <c r="D40">
        <v>50004</v>
      </c>
      <c r="E40">
        <v>-4972.3500000000004</v>
      </c>
      <c r="F40">
        <v>-745.86</v>
      </c>
      <c r="G40">
        <v>-5718.21</v>
      </c>
    </row>
    <row r="41" spans="1:7" x14ac:dyDescent="0.35">
      <c r="A41" s="178" t="s">
        <v>811</v>
      </c>
      <c r="B41" s="178" t="s">
        <v>812</v>
      </c>
      <c r="C41" s="178" t="s">
        <v>807</v>
      </c>
      <c r="D41" s="178" t="s">
        <v>813</v>
      </c>
      <c r="E41">
        <v>-10633.9</v>
      </c>
      <c r="F41">
        <v>-1595.09</v>
      </c>
      <c r="G41">
        <v>-12228.99</v>
      </c>
    </row>
    <row r="42" spans="1:7" x14ac:dyDescent="0.35">
      <c r="A42" s="178" t="s">
        <v>811</v>
      </c>
      <c r="B42" s="178" t="s">
        <v>814</v>
      </c>
      <c r="C42" s="178" t="s">
        <v>807</v>
      </c>
      <c r="D42" s="178" t="s">
        <v>815</v>
      </c>
      <c r="E42">
        <v>-6518.8</v>
      </c>
      <c r="F42">
        <v>-977.82</v>
      </c>
      <c r="G42">
        <v>-7496.62</v>
      </c>
    </row>
    <row r="43" spans="1:7" x14ac:dyDescent="0.35">
      <c r="A43" s="178" t="s">
        <v>720</v>
      </c>
      <c r="B43" s="178" t="s">
        <v>816</v>
      </c>
      <c r="C43" s="178" t="s">
        <v>807</v>
      </c>
      <c r="D43" s="178" t="s">
        <v>817</v>
      </c>
      <c r="E43">
        <v>-1228.5</v>
      </c>
      <c r="F43">
        <v>-184.28</v>
      </c>
      <c r="G43">
        <v>-1412.78</v>
      </c>
    </row>
    <row r="44" spans="1:7" x14ac:dyDescent="0.35">
      <c r="A44" s="178" t="s">
        <v>818</v>
      </c>
      <c r="B44" s="178" t="s">
        <v>819</v>
      </c>
      <c r="C44" s="178" t="s">
        <v>807</v>
      </c>
      <c r="D44" s="178" t="s">
        <v>820</v>
      </c>
      <c r="E44">
        <v>-250</v>
      </c>
      <c r="F44">
        <v>-37.5</v>
      </c>
      <c r="G44">
        <v>-287.5</v>
      </c>
    </row>
    <row r="45" spans="1:7" x14ac:dyDescent="0.35">
      <c r="A45" s="178" t="s">
        <v>821</v>
      </c>
      <c r="B45" s="178" t="s">
        <v>822</v>
      </c>
      <c r="C45" s="178" t="s">
        <v>823</v>
      </c>
      <c r="D45" s="178" t="s">
        <v>824</v>
      </c>
      <c r="E45">
        <v>-4368.3999999999996</v>
      </c>
      <c r="F45">
        <v>-655.26</v>
      </c>
      <c r="G45">
        <v>-5023.66</v>
      </c>
    </row>
    <row r="46" spans="1:7" x14ac:dyDescent="0.35">
      <c r="A46" s="178" t="s">
        <v>825</v>
      </c>
      <c r="B46" s="178" t="s">
        <v>826</v>
      </c>
      <c r="C46" s="178" t="s">
        <v>823</v>
      </c>
      <c r="D46" s="178" t="s">
        <v>827</v>
      </c>
      <c r="E46">
        <v>-3216.4</v>
      </c>
      <c r="F46">
        <v>-482.46</v>
      </c>
      <c r="G46">
        <v>-3698.86</v>
      </c>
    </row>
    <row r="47" spans="1:7" x14ac:dyDescent="0.35">
      <c r="A47" s="178" t="s">
        <v>828</v>
      </c>
      <c r="B47" s="178" t="s">
        <v>829</v>
      </c>
      <c r="C47" s="178" t="s">
        <v>823</v>
      </c>
      <c r="D47">
        <v>50194</v>
      </c>
      <c r="E47">
        <v>-1209.5999999999999</v>
      </c>
      <c r="F47">
        <v>-181.44</v>
      </c>
      <c r="G47">
        <v>-1391.04</v>
      </c>
    </row>
    <row r="48" spans="1:7" x14ac:dyDescent="0.35">
      <c r="A48" s="178" t="s">
        <v>830</v>
      </c>
      <c r="B48" s="178" t="s">
        <v>831</v>
      </c>
      <c r="C48" s="178" t="s">
        <v>823</v>
      </c>
      <c r="D48" s="178" t="s">
        <v>832</v>
      </c>
      <c r="E48">
        <v>-635.5</v>
      </c>
      <c r="F48">
        <v>-95.33</v>
      </c>
      <c r="G48">
        <v>-730.83</v>
      </c>
    </row>
    <row r="49" spans="1:7" x14ac:dyDescent="0.35">
      <c r="A49" s="178" t="s">
        <v>833</v>
      </c>
      <c r="B49" s="178" t="s">
        <v>834</v>
      </c>
      <c r="C49" s="178" t="s">
        <v>823</v>
      </c>
      <c r="D49">
        <v>46477</v>
      </c>
      <c r="E49">
        <v>-2247.1999999999998</v>
      </c>
      <c r="F49">
        <v>-337.09</v>
      </c>
      <c r="G49">
        <v>-2584.29</v>
      </c>
    </row>
    <row r="50" spans="1:7" x14ac:dyDescent="0.35">
      <c r="A50" s="178" t="s">
        <v>793</v>
      </c>
      <c r="B50" s="178" t="s">
        <v>835</v>
      </c>
      <c r="C50" s="178" t="s">
        <v>823</v>
      </c>
      <c r="D50">
        <v>50081</v>
      </c>
      <c r="E50">
        <v>-885.6</v>
      </c>
      <c r="F50">
        <v>-132.84</v>
      </c>
      <c r="G50">
        <v>-1018.44</v>
      </c>
    </row>
    <row r="51" spans="1:7" x14ac:dyDescent="0.35">
      <c r="A51" s="178" t="s">
        <v>836</v>
      </c>
      <c r="B51" s="178" t="s">
        <v>837</v>
      </c>
      <c r="C51" s="178" t="s">
        <v>823</v>
      </c>
      <c r="D51" s="178" t="s">
        <v>838</v>
      </c>
      <c r="E51">
        <v>-2083.5</v>
      </c>
      <c r="F51">
        <v>-312.52999999999997</v>
      </c>
      <c r="G51">
        <v>-2396.0300000000002</v>
      </c>
    </row>
    <row r="52" spans="1:7" x14ac:dyDescent="0.35">
      <c r="A52" s="178" t="s">
        <v>839</v>
      </c>
      <c r="B52" s="178" t="s">
        <v>840</v>
      </c>
      <c r="C52" s="178" t="s">
        <v>823</v>
      </c>
      <c r="D52" s="178" t="s">
        <v>841</v>
      </c>
      <c r="E52">
        <v>-15705.2</v>
      </c>
      <c r="F52">
        <v>-2355.7800000000002</v>
      </c>
      <c r="G52">
        <v>-18060.98</v>
      </c>
    </row>
    <row r="53" spans="1:7" x14ac:dyDescent="0.35">
      <c r="A53" s="178" t="s">
        <v>842</v>
      </c>
      <c r="B53" s="178" t="s">
        <v>843</v>
      </c>
      <c r="C53" s="178" t="s">
        <v>823</v>
      </c>
      <c r="D53" s="178" t="s">
        <v>844</v>
      </c>
      <c r="E53">
        <v>-716.85</v>
      </c>
      <c r="F53">
        <v>-107.53</v>
      </c>
      <c r="G53">
        <v>-824.38</v>
      </c>
    </row>
    <row r="54" spans="1:7" x14ac:dyDescent="0.35">
      <c r="A54" s="178" t="s">
        <v>845</v>
      </c>
      <c r="B54" s="178" t="s">
        <v>846</v>
      </c>
      <c r="C54" s="178" t="s">
        <v>847</v>
      </c>
      <c r="D54" s="178" t="s">
        <v>848</v>
      </c>
      <c r="E54">
        <v>-1216.95</v>
      </c>
      <c r="F54">
        <v>-182.54</v>
      </c>
      <c r="G54">
        <v>-1399.49</v>
      </c>
    </row>
    <row r="55" spans="1:7" x14ac:dyDescent="0.35">
      <c r="A55" s="178" t="s">
        <v>849</v>
      </c>
      <c r="B55" s="178" t="s">
        <v>850</v>
      </c>
      <c r="C55" s="178" t="s">
        <v>823</v>
      </c>
      <c r="D55" s="178" t="s">
        <v>851</v>
      </c>
      <c r="E55">
        <v>-1555.2</v>
      </c>
      <c r="F55">
        <v>-233.28</v>
      </c>
      <c r="G55">
        <v>-1788.48</v>
      </c>
    </row>
    <row r="56" spans="1:7" x14ac:dyDescent="0.35">
      <c r="A56" s="178" t="s">
        <v>852</v>
      </c>
      <c r="B56" s="178" t="s">
        <v>853</v>
      </c>
      <c r="C56" s="178" t="s">
        <v>847</v>
      </c>
      <c r="D56" s="178" t="s">
        <v>854</v>
      </c>
      <c r="E56">
        <v>-1564.2</v>
      </c>
      <c r="F56">
        <v>-234.63</v>
      </c>
      <c r="G56">
        <v>-1798.83</v>
      </c>
    </row>
    <row r="57" spans="1:7" x14ac:dyDescent="0.35">
      <c r="A57" s="178" t="s">
        <v>809</v>
      </c>
      <c r="B57" s="178" t="s">
        <v>855</v>
      </c>
      <c r="C57" s="178" t="s">
        <v>856</v>
      </c>
      <c r="D57">
        <v>48977</v>
      </c>
      <c r="E57">
        <v>-2755.5</v>
      </c>
      <c r="F57">
        <v>-413.33</v>
      </c>
      <c r="G57">
        <v>-3168.83</v>
      </c>
    </row>
    <row r="58" spans="1:7" x14ac:dyDescent="0.35">
      <c r="A58" s="178" t="s">
        <v>857</v>
      </c>
      <c r="B58" s="178" t="s">
        <v>858</v>
      </c>
      <c r="C58" s="178" t="s">
        <v>856</v>
      </c>
      <c r="D58" s="178" t="s">
        <v>859</v>
      </c>
      <c r="E58">
        <v>-2946.7</v>
      </c>
      <c r="F58">
        <v>-442.01</v>
      </c>
      <c r="G58">
        <v>-3388.71</v>
      </c>
    </row>
    <row r="59" spans="1:7" x14ac:dyDescent="0.35">
      <c r="A59" s="178" t="s">
        <v>860</v>
      </c>
      <c r="B59" s="178" t="s">
        <v>861</v>
      </c>
      <c r="C59" s="178" t="s">
        <v>856</v>
      </c>
      <c r="D59" s="178" t="s">
        <v>733</v>
      </c>
      <c r="E59">
        <v>-12900.2</v>
      </c>
      <c r="F59">
        <v>-1935.03</v>
      </c>
      <c r="G59">
        <v>-14835.23</v>
      </c>
    </row>
    <row r="60" spans="1:7" x14ac:dyDescent="0.35">
      <c r="A60" s="178" t="s">
        <v>862</v>
      </c>
      <c r="B60" s="178" t="s">
        <v>863</v>
      </c>
      <c r="C60" s="178" t="s">
        <v>864</v>
      </c>
      <c r="D60" s="178" t="s">
        <v>865</v>
      </c>
      <c r="E60">
        <v>-739.5</v>
      </c>
      <c r="F60">
        <v>-110.93</v>
      </c>
      <c r="G60">
        <v>-850.43</v>
      </c>
    </row>
    <row r="61" spans="1:7" x14ac:dyDescent="0.35">
      <c r="A61" s="178" t="s">
        <v>821</v>
      </c>
      <c r="B61" s="178" t="s">
        <v>866</v>
      </c>
      <c r="C61" s="178" t="s">
        <v>864</v>
      </c>
      <c r="D61" s="178" t="s">
        <v>733</v>
      </c>
      <c r="E61">
        <v>-8534.4</v>
      </c>
      <c r="F61">
        <v>-1280.1600000000001</v>
      </c>
      <c r="G61">
        <v>-9814.56</v>
      </c>
    </row>
    <row r="62" spans="1:7" x14ac:dyDescent="0.35">
      <c r="A62" s="178" t="s">
        <v>867</v>
      </c>
      <c r="B62" s="178" t="s">
        <v>868</v>
      </c>
      <c r="C62" s="178" t="s">
        <v>864</v>
      </c>
      <c r="D62" s="178" t="s">
        <v>869</v>
      </c>
      <c r="E62">
        <v>-3733.85</v>
      </c>
      <c r="F62">
        <v>-560.08000000000004</v>
      </c>
      <c r="G62">
        <v>-4293.93</v>
      </c>
    </row>
    <row r="63" spans="1:7" x14ac:dyDescent="0.35">
      <c r="A63" s="178" t="s">
        <v>870</v>
      </c>
      <c r="B63" s="178" t="s">
        <v>871</v>
      </c>
      <c r="C63" s="178" t="s">
        <v>864</v>
      </c>
      <c r="D63" s="178" t="s">
        <v>872</v>
      </c>
      <c r="E63">
        <v>-4209.7</v>
      </c>
      <c r="F63">
        <v>-631.46</v>
      </c>
      <c r="G63">
        <v>-4841.16</v>
      </c>
    </row>
    <row r="64" spans="1:7" x14ac:dyDescent="0.35">
      <c r="A64" s="178" t="s">
        <v>873</v>
      </c>
      <c r="B64" s="178" t="s">
        <v>874</v>
      </c>
      <c r="C64" s="178" t="s">
        <v>864</v>
      </c>
      <c r="D64" s="178" t="s">
        <v>875</v>
      </c>
      <c r="E64">
        <v>-832.5</v>
      </c>
      <c r="F64">
        <v>-124.88</v>
      </c>
      <c r="G64">
        <v>-957.38</v>
      </c>
    </row>
    <row r="65" spans="1:7" x14ac:dyDescent="0.35">
      <c r="A65" s="178" t="s">
        <v>799</v>
      </c>
      <c r="B65" s="178" t="s">
        <v>876</v>
      </c>
      <c r="C65" s="178" t="s">
        <v>877</v>
      </c>
      <c r="D65" s="178" t="s">
        <v>878</v>
      </c>
      <c r="E65">
        <v>-3230</v>
      </c>
      <c r="F65">
        <v>-484.5</v>
      </c>
      <c r="G65">
        <v>-3714.5</v>
      </c>
    </row>
    <row r="66" spans="1:7" x14ac:dyDescent="0.35">
      <c r="A66" s="178" t="s">
        <v>879</v>
      </c>
      <c r="B66" s="178" t="s">
        <v>880</v>
      </c>
      <c r="C66" s="178" t="s">
        <v>877</v>
      </c>
      <c r="D66" s="178" t="s">
        <v>881</v>
      </c>
      <c r="E66">
        <v>-206.7</v>
      </c>
      <c r="F66">
        <v>-31.01</v>
      </c>
      <c r="G66">
        <v>-237.71</v>
      </c>
    </row>
    <row r="67" spans="1:7" x14ac:dyDescent="0.35">
      <c r="A67" s="178" t="s">
        <v>882</v>
      </c>
      <c r="B67" s="178" t="s">
        <v>883</v>
      </c>
      <c r="C67" s="178" t="s">
        <v>877</v>
      </c>
      <c r="D67" s="178" t="s">
        <v>884</v>
      </c>
      <c r="E67">
        <v>-796.5</v>
      </c>
      <c r="F67">
        <v>-119.48</v>
      </c>
      <c r="G67">
        <v>-915.98</v>
      </c>
    </row>
    <row r="68" spans="1:7" x14ac:dyDescent="0.35">
      <c r="A68" s="178" t="s">
        <v>885</v>
      </c>
      <c r="B68" s="178" t="s">
        <v>886</v>
      </c>
      <c r="C68" s="178" t="s">
        <v>887</v>
      </c>
      <c r="D68" s="178" t="s">
        <v>888</v>
      </c>
      <c r="E68">
        <v>-1088.0999999999999</v>
      </c>
      <c r="F68">
        <v>-163.22</v>
      </c>
      <c r="G68">
        <v>-1251.32</v>
      </c>
    </row>
    <row r="69" spans="1:7" x14ac:dyDescent="0.35">
      <c r="A69" s="178" t="s">
        <v>889</v>
      </c>
      <c r="B69" s="178" t="s">
        <v>890</v>
      </c>
      <c r="C69" s="178" t="s">
        <v>887</v>
      </c>
      <c r="D69" s="178" t="s">
        <v>891</v>
      </c>
      <c r="E69">
        <v>-56070</v>
      </c>
      <c r="F69">
        <v>-8410.5</v>
      </c>
      <c r="G69">
        <v>-64480.5</v>
      </c>
    </row>
    <row r="70" spans="1:7" x14ac:dyDescent="0.35">
      <c r="A70" s="178" t="s">
        <v>892</v>
      </c>
      <c r="B70" s="178" t="s">
        <v>893</v>
      </c>
      <c r="C70" s="178" t="s">
        <v>887</v>
      </c>
      <c r="D70" s="178" t="s">
        <v>894</v>
      </c>
      <c r="E70">
        <v>-2659.2</v>
      </c>
      <c r="F70">
        <v>-398.88</v>
      </c>
      <c r="G70">
        <v>-3058.08</v>
      </c>
    </row>
    <row r="71" spans="1:7" x14ac:dyDescent="0.35">
      <c r="A71" s="178" t="s">
        <v>895</v>
      </c>
      <c r="B71" s="178" t="s">
        <v>896</v>
      </c>
      <c r="C71" s="178" t="s">
        <v>887</v>
      </c>
      <c r="D71" s="178" t="s">
        <v>897</v>
      </c>
      <c r="E71">
        <v>-1505.4</v>
      </c>
      <c r="F71">
        <v>-225.81</v>
      </c>
      <c r="G71">
        <v>-1731.21</v>
      </c>
    </row>
    <row r="72" spans="1:7" x14ac:dyDescent="0.35">
      <c r="A72" s="178" t="s">
        <v>898</v>
      </c>
      <c r="B72" s="178" t="s">
        <v>899</v>
      </c>
      <c r="C72" s="178" t="s">
        <v>887</v>
      </c>
      <c r="D72" s="178" t="s">
        <v>900</v>
      </c>
      <c r="E72">
        <v>-2887.2</v>
      </c>
      <c r="F72">
        <v>-433.08</v>
      </c>
      <c r="G72">
        <v>-3320.28</v>
      </c>
    </row>
    <row r="73" spans="1:7" x14ac:dyDescent="0.35">
      <c r="A73" s="178" t="s">
        <v>857</v>
      </c>
      <c r="B73" s="178" t="s">
        <v>901</v>
      </c>
      <c r="C73" s="178" t="s">
        <v>902</v>
      </c>
      <c r="D73" s="178" t="s">
        <v>903</v>
      </c>
      <c r="E73">
        <v>-2205.9</v>
      </c>
      <c r="F73">
        <v>-330.89</v>
      </c>
      <c r="G73">
        <v>-2536.79</v>
      </c>
    </row>
    <row r="74" spans="1:7" x14ac:dyDescent="0.35">
      <c r="A74" s="178" t="s">
        <v>904</v>
      </c>
      <c r="B74" s="178" t="s">
        <v>905</v>
      </c>
      <c r="C74" s="178" t="s">
        <v>902</v>
      </c>
      <c r="D74" s="178" t="s">
        <v>906</v>
      </c>
      <c r="E74">
        <v>-1398.6</v>
      </c>
      <c r="F74">
        <v>-209.79</v>
      </c>
      <c r="G74">
        <v>-1608.39</v>
      </c>
    </row>
    <row r="75" spans="1:7" x14ac:dyDescent="0.35">
      <c r="A75" s="178" t="s">
        <v>907</v>
      </c>
      <c r="B75" s="178" t="s">
        <v>908</v>
      </c>
      <c r="C75" s="178" t="s">
        <v>902</v>
      </c>
      <c r="D75" s="178" t="s">
        <v>909</v>
      </c>
      <c r="E75">
        <v>-948.15</v>
      </c>
      <c r="F75">
        <v>-142.22</v>
      </c>
      <c r="G75">
        <v>-1090.3699999999999</v>
      </c>
    </row>
    <row r="76" spans="1:7" x14ac:dyDescent="0.35">
      <c r="A76" s="178" t="s">
        <v>910</v>
      </c>
      <c r="B76" s="178" t="s">
        <v>911</v>
      </c>
      <c r="C76" s="178" t="s">
        <v>902</v>
      </c>
      <c r="D76" s="178" t="s">
        <v>912</v>
      </c>
      <c r="E76">
        <v>-1398</v>
      </c>
      <c r="F76">
        <v>-209.7</v>
      </c>
      <c r="G76">
        <v>-1607.7</v>
      </c>
    </row>
    <row r="77" spans="1:7" x14ac:dyDescent="0.35">
      <c r="A77" s="178" t="s">
        <v>913</v>
      </c>
      <c r="B77" s="178" t="s">
        <v>914</v>
      </c>
      <c r="C77" s="178" t="s">
        <v>915</v>
      </c>
      <c r="D77" s="178" t="s">
        <v>916</v>
      </c>
      <c r="E77">
        <v>-713.8</v>
      </c>
      <c r="F77">
        <v>-107.07</v>
      </c>
      <c r="G77">
        <v>-820.87</v>
      </c>
    </row>
    <row r="78" spans="1:7" x14ac:dyDescent="0.35">
      <c r="A78" s="178" t="s">
        <v>917</v>
      </c>
      <c r="B78" s="178" t="s">
        <v>918</v>
      </c>
      <c r="C78" s="178" t="s">
        <v>915</v>
      </c>
      <c r="D78" s="178" t="s">
        <v>919</v>
      </c>
      <c r="E78">
        <v>-1141.8</v>
      </c>
      <c r="F78">
        <v>-171.27</v>
      </c>
      <c r="G78">
        <v>-1313.07</v>
      </c>
    </row>
    <row r="79" spans="1:7" x14ac:dyDescent="0.35">
      <c r="A79" s="178" t="s">
        <v>920</v>
      </c>
      <c r="B79" s="178" t="s">
        <v>921</v>
      </c>
      <c r="C79" s="178" t="s">
        <v>915</v>
      </c>
      <c r="D79" s="178" t="s">
        <v>922</v>
      </c>
      <c r="E79">
        <v>-2606.4</v>
      </c>
      <c r="F79">
        <v>-390.96</v>
      </c>
      <c r="G79">
        <v>-2997.36</v>
      </c>
    </row>
    <row r="80" spans="1:7" x14ac:dyDescent="0.35">
      <c r="A80" s="178" t="s">
        <v>802</v>
      </c>
      <c r="B80" s="178" t="s">
        <v>923</v>
      </c>
      <c r="C80" s="178" t="s">
        <v>915</v>
      </c>
      <c r="D80" s="178" t="s">
        <v>924</v>
      </c>
      <c r="E80">
        <v>-2612.25</v>
      </c>
      <c r="F80">
        <v>-391.84</v>
      </c>
      <c r="G80">
        <v>-3004.09</v>
      </c>
    </row>
    <row r="81" spans="1:7" x14ac:dyDescent="0.35">
      <c r="A81" s="178" t="s">
        <v>925</v>
      </c>
      <c r="B81" s="178" t="s">
        <v>926</v>
      </c>
      <c r="C81" s="178" t="s">
        <v>927</v>
      </c>
      <c r="D81" s="178" t="s">
        <v>928</v>
      </c>
      <c r="E81">
        <v>-4390.3</v>
      </c>
      <c r="F81">
        <v>-658.55</v>
      </c>
      <c r="G81">
        <v>-5048.8500000000004</v>
      </c>
    </row>
    <row r="82" spans="1:7" x14ac:dyDescent="0.35">
      <c r="A82" s="178" t="s">
        <v>929</v>
      </c>
      <c r="B82" s="178" t="s">
        <v>930</v>
      </c>
      <c r="C82" s="178" t="s">
        <v>927</v>
      </c>
      <c r="D82" s="178" t="s">
        <v>931</v>
      </c>
      <c r="E82">
        <v>-1280.2</v>
      </c>
      <c r="F82">
        <v>-192.03</v>
      </c>
      <c r="G82">
        <v>-1472.23</v>
      </c>
    </row>
    <row r="83" spans="1:7" x14ac:dyDescent="0.35">
      <c r="A83" s="178" t="s">
        <v>932</v>
      </c>
      <c r="B83" s="178" t="s">
        <v>933</v>
      </c>
      <c r="C83" s="178" t="s">
        <v>927</v>
      </c>
      <c r="D83" s="178" t="s">
        <v>934</v>
      </c>
      <c r="E83">
        <v>-2077.5</v>
      </c>
      <c r="F83">
        <v>-311.63</v>
      </c>
      <c r="G83">
        <v>-2389.13</v>
      </c>
    </row>
    <row r="84" spans="1:7" x14ac:dyDescent="0.35">
      <c r="A84" s="178" t="s">
        <v>839</v>
      </c>
      <c r="B84" s="178" t="s">
        <v>935</v>
      </c>
      <c r="C84" s="178" t="s">
        <v>927</v>
      </c>
      <c r="D84" s="178" t="s">
        <v>936</v>
      </c>
      <c r="E84">
        <v>-4678.8</v>
      </c>
      <c r="F84">
        <v>-701.82</v>
      </c>
      <c r="G84">
        <v>-5380.62</v>
      </c>
    </row>
    <row r="85" spans="1:7" x14ac:dyDescent="0.35">
      <c r="A85" s="178" t="s">
        <v>929</v>
      </c>
      <c r="B85" s="178" t="s">
        <v>937</v>
      </c>
      <c r="C85" s="178" t="s">
        <v>927</v>
      </c>
      <c r="D85" s="178" t="s">
        <v>938</v>
      </c>
      <c r="E85">
        <v>-1705.7</v>
      </c>
      <c r="F85">
        <v>-255.86</v>
      </c>
      <c r="G85">
        <v>-1961.56</v>
      </c>
    </row>
    <row r="86" spans="1:7" x14ac:dyDescent="0.35">
      <c r="A86" s="178" t="s">
        <v>939</v>
      </c>
      <c r="B86" s="178" t="s">
        <v>940</v>
      </c>
      <c r="C86" s="178" t="s">
        <v>941</v>
      </c>
      <c r="D86" s="178" t="s">
        <v>942</v>
      </c>
      <c r="E86">
        <v>-2110</v>
      </c>
      <c r="F86">
        <v>-316.5</v>
      </c>
      <c r="G86">
        <v>-2426.5</v>
      </c>
    </row>
    <row r="87" spans="1:7" x14ac:dyDescent="0.35">
      <c r="A87" s="178" t="s">
        <v>943</v>
      </c>
      <c r="B87" s="178" t="s">
        <v>944</v>
      </c>
      <c r="C87" s="178" t="s">
        <v>941</v>
      </c>
      <c r="D87" s="178" t="s">
        <v>945</v>
      </c>
      <c r="E87">
        <v>-1038.4000000000001</v>
      </c>
      <c r="F87">
        <v>-155.76</v>
      </c>
      <c r="G87">
        <v>-1194.1600000000001</v>
      </c>
    </row>
    <row r="88" spans="1:7" x14ac:dyDescent="0.35">
      <c r="A88" s="178" t="s">
        <v>793</v>
      </c>
      <c r="B88" s="178" t="s">
        <v>946</v>
      </c>
      <c r="C88" s="178" t="s">
        <v>941</v>
      </c>
      <c r="D88" s="178" t="s">
        <v>947</v>
      </c>
      <c r="E88">
        <v>-142296.20000000001</v>
      </c>
      <c r="F88">
        <v>-21344.44</v>
      </c>
      <c r="G88">
        <v>-163640.64000000001</v>
      </c>
    </row>
    <row r="89" spans="1:7" x14ac:dyDescent="0.35">
      <c r="A89" s="178" t="s">
        <v>860</v>
      </c>
      <c r="B89" s="178" t="s">
        <v>948</v>
      </c>
      <c r="C89" s="178" t="s">
        <v>941</v>
      </c>
      <c r="D89" s="178" t="s">
        <v>949</v>
      </c>
      <c r="E89">
        <v>-4141.95</v>
      </c>
      <c r="F89">
        <v>-621.29</v>
      </c>
      <c r="G89">
        <v>-4763.24</v>
      </c>
    </row>
    <row r="90" spans="1:7" x14ac:dyDescent="0.35">
      <c r="A90" s="178" t="s">
        <v>825</v>
      </c>
      <c r="B90" s="178" t="s">
        <v>950</v>
      </c>
      <c r="C90" s="178" t="s">
        <v>941</v>
      </c>
      <c r="D90" s="178" t="s">
        <v>951</v>
      </c>
      <c r="E90">
        <v>-3978</v>
      </c>
      <c r="F90">
        <v>-596.70000000000005</v>
      </c>
      <c r="G90">
        <v>-4574.7</v>
      </c>
    </row>
    <row r="91" spans="1:7" x14ac:dyDescent="0.35">
      <c r="A91" s="178" t="s">
        <v>952</v>
      </c>
      <c r="B91" s="178" t="s">
        <v>953</v>
      </c>
      <c r="C91" s="178" t="s">
        <v>954</v>
      </c>
      <c r="D91" s="178" t="s">
        <v>955</v>
      </c>
      <c r="E91">
        <v>-450</v>
      </c>
      <c r="F91">
        <v>-67.5</v>
      </c>
      <c r="G91">
        <v>-517.5</v>
      </c>
    </row>
    <row r="92" spans="1:7" x14ac:dyDescent="0.35">
      <c r="A92" s="178" t="s">
        <v>755</v>
      </c>
      <c r="B92" s="178" t="s">
        <v>956</v>
      </c>
      <c r="C92" s="178" t="s">
        <v>954</v>
      </c>
      <c r="D92" s="178" t="s">
        <v>957</v>
      </c>
      <c r="E92">
        <v>-1634.5</v>
      </c>
      <c r="F92">
        <v>-245.18</v>
      </c>
      <c r="G92">
        <v>-1879.68</v>
      </c>
    </row>
    <row r="93" spans="1:7" x14ac:dyDescent="0.35">
      <c r="A93" s="178" t="s">
        <v>958</v>
      </c>
      <c r="B93" s="178" t="s">
        <v>959</v>
      </c>
      <c r="C93" s="178" t="s">
        <v>954</v>
      </c>
      <c r="D93" s="178" t="s">
        <v>960</v>
      </c>
      <c r="E93">
        <v>-2224</v>
      </c>
      <c r="F93">
        <v>-333.6</v>
      </c>
      <c r="G93">
        <v>-2557.6</v>
      </c>
    </row>
    <row r="94" spans="1:7" x14ac:dyDescent="0.35">
      <c r="A94" s="178" t="s">
        <v>961</v>
      </c>
      <c r="B94" s="178" t="s">
        <v>962</v>
      </c>
      <c r="C94" s="178" t="s">
        <v>954</v>
      </c>
      <c r="D94" s="178" t="s">
        <v>963</v>
      </c>
      <c r="E94">
        <v>-2840.65</v>
      </c>
      <c r="F94">
        <v>-426.1</v>
      </c>
      <c r="G94">
        <v>-3266.75</v>
      </c>
    </row>
    <row r="95" spans="1:7" x14ac:dyDescent="0.35">
      <c r="A95" s="178" t="s">
        <v>964</v>
      </c>
      <c r="B95" s="178" t="s">
        <v>965</v>
      </c>
      <c r="C95" s="178" t="s">
        <v>954</v>
      </c>
      <c r="D95" s="178" t="s">
        <v>966</v>
      </c>
      <c r="E95">
        <v>-5390</v>
      </c>
      <c r="F95">
        <v>-808.5</v>
      </c>
      <c r="G95">
        <v>-6198.5</v>
      </c>
    </row>
    <row r="96" spans="1:7" x14ac:dyDescent="0.35">
      <c r="A96" s="178" t="s">
        <v>737</v>
      </c>
      <c r="B96" s="178" t="s">
        <v>967</v>
      </c>
      <c r="C96" s="178" t="s">
        <v>954</v>
      </c>
      <c r="D96" s="178" t="s">
        <v>968</v>
      </c>
      <c r="E96">
        <v>-4043.4</v>
      </c>
      <c r="F96">
        <v>-606.51</v>
      </c>
      <c r="G96">
        <v>-4649.91</v>
      </c>
    </row>
    <row r="97" spans="1:7" x14ac:dyDescent="0.35">
      <c r="A97" s="178" t="s">
        <v>969</v>
      </c>
      <c r="B97" s="178" t="s">
        <v>970</v>
      </c>
      <c r="C97" s="178" t="s">
        <v>887</v>
      </c>
      <c r="D97" s="178" t="s">
        <v>900</v>
      </c>
      <c r="E97">
        <v>-2887.2</v>
      </c>
      <c r="F97">
        <v>-433.08</v>
      </c>
      <c r="G97">
        <v>-3320.28</v>
      </c>
    </row>
    <row r="98" spans="1:7" x14ac:dyDescent="0.35">
      <c r="A98" s="178" t="s">
        <v>720</v>
      </c>
      <c r="B98" s="178" t="s">
        <v>971</v>
      </c>
      <c r="C98" s="178" t="s">
        <v>972</v>
      </c>
      <c r="D98" s="178" t="s">
        <v>57</v>
      </c>
      <c r="E98">
        <v>4749.8999999999996</v>
      </c>
      <c r="F98">
        <v>712.49</v>
      </c>
      <c r="G98">
        <v>5462.39</v>
      </c>
    </row>
    <row r="99" spans="1:7" x14ac:dyDescent="0.35">
      <c r="A99" s="178" t="s">
        <v>720</v>
      </c>
      <c r="B99" s="178" t="s">
        <v>973</v>
      </c>
      <c r="C99" s="178" t="s">
        <v>972</v>
      </c>
      <c r="D99" s="178" t="s">
        <v>57</v>
      </c>
      <c r="E99">
        <v>7292.7</v>
      </c>
      <c r="F99">
        <v>1093.9100000000001</v>
      </c>
      <c r="G99">
        <v>8386.61</v>
      </c>
    </row>
    <row r="100" spans="1:7" x14ac:dyDescent="0.35">
      <c r="A100" s="178" t="s">
        <v>781</v>
      </c>
      <c r="B100" s="178" t="s">
        <v>974</v>
      </c>
      <c r="C100" s="178" t="s">
        <v>972</v>
      </c>
      <c r="D100" s="178" t="s">
        <v>57</v>
      </c>
      <c r="E100">
        <v>9691.5</v>
      </c>
      <c r="F100">
        <v>1453.73</v>
      </c>
      <c r="G100">
        <v>11145.23</v>
      </c>
    </row>
    <row r="101" spans="1:7" x14ac:dyDescent="0.35">
      <c r="A101" s="178" t="s">
        <v>975</v>
      </c>
      <c r="B101" s="178" t="s">
        <v>976</v>
      </c>
      <c r="C101" s="178" t="s">
        <v>972</v>
      </c>
      <c r="D101" s="178" t="s">
        <v>57</v>
      </c>
      <c r="E101">
        <v>8538.6</v>
      </c>
      <c r="F101">
        <v>1280.79</v>
      </c>
      <c r="G101">
        <v>9819.39</v>
      </c>
    </row>
    <row r="102" spans="1:7" x14ac:dyDescent="0.35">
      <c r="A102" s="178" t="s">
        <v>977</v>
      </c>
      <c r="B102" s="178" t="s">
        <v>978</v>
      </c>
      <c r="C102" s="178" t="s">
        <v>972</v>
      </c>
      <c r="D102" s="178" t="s">
        <v>57</v>
      </c>
      <c r="E102">
        <v>51259.75</v>
      </c>
      <c r="F102">
        <v>7688.96</v>
      </c>
      <c r="G102">
        <v>58948.71</v>
      </c>
    </row>
    <row r="103" spans="1:7" x14ac:dyDescent="0.35">
      <c r="A103" s="178" t="s">
        <v>904</v>
      </c>
      <c r="B103" s="178" t="s">
        <v>979</v>
      </c>
      <c r="C103" s="178" t="s">
        <v>707</v>
      </c>
      <c r="D103" s="178" t="s">
        <v>980</v>
      </c>
      <c r="E103">
        <v>4636.1000000000004</v>
      </c>
      <c r="F103">
        <v>695.42</v>
      </c>
      <c r="G103">
        <v>5331.52</v>
      </c>
    </row>
    <row r="104" spans="1:7" x14ac:dyDescent="0.35">
      <c r="A104" s="178" t="s">
        <v>943</v>
      </c>
      <c r="B104" s="178" t="s">
        <v>981</v>
      </c>
      <c r="C104" s="178" t="s">
        <v>707</v>
      </c>
      <c r="D104" s="178" t="s">
        <v>982</v>
      </c>
      <c r="E104">
        <v>1038.4000000000001</v>
      </c>
      <c r="F104">
        <v>155.76</v>
      </c>
      <c r="G104">
        <v>1194.1600000000001</v>
      </c>
    </row>
    <row r="105" spans="1:7" x14ac:dyDescent="0.35">
      <c r="A105" s="178" t="s">
        <v>983</v>
      </c>
      <c r="B105" s="178" t="s">
        <v>984</v>
      </c>
      <c r="C105" s="178" t="s">
        <v>707</v>
      </c>
      <c r="D105" s="178" t="s">
        <v>985</v>
      </c>
      <c r="E105">
        <v>1466.5</v>
      </c>
      <c r="F105">
        <v>219.98</v>
      </c>
      <c r="G105">
        <v>1686.48</v>
      </c>
    </row>
    <row r="106" spans="1:7" x14ac:dyDescent="0.35">
      <c r="A106" s="178" t="s">
        <v>805</v>
      </c>
      <c r="B106" s="178" t="s">
        <v>986</v>
      </c>
      <c r="C106" s="178" t="s">
        <v>707</v>
      </c>
      <c r="D106" s="178" t="s">
        <v>987</v>
      </c>
      <c r="E106">
        <v>128356.2</v>
      </c>
      <c r="F106">
        <v>19253.43</v>
      </c>
      <c r="G106">
        <v>147609.63</v>
      </c>
    </row>
    <row r="107" spans="1:7" x14ac:dyDescent="0.35">
      <c r="A107" s="178" t="s">
        <v>988</v>
      </c>
      <c r="B107" s="178" t="s">
        <v>989</v>
      </c>
      <c r="C107" s="178" t="s">
        <v>707</v>
      </c>
      <c r="D107" s="178" t="s">
        <v>57</v>
      </c>
      <c r="E107">
        <v>4150</v>
      </c>
      <c r="F107">
        <v>622.5</v>
      </c>
      <c r="G107">
        <v>4772.5</v>
      </c>
    </row>
    <row r="108" spans="1:7" x14ac:dyDescent="0.35">
      <c r="A108" s="178" t="s">
        <v>990</v>
      </c>
      <c r="B108" s="178" t="s">
        <v>991</v>
      </c>
      <c r="C108" s="178" t="s">
        <v>707</v>
      </c>
      <c r="D108" s="178" t="s">
        <v>992</v>
      </c>
      <c r="E108">
        <v>8051.2</v>
      </c>
      <c r="F108">
        <v>1207.68</v>
      </c>
      <c r="G108">
        <v>9258.8799999999992</v>
      </c>
    </row>
    <row r="109" spans="1:7" x14ac:dyDescent="0.35">
      <c r="A109" s="178" t="s">
        <v>774</v>
      </c>
      <c r="B109" s="178" t="s">
        <v>993</v>
      </c>
      <c r="C109" s="178" t="s">
        <v>707</v>
      </c>
      <c r="D109" s="178" t="s">
        <v>57</v>
      </c>
      <c r="E109">
        <v>1406</v>
      </c>
      <c r="F109">
        <v>210.9</v>
      </c>
      <c r="G109">
        <v>1616.9</v>
      </c>
    </row>
    <row r="110" spans="1:7" x14ac:dyDescent="0.35">
      <c r="A110" s="178" t="s">
        <v>821</v>
      </c>
      <c r="B110" s="178" t="s">
        <v>994</v>
      </c>
      <c r="C110" s="178" t="s">
        <v>707</v>
      </c>
      <c r="D110" s="178" t="s">
        <v>57</v>
      </c>
      <c r="E110">
        <v>28884</v>
      </c>
      <c r="F110">
        <v>4332.6000000000004</v>
      </c>
      <c r="G110">
        <v>33216.6</v>
      </c>
    </row>
    <row r="111" spans="1:7" x14ac:dyDescent="0.35">
      <c r="A111" s="178" t="s">
        <v>932</v>
      </c>
      <c r="B111" s="178" t="s">
        <v>995</v>
      </c>
      <c r="C111" s="178" t="s">
        <v>707</v>
      </c>
      <c r="D111" s="178" t="s">
        <v>996</v>
      </c>
      <c r="E111">
        <v>14562.8</v>
      </c>
      <c r="F111">
        <v>2184.42</v>
      </c>
      <c r="G111">
        <v>16747.22</v>
      </c>
    </row>
    <row r="112" spans="1:7" x14ac:dyDescent="0.35">
      <c r="A112" s="178" t="s">
        <v>997</v>
      </c>
      <c r="B112" s="178" t="s">
        <v>998</v>
      </c>
      <c r="C112" s="178" t="s">
        <v>707</v>
      </c>
      <c r="D112" s="178" t="s">
        <v>999</v>
      </c>
      <c r="E112">
        <v>5473.9</v>
      </c>
      <c r="F112">
        <v>821.09</v>
      </c>
      <c r="G112">
        <v>6294.99</v>
      </c>
    </row>
    <row r="113" spans="1:7" x14ac:dyDescent="0.35">
      <c r="A113" s="178" t="s">
        <v>1000</v>
      </c>
      <c r="B113" s="178" t="s">
        <v>1001</v>
      </c>
      <c r="C113" s="178" t="s">
        <v>707</v>
      </c>
      <c r="D113" s="178" t="s">
        <v>1002</v>
      </c>
      <c r="E113">
        <v>9659.4</v>
      </c>
      <c r="F113">
        <v>1448.91</v>
      </c>
      <c r="G113">
        <v>11108.31</v>
      </c>
    </row>
    <row r="114" spans="1:7" x14ac:dyDescent="0.35">
      <c r="A114" s="178" t="s">
        <v>1003</v>
      </c>
      <c r="B114" s="178" t="s">
        <v>1004</v>
      </c>
      <c r="C114" s="178" t="s">
        <v>707</v>
      </c>
      <c r="D114" s="178" t="s">
        <v>1005</v>
      </c>
      <c r="E114">
        <v>5096.6000000000004</v>
      </c>
      <c r="F114">
        <v>764.49</v>
      </c>
      <c r="G114">
        <v>5861.09</v>
      </c>
    </row>
    <row r="115" spans="1:7" x14ac:dyDescent="0.35">
      <c r="A115" s="178" t="s">
        <v>1006</v>
      </c>
      <c r="B115" s="178" t="s">
        <v>1007</v>
      </c>
      <c r="C115" s="178" t="s">
        <v>707</v>
      </c>
      <c r="D115" s="178" t="s">
        <v>1008</v>
      </c>
      <c r="E115">
        <v>1967.35</v>
      </c>
      <c r="F115">
        <v>295.10000000000002</v>
      </c>
      <c r="G115">
        <v>2262.4499999999998</v>
      </c>
    </row>
    <row r="116" spans="1:7" x14ac:dyDescent="0.35">
      <c r="A116" s="178" t="s">
        <v>975</v>
      </c>
      <c r="B116" s="178" t="s">
        <v>1009</v>
      </c>
      <c r="C116" s="178" t="s">
        <v>707</v>
      </c>
      <c r="D116" s="178" t="s">
        <v>57</v>
      </c>
      <c r="E116">
        <v>31784.400000000001</v>
      </c>
      <c r="F116">
        <v>4767.67</v>
      </c>
      <c r="G116">
        <v>36552.07</v>
      </c>
    </row>
    <row r="117" spans="1:7" x14ac:dyDescent="0.35">
      <c r="A117" s="178" t="s">
        <v>1010</v>
      </c>
      <c r="B117" s="178" t="s">
        <v>1011</v>
      </c>
      <c r="C117" s="178" t="s">
        <v>707</v>
      </c>
      <c r="D117" s="178" t="s">
        <v>1012</v>
      </c>
      <c r="E117">
        <v>7899.05</v>
      </c>
      <c r="F117">
        <v>1184.8699999999999</v>
      </c>
      <c r="G117">
        <v>9083.92</v>
      </c>
    </row>
    <row r="118" spans="1:7" x14ac:dyDescent="0.35">
      <c r="A118" s="178" t="s">
        <v>932</v>
      </c>
      <c r="B118" s="178" t="s">
        <v>1013</v>
      </c>
      <c r="C118" s="178" t="s">
        <v>707</v>
      </c>
      <c r="D118" s="178" t="s">
        <v>57</v>
      </c>
      <c r="E118">
        <v>1789.2</v>
      </c>
      <c r="F118">
        <v>268.38</v>
      </c>
      <c r="G118">
        <v>2057.58</v>
      </c>
    </row>
    <row r="119" spans="1:7" x14ac:dyDescent="0.35">
      <c r="A119" s="178" t="s">
        <v>795</v>
      </c>
      <c r="B119" s="178" t="s">
        <v>1014</v>
      </c>
      <c r="C119" s="178" t="s">
        <v>707</v>
      </c>
      <c r="D119" s="178" t="s">
        <v>1015</v>
      </c>
      <c r="E119">
        <v>429.55</v>
      </c>
      <c r="F119">
        <v>64.430000000000007</v>
      </c>
      <c r="G119">
        <v>493.98</v>
      </c>
    </row>
    <row r="120" spans="1:7" x14ac:dyDescent="0.35">
      <c r="A120" s="178" t="s">
        <v>895</v>
      </c>
      <c r="B120" s="178" t="s">
        <v>1016</v>
      </c>
      <c r="C120" s="178" t="s">
        <v>707</v>
      </c>
      <c r="D120" s="178" t="s">
        <v>1017</v>
      </c>
      <c r="E120">
        <v>11891.1</v>
      </c>
      <c r="F120">
        <v>1783.67</v>
      </c>
      <c r="G120">
        <v>13674.77</v>
      </c>
    </row>
    <row r="121" spans="1:7" x14ac:dyDescent="0.35">
      <c r="A121" s="178" t="s">
        <v>720</v>
      </c>
      <c r="B121" s="178" t="s">
        <v>1018</v>
      </c>
      <c r="C121" s="178" t="s">
        <v>707</v>
      </c>
      <c r="D121" s="178" t="s">
        <v>57</v>
      </c>
      <c r="E121">
        <v>4555.2</v>
      </c>
      <c r="F121">
        <v>683.28</v>
      </c>
      <c r="G121">
        <v>5238.4799999999996</v>
      </c>
    </row>
    <row r="122" spans="1:7" x14ac:dyDescent="0.35">
      <c r="A122" s="178" t="s">
        <v>789</v>
      </c>
      <c r="B122" s="178" t="s">
        <v>1019</v>
      </c>
      <c r="C122" s="178" t="s">
        <v>707</v>
      </c>
      <c r="D122" s="178" t="s">
        <v>57</v>
      </c>
      <c r="E122">
        <v>15801.6</v>
      </c>
      <c r="F122">
        <v>2370.2399999999998</v>
      </c>
      <c r="G122">
        <v>18171.84</v>
      </c>
    </row>
    <row r="123" spans="1:7" x14ac:dyDescent="0.35">
      <c r="A123" s="178" t="s">
        <v>1020</v>
      </c>
      <c r="B123" s="178" t="s">
        <v>1021</v>
      </c>
      <c r="C123" s="178" t="s">
        <v>707</v>
      </c>
      <c r="D123" s="178" t="s">
        <v>1022</v>
      </c>
      <c r="E123">
        <v>6229.15</v>
      </c>
      <c r="F123">
        <v>934.37</v>
      </c>
      <c r="G123">
        <v>7163.52</v>
      </c>
    </row>
    <row r="124" spans="1:7" x14ac:dyDescent="0.35">
      <c r="A124" s="178" t="s">
        <v>1023</v>
      </c>
      <c r="B124" s="178" t="s">
        <v>1024</v>
      </c>
      <c r="C124" s="178" t="s">
        <v>707</v>
      </c>
      <c r="D124" s="178" t="s">
        <v>1025</v>
      </c>
      <c r="E124">
        <v>2766.15</v>
      </c>
      <c r="F124">
        <v>414.92</v>
      </c>
      <c r="G124">
        <v>3181.07</v>
      </c>
    </row>
    <row r="125" spans="1:7" x14ac:dyDescent="0.35">
      <c r="A125" s="178" t="s">
        <v>1026</v>
      </c>
      <c r="B125" s="178" t="s">
        <v>1027</v>
      </c>
      <c r="C125" s="178" t="s">
        <v>707</v>
      </c>
      <c r="D125" s="178" t="s">
        <v>57</v>
      </c>
      <c r="E125">
        <v>819</v>
      </c>
      <c r="F125">
        <v>122.85</v>
      </c>
      <c r="G125">
        <v>941.85</v>
      </c>
    </row>
    <row r="126" spans="1:7" x14ac:dyDescent="0.35">
      <c r="A126" s="178" t="s">
        <v>1028</v>
      </c>
      <c r="B126" s="178" t="s">
        <v>1029</v>
      </c>
      <c r="C126" s="178" t="s">
        <v>707</v>
      </c>
      <c r="D126" s="178" t="s">
        <v>1030</v>
      </c>
      <c r="E126">
        <v>6584.4</v>
      </c>
      <c r="F126">
        <v>987.66</v>
      </c>
      <c r="G126">
        <v>7572.06</v>
      </c>
    </row>
    <row r="127" spans="1:7" x14ac:dyDescent="0.35">
      <c r="A127" s="178" t="s">
        <v>828</v>
      </c>
      <c r="B127" s="178" t="s">
        <v>1031</v>
      </c>
      <c r="C127" s="178" t="s">
        <v>707</v>
      </c>
      <c r="D127" s="178" t="s">
        <v>57</v>
      </c>
      <c r="E127">
        <v>1516.9</v>
      </c>
      <c r="F127">
        <v>227.54</v>
      </c>
      <c r="G127">
        <v>1744.44</v>
      </c>
    </row>
    <row r="128" spans="1:7" x14ac:dyDescent="0.35">
      <c r="A128" s="178" t="s">
        <v>1032</v>
      </c>
      <c r="B128" s="178" t="s">
        <v>1033</v>
      </c>
      <c r="C128" s="178" t="s">
        <v>707</v>
      </c>
      <c r="D128" s="178" t="s">
        <v>57</v>
      </c>
      <c r="E128">
        <v>3495</v>
      </c>
      <c r="F128">
        <v>524.25</v>
      </c>
      <c r="G128">
        <v>4019.25</v>
      </c>
    </row>
    <row r="129" spans="1:7" x14ac:dyDescent="0.35">
      <c r="A129" s="178" t="s">
        <v>825</v>
      </c>
      <c r="B129" s="178" t="s">
        <v>1034</v>
      </c>
      <c r="C129" s="178" t="s">
        <v>707</v>
      </c>
      <c r="D129" s="178" t="s">
        <v>57</v>
      </c>
      <c r="E129">
        <v>8008.45</v>
      </c>
      <c r="F129">
        <v>1201.27</v>
      </c>
      <c r="G129">
        <v>9209.7199999999993</v>
      </c>
    </row>
    <row r="130" spans="1:7" x14ac:dyDescent="0.35">
      <c r="A130" s="178" t="s">
        <v>821</v>
      </c>
      <c r="B130" s="178" t="s">
        <v>1035</v>
      </c>
      <c r="C130" s="178" t="s">
        <v>707</v>
      </c>
      <c r="D130" s="178" t="s">
        <v>57</v>
      </c>
      <c r="E130">
        <v>18191.8</v>
      </c>
      <c r="F130">
        <v>2728.77</v>
      </c>
      <c r="G130">
        <v>20920.57</v>
      </c>
    </row>
    <row r="131" spans="1:7" x14ac:dyDescent="0.35">
      <c r="A131" s="178" t="s">
        <v>997</v>
      </c>
      <c r="B131" s="178" t="s">
        <v>1036</v>
      </c>
      <c r="C131" s="178" t="s">
        <v>707</v>
      </c>
      <c r="D131" s="178" t="s">
        <v>57</v>
      </c>
      <c r="E131">
        <v>843.2</v>
      </c>
      <c r="F131">
        <v>126.48</v>
      </c>
      <c r="G131">
        <v>969.68</v>
      </c>
    </row>
    <row r="132" spans="1:7" x14ac:dyDescent="0.35">
      <c r="A132" s="178" t="s">
        <v>1037</v>
      </c>
      <c r="B132" s="178" t="s">
        <v>1038</v>
      </c>
      <c r="C132" s="178" t="s">
        <v>707</v>
      </c>
      <c r="D132" s="178" t="s">
        <v>57</v>
      </c>
      <c r="E132">
        <v>17092.95</v>
      </c>
      <c r="F132">
        <v>2563.94</v>
      </c>
      <c r="G132">
        <v>19656.89</v>
      </c>
    </row>
    <row r="133" spans="1:7" x14ac:dyDescent="0.35">
      <c r="A133" s="178" t="s">
        <v>1039</v>
      </c>
      <c r="B133" s="178" t="s">
        <v>1040</v>
      </c>
      <c r="C133" s="178" t="s">
        <v>707</v>
      </c>
      <c r="D133" s="178" t="s">
        <v>57</v>
      </c>
      <c r="E133">
        <v>14644.8</v>
      </c>
      <c r="F133">
        <v>2196.7199999999998</v>
      </c>
      <c r="G133">
        <v>16841.52</v>
      </c>
    </row>
    <row r="134" spans="1:7" x14ac:dyDescent="0.35">
      <c r="A134" s="178" t="s">
        <v>1041</v>
      </c>
      <c r="B134" s="178" t="s">
        <v>1042</v>
      </c>
      <c r="C134" s="178" t="s">
        <v>707</v>
      </c>
      <c r="D134" s="178" t="s">
        <v>1043</v>
      </c>
      <c r="E134">
        <v>1348.95</v>
      </c>
      <c r="F134">
        <v>202.34</v>
      </c>
      <c r="G134">
        <v>1551.29</v>
      </c>
    </row>
    <row r="135" spans="1:7" x14ac:dyDescent="0.35">
      <c r="A135" s="178" t="s">
        <v>720</v>
      </c>
      <c r="B135" s="178" t="s">
        <v>1044</v>
      </c>
      <c r="C135" s="178" t="s">
        <v>707</v>
      </c>
      <c r="D135" s="178" t="s">
        <v>57</v>
      </c>
      <c r="E135">
        <v>4661.05</v>
      </c>
      <c r="F135">
        <v>699.16</v>
      </c>
      <c r="G135">
        <v>5360.21</v>
      </c>
    </row>
    <row r="136" spans="1:7" x14ac:dyDescent="0.35">
      <c r="A136" s="178" t="s">
        <v>1045</v>
      </c>
      <c r="B136" s="178" t="s">
        <v>1046</v>
      </c>
      <c r="C136" s="178" t="s">
        <v>707</v>
      </c>
      <c r="D136" s="178" t="s">
        <v>57</v>
      </c>
      <c r="E136">
        <v>4830</v>
      </c>
      <c r="F136">
        <v>724.5</v>
      </c>
      <c r="G136">
        <v>5554.5</v>
      </c>
    </row>
    <row r="137" spans="1:7" x14ac:dyDescent="0.35">
      <c r="A137" s="178" t="s">
        <v>1047</v>
      </c>
      <c r="B137" s="178" t="s">
        <v>1048</v>
      </c>
      <c r="C137" s="178" t="s">
        <v>707</v>
      </c>
      <c r="D137" s="178" t="s">
        <v>57</v>
      </c>
      <c r="E137">
        <v>896.75</v>
      </c>
      <c r="F137">
        <v>134.51</v>
      </c>
      <c r="G137">
        <v>1031.26</v>
      </c>
    </row>
    <row r="138" spans="1:7" x14ac:dyDescent="0.35">
      <c r="A138" s="178" t="s">
        <v>1049</v>
      </c>
      <c r="B138" s="178" t="s">
        <v>1050</v>
      </c>
      <c r="C138" s="178" t="s">
        <v>707</v>
      </c>
      <c r="D138" s="178" t="s">
        <v>1051</v>
      </c>
      <c r="E138">
        <v>6045.8</v>
      </c>
      <c r="F138">
        <v>906.87</v>
      </c>
      <c r="G138">
        <v>6952.67</v>
      </c>
    </row>
    <row r="139" spans="1:7" x14ac:dyDescent="0.35">
      <c r="A139" s="178" t="s">
        <v>1052</v>
      </c>
      <c r="B139" s="178" t="s">
        <v>1053</v>
      </c>
      <c r="C139" s="178" t="s">
        <v>707</v>
      </c>
      <c r="D139" s="178" t="s">
        <v>1054</v>
      </c>
      <c r="E139">
        <v>868.5</v>
      </c>
      <c r="F139">
        <v>130.28</v>
      </c>
      <c r="G139">
        <v>998.78</v>
      </c>
    </row>
    <row r="140" spans="1:7" x14ac:dyDescent="0.35">
      <c r="A140" s="178" t="s">
        <v>1032</v>
      </c>
      <c r="B140" s="178" t="s">
        <v>1055</v>
      </c>
      <c r="C140" s="178" t="s">
        <v>707</v>
      </c>
      <c r="D140" s="178" t="s">
        <v>57</v>
      </c>
      <c r="E140">
        <v>56250</v>
      </c>
      <c r="F140">
        <v>8437.5</v>
      </c>
      <c r="G140">
        <v>64687.5</v>
      </c>
    </row>
    <row r="141" spans="1:7" x14ac:dyDescent="0.35">
      <c r="A141" s="178" t="s">
        <v>1056</v>
      </c>
      <c r="B141" s="178" t="s">
        <v>1057</v>
      </c>
      <c r="C141" s="178" t="s">
        <v>707</v>
      </c>
      <c r="D141" s="178" t="s">
        <v>57</v>
      </c>
      <c r="E141">
        <v>3503.7</v>
      </c>
      <c r="F141">
        <v>525.55999999999995</v>
      </c>
      <c r="G141">
        <v>4029.26</v>
      </c>
    </row>
    <row r="142" spans="1:7" x14ac:dyDescent="0.35">
      <c r="A142" s="178" t="s">
        <v>1058</v>
      </c>
      <c r="B142" s="178" t="s">
        <v>1059</v>
      </c>
      <c r="C142" s="178" t="s">
        <v>707</v>
      </c>
      <c r="D142" s="178" t="s">
        <v>57</v>
      </c>
      <c r="E142">
        <v>2688</v>
      </c>
      <c r="F142">
        <v>403.2</v>
      </c>
      <c r="G142">
        <v>3091.2</v>
      </c>
    </row>
    <row r="143" spans="1:7" x14ac:dyDescent="0.35">
      <c r="A143" s="178" t="s">
        <v>793</v>
      </c>
      <c r="B143" s="178" t="s">
        <v>1060</v>
      </c>
      <c r="C143" s="178" t="s">
        <v>707</v>
      </c>
      <c r="D143">
        <v>37767</v>
      </c>
      <c r="E143">
        <v>15787.2</v>
      </c>
      <c r="F143">
        <v>2368.08</v>
      </c>
      <c r="G143">
        <v>18155.28</v>
      </c>
    </row>
    <row r="144" spans="1:7" x14ac:dyDescent="0.35">
      <c r="A144" s="178" t="s">
        <v>1061</v>
      </c>
      <c r="B144" s="178" t="s">
        <v>1062</v>
      </c>
      <c r="C144" s="178" t="s">
        <v>707</v>
      </c>
      <c r="D144" s="178" t="s">
        <v>1063</v>
      </c>
      <c r="E144">
        <v>1420.55</v>
      </c>
      <c r="F144">
        <v>213.08</v>
      </c>
      <c r="G144">
        <v>1633.63</v>
      </c>
    </row>
    <row r="145" spans="1:7" x14ac:dyDescent="0.35">
      <c r="A145" s="178" t="s">
        <v>1064</v>
      </c>
      <c r="B145" s="178" t="s">
        <v>1065</v>
      </c>
      <c r="C145" s="178" t="s">
        <v>707</v>
      </c>
      <c r="D145" s="178" t="s">
        <v>57</v>
      </c>
      <c r="E145">
        <v>1000</v>
      </c>
      <c r="F145">
        <v>150</v>
      </c>
      <c r="G145">
        <v>1150</v>
      </c>
    </row>
    <row r="146" spans="1:7" x14ac:dyDescent="0.35">
      <c r="A146" s="178" t="s">
        <v>1066</v>
      </c>
      <c r="B146" s="178" t="s">
        <v>1067</v>
      </c>
      <c r="C146" s="178" t="s">
        <v>707</v>
      </c>
      <c r="D146" s="178" t="s">
        <v>57</v>
      </c>
      <c r="E146">
        <v>1101.4000000000001</v>
      </c>
      <c r="F146">
        <v>165.22</v>
      </c>
      <c r="G146">
        <v>1266.6199999999999</v>
      </c>
    </row>
    <row r="147" spans="1:7" x14ac:dyDescent="0.35">
      <c r="A147" s="178" t="s">
        <v>1068</v>
      </c>
      <c r="B147" s="178" t="s">
        <v>1069</v>
      </c>
      <c r="C147" s="178" t="s">
        <v>707</v>
      </c>
      <c r="D147" s="178" t="s">
        <v>57</v>
      </c>
      <c r="E147">
        <v>17521</v>
      </c>
      <c r="F147">
        <v>2628.15</v>
      </c>
      <c r="G147">
        <v>20149.150000000001</v>
      </c>
    </row>
    <row r="148" spans="1:7" x14ac:dyDescent="0.35">
      <c r="A148" s="178" t="s">
        <v>1070</v>
      </c>
      <c r="B148" s="178" t="s">
        <v>1071</v>
      </c>
      <c r="C148" s="178" t="s">
        <v>707</v>
      </c>
      <c r="D148" s="178" t="s">
        <v>57</v>
      </c>
      <c r="E148">
        <v>664.2</v>
      </c>
      <c r="F148">
        <v>99.63</v>
      </c>
      <c r="G148">
        <v>763.83</v>
      </c>
    </row>
    <row r="149" spans="1:7" x14ac:dyDescent="0.35">
      <c r="A149" s="178" t="s">
        <v>1070</v>
      </c>
      <c r="B149" s="178" t="s">
        <v>1072</v>
      </c>
      <c r="C149" s="178" t="s">
        <v>707</v>
      </c>
      <c r="D149" s="178" t="s">
        <v>57</v>
      </c>
      <c r="E149">
        <v>2447.4</v>
      </c>
      <c r="F149">
        <v>367.11</v>
      </c>
      <c r="G149">
        <v>2814.51</v>
      </c>
    </row>
    <row r="150" spans="1:7" x14ac:dyDescent="0.35">
      <c r="A150" s="178" t="s">
        <v>1073</v>
      </c>
      <c r="B150" s="178" t="s">
        <v>1074</v>
      </c>
      <c r="C150" s="178" t="s">
        <v>707</v>
      </c>
      <c r="D150" s="178" t="s">
        <v>57</v>
      </c>
      <c r="E150">
        <v>1177.0999999999999</v>
      </c>
      <c r="F150">
        <v>176.57</v>
      </c>
      <c r="G150">
        <v>1353.67</v>
      </c>
    </row>
    <row r="151" spans="1:7" x14ac:dyDescent="0.35">
      <c r="A151" s="178" t="s">
        <v>1075</v>
      </c>
      <c r="B151" s="178" t="s">
        <v>1076</v>
      </c>
      <c r="C151" s="178" t="s">
        <v>707</v>
      </c>
      <c r="D151" s="178" t="s">
        <v>57</v>
      </c>
      <c r="E151">
        <v>16474.349999999999</v>
      </c>
      <c r="F151">
        <v>2471.15</v>
      </c>
      <c r="G151">
        <v>18945.5</v>
      </c>
    </row>
    <row r="152" spans="1:7" x14ac:dyDescent="0.35">
      <c r="A152" s="178" t="s">
        <v>750</v>
      </c>
      <c r="B152" s="178" t="s">
        <v>1077</v>
      </c>
      <c r="C152" s="178" t="s">
        <v>707</v>
      </c>
      <c r="D152" s="178" t="s">
        <v>1078</v>
      </c>
      <c r="E152">
        <v>885.8</v>
      </c>
      <c r="F152">
        <v>132.87</v>
      </c>
      <c r="G152">
        <v>1018.67</v>
      </c>
    </row>
    <row r="153" spans="1:7" x14ac:dyDescent="0.35">
      <c r="A153" s="178" t="s">
        <v>988</v>
      </c>
      <c r="B153" s="178" t="s">
        <v>1079</v>
      </c>
      <c r="C153" s="178" t="s">
        <v>707</v>
      </c>
      <c r="D153" s="178" t="s">
        <v>57</v>
      </c>
      <c r="E153">
        <v>10872.35</v>
      </c>
      <c r="F153">
        <v>1630.86</v>
      </c>
      <c r="G153">
        <v>12503.21</v>
      </c>
    </row>
    <row r="154" spans="1:7" x14ac:dyDescent="0.35">
      <c r="A154" s="178" t="s">
        <v>977</v>
      </c>
      <c r="B154" s="178" t="s">
        <v>1080</v>
      </c>
      <c r="C154" s="178" t="s">
        <v>707</v>
      </c>
      <c r="D154" s="178" t="s">
        <v>1081</v>
      </c>
      <c r="E154">
        <v>3250</v>
      </c>
      <c r="F154">
        <v>487.5</v>
      </c>
      <c r="G154">
        <v>3737.5</v>
      </c>
    </row>
    <row r="155" spans="1:7" x14ac:dyDescent="0.35">
      <c r="A155" s="178" t="s">
        <v>709</v>
      </c>
      <c r="B155" s="178" t="s">
        <v>1082</v>
      </c>
      <c r="C155" s="178" t="s">
        <v>707</v>
      </c>
      <c r="D155" s="178" t="s">
        <v>57</v>
      </c>
      <c r="E155">
        <v>1209</v>
      </c>
      <c r="F155">
        <v>181.35</v>
      </c>
      <c r="G155">
        <v>1390.35</v>
      </c>
    </row>
    <row r="156" spans="1:7" x14ac:dyDescent="0.35">
      <c r="A156" s="178" t="s">
        <v>1083</v>
      </c>
      <c r="B156" s="178" t="s">
        <v>1084</v>
      </c>
      <c r="C156" s="178" t="s">
        <v>707</v>
      </c>
      <c r="D156" s="178" t="s">
        <v>57</v>
      </c>
      <c r="E156">
        <v>40188.15</v>
      </c>
      <c r="F156">
        <v>6028.22</v>
      </c>
      <c r="G156">
        <v>46216.37</v>
      </c>
    </row>
    <row r="157" spans="1:7" x14ac:dyDescent="0.35">
      <c r="A157" s="178" t="s">
        <v>1085</v>
      </c>
      <c r="B157" s="178" t="s">
        <v>1086</v>
      </c>
      <c r="C157" s="178" t="s">
        <v>707</v>
      </c>
      <c r="D157" s="178" t="s">
        <v>1087</v>
      </c>
      <c r="E157">
        <v>4438.3999999999996</v>
      </c>
      <c r="F157">
        <v>665.76</v>
      </c>
      <c r="G157">
        <v>5104.16</v>
      </c>
    </row>
    <row r="158" spans="1:7" x14ac:dyDescent="0.35">
      <c r="A158" s="178" t="s">
        <v>988</v>
      </c>
      <c r="B158" s="178" t="s">
        <v>1088</v>
      </c>
      <c r="C158" s="178" t="s">
        <v>707</v>
      </c>
      <c r="D158" s="178" t="s">
        <v>57</v>
      </c>
      <c r="E158">
        <v>6663.8</v>
      </c>
      <c r="F158">
        <v>999.57</v>
      </c>
      <c r="G158">
        <v>7663.37</v>
      </c>
    </row>
    <row r="159" spans="1:7" x14ac:dyDescent="0.35">
      <c r="A159" s="178" t="s">
        <v>1089</v>
      </c>
      <c r="B159" s="178" t="s">
        <v>1090</v>
      </c>
      <c r="C159" s="178" t="s">
        <v>707</v>
      </c>
      <c r="D159" s="178" t="s">
        <v>57</v>
      </c>
      <c r="E159">
        <v>6430.3</v>
      </c>
      <c r="F159">
        <v>964.55</v>
      </c>
      <c r="G159">
        <v>7394.85</v>
      </c>
    </row>
    <row r="160" spans="1:7" x14ac:dyDescent="0.35">
      <c r="A160" s="178" t="s">
        <v>750</v>
      </c>
      <c r="B160" s="178" t="s">
        <v>1091</v>
      </c>
      <c r="C160" s="178" t="s">
        <v>707</v>
      </c>
      <c r="D160" s="178" t="s">
        <v>1092</v>
      </c>
      <c r="E160">
        <v>3345.1</v>
      </c>
      <c r="F160">
        <v>501.77</v>
      </c>
      <c r="G160">
        <v>3846.87</v>
      </c>
    </row>
    <row r="161" spans="1:7" x14ac:dyDescent="0.35">
      <c r="A161" s="178" t="s">
        <v>1093</v>
      </c>
      <c r="B161" s="178" t="s">
        <v>1094</v>
      </c>
      <c r="C161" s="178" t="s">
        <v>707</v>
      </c>
      <c r="D161" s="178" t="s">
        <v>57</v>
      </c>
      <c r="E161">
        <v>2132.4</v>
      </c>
      <c r="F161">
        <v>319.87</v>
      </c>
      <c r="G161">
        <v>2452.27</v>
      </c>
    </row>
    <row r="162" spans="1:7" x14ac:dyDescent="0.35">
      <c r="A162" s="178" t="s">
        <v>1095</v>
      </c>
      <c r="B162" s="178" t="s">
        <v>1096</v>
      </c>
      <c r="C162" s="178" t="s">
        <v>707</v>
      </c>
      <c r="D162" s="178" t="s">
        <v>57</v>
      </c>
      <c r="E162">
        <v>120338.6</v>
      </c>
      <c r="F162">
        <v>18050.810000000001</v>
      </c>
      <c r="G162">
        <v>138389.41</v>
      </c>
    </row>
    <row r="163" spans="1:7" x14ac:dyDescent="0.35">
      <c r="A163" s="178" t="s">
        <v>1097</v>
      </c>
      <c r="B163" s="178" t="s">
        <v>1098</v>
      </c>
      <c r="C163" s="178" t="s">
        <v>707</v>
      </c>
      <c r="D163" s="178" t="s">
        <v>57</v>
      </c>
      <c r="E163">
        <v>12665.2</v>
      </c>
      <c r="F163">
        <v>1899.78</v>
      </c>
      <c r="G163">
        <v>14564.98</v>
      </c>
    </row>
    <row r="164" spans="1:7" x14ac:dyDescent="0.35">
      <c r="A164" s="178" t="s">
        <v>1099</v>
      </c>
      <c r="B164" s="178" t="s">
        <v>1100</v>
      </c>
      <c r="C164" s="178" t="s">
        <v>707</v>
      </c>
      <c r="D164" s="178" t="s">
        <v>1101</v>
      </c>
      <c r="E164">
        <v>5374.7</v>
      </c>
      <c r="F164">
        <v>806.21</v>
      </c>
      <c r="G164">
        <v>6180.91</v>
      </c>
    </row>
    <row r="165" spans="1:7" x14ac:dyDescent="0.35">
      <c r="A165" s="178" t="s">
        <v>1102</v>
      </c>
      <c r="B165" s="178" t="s">
        <v>1103</v>
      </c>
      <c r="C165" s="178" t="s">
        <v>707</v>
      </c>
      <c r="D165" s="178" t="s">
        <v>57</v>
      </c>
      <c r="E165">
        <v>5849.7</v>
      </c>
      <c r="F165">
        <v>877.46</v>
      </c>
      <c r="G165">
        <v>6727.16</v>
      </c>
    </row>
    <row r="166" spans="1:7" x14ac:dyDescent="0.35">
      <c r="A166" s="178" t="s">
        <v>1104</v>
      </c>
      <c r="B166" s="178" t="s">
        <v>1105</v>
      </c>
      <c r="C166" s="178" t="s">
        <v>707</v>
      </c>
      <c r="D166" s="178" t="s">
        <v>57</v>
      </c>
      <c r="E166">
        <v>17706.75</v>
      </c>
      <c r="F166">
        <v>2656.02</v>
      </c>
      <c r="G166">
        <v>20362.77</v>
      </c>
    </row>
    <row r="167" spans="1:7" x14ac:dyDescent="0.35">
      <c r="A167" s="178" t="s">
        <v>1106</v>
      </c>
      <c r="B167" s="178" t="s">
        <v>1107</v>
      </c>
      <c r="C167" s="178" t="s">
        <v>707</v>
      </c>
      <c r="D167">
        <v>105891</v>
      </c>
      <c r="E167">
        <v>2907</v>
      </c>
      <c r="F167">
        <v>436.05</v>
      </c>
      <c r="G167">
        <v>3343.05</v>
      </c>
    </row>
    <row r="168" spans="1:7" x14ac:dyDescent="0.35">
      <c r="A168" s="178" t="s">
        <v>1108</v>
      </c>
      <c r="B168" s="178" t="s">
        <v>1109</v>
      </c>
      <c r="C168" s="178" t="s">
        <v>707</v>
      </c>
      <c r="D168" s="178" t="s">
        <v>57</v>
      </c>
      <c r="E168">
        <v>1427.1</v>
      </c>
      <c r="F168">
        <v>214.07</v>
      </c>
      <c r="G168">
        <v>1641.17</v>
      </c>
    </row>
    <row r="169" spans="1:7" x14ac:dyDescent="0.35">
      <c r="A169" s="178" t="s">
        <v>1110</v>
      </c>
      <c r="B169" s="178" t="s">
        <v>1111</v>
      </c>
      <c r="C169" s="178" t="s">
        <v>707</v>
      </c>
      <c r="D169" s="178" t="s">
        <v>57</v>
      </c>
      <c r="E169">
        <v>4458.8999999999996</v>
      </c>
      <c r="F169">
        <v>668.84</v>
      </c>
      <c r="G169">
        <v>5127.74</v>
      </c>
    </row>
    <row r="170" spans="1:7" x14ac:dyDescent="0.35">
      <c r="A170" s="178" t="s">
        <v>988</v>
      </c>
      <c r="B170" s="178" t="s">
        <v>1112</v>
      </c>
      <c r="C170" s="178" t="s">
        <v>707</v>
      </c>
      <c r="D170" s="178" t="s">
        <v>57</v>
      </c>
      <c r="E170">
        <v>1206.8</v>
      </c>
      <c r="F170">
        <v>181.02</v>
      </c>
      <c r="G170">
        <v>1387.82</v>
      </c>
    </row>
    <row r="171" spans="1:7" x14ac:dyDescent="0.35">
      <c r="A171" s="178" t="s">
        <v>1113</v>
      </c>
      <c r="B171" s="178" t="s">
        <v>1114</v>
      </c>
      <c r="C171" s="178" t="s">
        <v>707</v>
      </c>
      <c r="D171" s="178" t="s">
        <v>57</v>
      </c>
      <c r="E171">
        <v>1038.2</v>
      </c>
      <c r="F171">
        <v>155.72999999999999</v>
      </c>
      <c r="G171">
        <v>1193.93</v>
      </c>
    </row>
    <row r="172" spans="1:7" x14ac:dyDescent="0.35">
      <c r="A172" s="178" t="s">
        <v>709</v>
      </c>
      <c r="B172" s="178" t="s">
        <v>1115</v>
      </c>
      <c r="C172" s="178" t="s">
        <v>707</v>
      </c>
      <c r="D172" s="178" t="s">
        <v>57</v>
      </c>
      <c r="E172">
        <v>1187.3</v>
      </c>
      <c r="F172">
        <v>178.1</v>
      </c>
      <c r="G172">
        <v>1365.4</v>
      </c>
    </row>
    <row r="173" spans="1:7" x14ac:dyDescent="0.35">
      <c r="A173" s="178" t="s">
        <v>836</v>
      </c>
      <c r="B173" s="178" t="s">
        <v>1116</v>
      </c>
      <c r="C173" s="178" t="s">
        <v>707</v>
      </c>
      <c r="D173" s="178" t="s">
        <v>1117</v>
      </c>
      <c r="E173">
        <v>2083.5</v>
      </c>
      <c r="F173">
        <v>312.52999999999997</v>
      </c>
      <c r="G173">
        <v>2396.0300000000002</v>
      </c>
    </row>
    <row r="174" spans="1:7" x14ac:dyDescent="0.35">
      <c r="A174" s="178" t="s">
        <v>1118</v>
      </c>
      <c r="B174" s="178" t="s">
        <v>1119</v>
      </c>
      <c r="C174" s="178" t="s">
        <v>707</v>
      </c>
      <c r="D174" s="178" t="s">
        <v>57</v>
      </c>
      <c r="E174">
        <v>1540</v>
      </c>
      <c r="F174">
        <v>231</v>
      </c>
      <c r="G174">
        <v>1771</v>
      </c>
    </row>
    <row r="175" spans="1:7" x14ac:dyDescent="0.35">
      <c r="A175" s="178" t="s">
        <v>1120</v>
      </c>
      <c r="B175" s="178" t="s">
        <v>1121</v>
      </c>
      <c r="C175" s="178" t="s">
        <v>707</v>
      </c>
      <c r="D175" s="178" t="s">
        <v>57</v>
      </c>
      <c r="E175">
        <v>38761.050000000003</v>
      </c>
      <c r="F175">
        <v>5814.17</v>
      </c>
      <c r="G175">
        <v>44575.22</v>
      </c>
    </row>
    <row r="176" spans="1:7" x14ac:dyDescent="0.35">
      <c r="A176" s="178" t="s">
        <v>1122</v>
      </c>
      <c r="B176" s="178" t="s">
        <v>1123</v>
      </c>
      <c r="C176" s="178" t="s">
        <v>707</v>
      </c>
      <c r="D176" s="178" t="s">
        <v>57</v>
      </c>
      <c r="E176">
        <v>3782.49</v>
      </c>
      <c r="F176">
        <v>567.38</v>
      </c>
      <c r="G176">
        <v>4349.87</v>
      </c>
    </row>
    <row r="177" spans="1:7" x14ac:dyDescent="0.35">
      <c r="A177" s="178" t="s">
        <v>1124</v>
      </c>
      <c r="B177" s="178" t="s">
        <v>1125</v>
      </c>
      <c r="C177" s="178" t="s">
        <v>707</v>
      </c>
      <c r="D177" s="178" t="s">
        <v>57</v>
      </c>
      <c r="E177">
        <v>2549.8000000000002</v>
      </c>
      <c r="F177">
        <v>382.47</v>
      </c>
      <c r="G177">
        <v>2932.27</v>
      </c>
    </row>
    <row r="178" spans="1:7" x14ac:dyDescent="0.35">
      <c r="A178" s="178" t="s">
        <v>1126</v>
      </c>
      <c r="B178" s="178" t="s">
        <v>1127</v>
      </c>
      <c r="C178" s="178" t="s">
        <v>707</v>
      </c>
      <c r="D178" s="178" t="s">
        <v>57</v>
      </c>
      <c r="E178">
        <v>1571.25</v>
      </c>
      <c r="F178">
        <v>235.69</v>
      </c>
      <c r="G178">
        <v>1806.94</v>
      </c>
    </row>
    <row r="179" spans="1:7" x14ac:dyDescent="0.35">
      <c r="A179" s="178" t="s">
        <v>778</v>
      </c>
      <c r="B179" s="178" t="s">
        <v>1128</v>
      </c>
      <c r="C179" s="178" t="s">
        <v>707</v>
      </c>
      <c r="D179" s="178" t="s">
        <v>57</v>
      </c>
      <c r="E179">
        <v>11589.7</v>
      </c>
      <c r="F179">
        <v>1738.47</v>
      </c>
      <c r="G179">
        <v>13328.17</v>
      </c>
    </row>
    <row r="180" spans="1:7" x14ac:dyDescent="0.35">
      <c r="A180" s="178" t="s">
        <v>830</v>
      </c>
      <c r="B180" s="178" t="s">
        <v>1129</v>
      </c>
      <c r="C180" s="178" t="s">
        <v>707</v>
      </c>
      <c r="D180" s="178" t="s">
        <v>57</v>
      </c>
      <c r="E180">
        <v>12028.15</v>
      </c>
      <c r="F180">
        <v>1804.25</v>
      </c>
      <c r="G180">
        <v>13832.4</v>
      </c>
    </row>
    <row r="181" spans="1:7" x14ac:dyDescent="0.35">
      <c r="A181" s="178" t="s">
        <v>750</v>
      </c>
      <c r="B181" s="178" t="s">
        <v>1130</v>
      </c>
      <c r="C181" s="178" t="s">
        <v>707</v>
      </c>
      <c r="D181" s="178" t="s">
        <v>57</v>
      </c>
      <c r="E181">
        <v>1800</v>
      </c>
      <c r="F181">
        <v>270</v>
      </c>
      <c r="G181">
        <v>2070</v>
      </c>
    </row>
    <row r="182" spans="1:7" x14ac:dyDescent="0.35">
      <c r="A182" s="178" t="s">
        <v>1131</v>
      </c>
      <c r="B182" s="178" t="s">
        <v>1132</v>
      </c>
      <c r="C182" s="178" t="s">
        <v>707</v>
      </c>
      <c r="D182" s="178" t="s">
        <v>57</v>
      </c>
      <c r="E182">
        <v>12242.7</v>
      </c>
      <c r="F182">
        <v>1836.41</v>
      </c>
      <c r="G182">
        <v>14079.11</v>
      </c>
    </row>
    <row r="183" spans="1:7" x14ac:dyDescent="0.35">
      <c r="A183" s="178" t="s">
        <v>1133</v>
      </c>
      <c r="B183" s="178" t="s">
        <v>1134</v>
      </c>
      <c r="C183" s="178" t="s">
        <v>707</v>
      </c>
      <c r="D183" s="178" t="s">
        <v>57</v>
      </c>
      <c r="E183">
        <v>18128</v>
      </c>
      <c r="F183">
        <v>2719.2</v>
      </c>
      <c r="G183">
        <v>20847.2</v>
      </c>
    </row>
    <row r="184" spans="1:7" x14ac:dyDescent="0.35">
      <c r="A184" s="178" t="s">
        <v>1135</v>
      </c>
      <c r="B184" s="178" t="s">
        <v>1136</v>
      </c>
      <c r="C184" s="178" t="s">
        <v>707</v>
      </c>
      <c r="D184" s="178" t="s">
        <v>57</v>
      </c>
      <c r="E184">
        <v>1303.55</v>
      </c>
      <c r="F184">
        <v>195.53</v>
      </c>
      <c r="G184">
        <v>1499.08</v>
      </c>
    </row>
    <row r="185" spans="1:7" x14ac:dyDescent="0.35">
      <c r="A185" s="178" t="s">
        <v>860</v>
      </c>
      <c r="B185" s="178" t="s">
        <v>1137</v>
      </c>
      <c r="C185" s="178" t="s">
        <v>707</v>
      </c>
      <c r="D185" s="178" t="s">
        <v>57</v>
      </c>
      <c r="E185">
        <v>19941.25</v>
      </c>
      <c r="F185">
        <v>2991.19</v>
      </c>
      <c r="G185">
        <v>22932.44</v>
      </c>
    </row>
    <row r="186" spans="1:7" x14ac:dyDescent="0.35">
      <c r="A186" s="178" t="s">
        <v>1138</v>
      </c>
      <c r="B186" s="178" t="s">
        <v>1139</v>
      </c>
      <c r="C186" s="178" t="s">
        <v>707</v>
      </c>
      <c r="D186" s="178" t="s">
        <v>57</v>
      </c>
      <c r="E186">
        <v>29084.05</v>
      </c>
      <c r="F186">
        <v>4362.6099999999997</v>
      </c>
      <c r="G186">
        <v>33446.660000000003</v>
      </c>
    </row>
    <row r="187" spans="1:7" x14ac:dyDescent="0.35">
      <c r="A187" s="178" t="s">
        <v>1140</v>
      </c>
      <c r="B187" s="178" t="s">
        <v>1141</v>
      </c>
      <c r="C187" s="178" t="s">
        <v>707</v>
      </c>
      <c r="D187" s="178" t="s">
        <v>57</v>
      </c>
      <c r="E187">
        <v>5272.9</v>
      </c>
      <c r="F187">
        <v>790.95</v>
      </c>
      <c r="G187">
        <v>6063.85</v>
      </c>
    </row>
    <row r="188" spans="1:7" x14ac:dyDescent="0.35">
      <c r="A188" s="178" t="s">
        <v>1142</v>
      </c>
      <c r="B188" s="178" t="s">
        <v>1143</v>
      </c>
      <c r="C188" s="178" t="s">
        <v>707</v>
      </c>
      <c r="D188" s="178" t="s">
        <v>57</v>
      </c>
      <c r="E188">
        <v>4863.3</v>
      </c>
      <c r="F188">
        <v>729.51</v>
      </c>
      <c r="G188">
        <v>5592.81</v>
      </c>
    </row>
    <row r="189" spans="1:7" x14ac:dyDescent="0.35">
      <c r="A189" s="178" t="s">
        <v>1085</v>
      </c>
      <c r="B189" s="178" t="s">
        <v>1144</v>
      </c>
      <c r="C189" s="178" t="s">
        <v>707</v>
      </c>
      <c r="D189" s="178" t="s">
        <v>1145</v>
      </c>
      <c r="E189">
        <v>2016.7</v>
      </c>
      <c r="F189">
        <v>302.51</v>
      </c>
      <c r="G189">
        <v>2319.21</v>
      </c>
    </row>
    <row r="190" spans="1:7" x14ac:dyDescent="0.35">
      <c r="A190" s="178" t="s">
        <v>1146</v>
      </c>
      <c r="B190" s="178" t="s">
        <v>1147</v>
      </c>
      <c r="C190" s="178" t="s">
        <v>707</v>
      </c>
      <c r="D190" s="178" t="s">
        <v>57</v>
      </c>
      <c r="E190">
        <v>1577</v>
      </c>
      <c r="F190">
        <v>236.55</v>
      </c>
      <c r="G190">
        <v>1813.55</v>
      </c>
    </row>
    <row r="191" spans="1:7" x14ac:dyDescent="0.35">
      <c r="A191" s="178" t="s">
        <v>715</v>
      </c>
      <c r="B191" s="178" t="s">
        <v>1148</v>
      </c>
      <c r="C191" s="178" t="s">
        <v>707</v>
      </c>
      <c r="D191" s="178" t="s">
        <v>57</v>
      </c>
      <c r="E191">
        <v>1635.2</v>
      </c>
      <c r="F191">
        <v>245.28</v>
      </c>
      <c r="G191">
        <v>1880.48</v>
      </c>
    </row>
    <row r="192" spans="1:7" x14ac:dyDescent="0.35">
      <c r="A192" s="178" t="s">
        <v>715</v>
      </c>
      <c r="B192" s="178" t="s">
        <v>1149</v>
      </c>
      <c r="C192" s="178" t="s">
        <v>707</v>
      </c>
      <c r="D192" s="178" t="s">
        <v>57</v>
      </c>
      <c r="E192">
        <v>1389.6</v>
      </c>
      <c r="F192">
        <v>208.44</v>
      </c>
      <c r="G192">
        <v>1598.04</v>
      </c>
    </row>
    <row r="193" spans="1:7" x14ac:dyDescent="0.35">
      <c r="A193" s="178" t="s">
        <v>1150</v>
      </c>
      <c r="B193" s="178" t="s">
        <v>1151</v>
      </c>
      <c r="C193" s="178" t="s">
        <v>722</v>
      </c>
      <c r="D193" s="178" t="s">
        <v>1152</v>
      </c>
      <c r="E193">
        <v>18828.75</v>
      </c>
      <c r="F193">
        <v>2824.31</v>
      </c>
      <c r="G193">
        <v>21653.06</v>
      </c>
    </row>
    <row r="194" spans="1:7" x14ac:dyDescent="0.35">
      <c r="A194" s="178" t="s">
        <v>1153</v>
      </c>
      <c r="B194" s="178" t="s">
        <v>1154</v>
      </c>
      <c r="C194" s="178" t="s">
        <v>722</v>
      </c>
      <c r="D194" s="178" t="s">
        <v>1155</v>
      </c>
      <c r="E194">
        <v>1566</v>
      </c>
      <c r="F194">
        <v>234.9</v>
      </c>
      <c r="G194">
        <v>1800.9</v>
      </c>
    </row>
    <row r="195" spans="1:7" x14ac:dyDescent="0.35">
      <c r="A195" s="178" t="s">
        <v>988</v>
      </c>
      <c r="B195" s="178" t="s">
        <v>1156</v>
      </c>
      <c r="C195" s="178" t="s">
        <v>722</v>
      </c>
      <c r="D195" s="178" t="s">
        <v>57</v>
      </c>
      <c r="E195">
        <v>500</v>
      </c>
      <c r="F195">
        <v>75</v>
      </c>
      <c r="G195">
        <v>575</v>
      </c>
    </row>
    <row r="196" spans="1:7" x14ac:dyDescent="0.35">
      <c r="A196" s="178" t="s">
        <v>1157</v>
      </c>
      <c r="B196" s="178" t="s">
        <v>1158</v>
      </c>
      <c r="C196" s="178" t="s">
        <v>722</v>
      </c>
      <c r="D196">
        <v>2136</v>
      </c>
      <c r="E196">
        <v>31208.1</v>
      </c>
      <c r="F196">
        <v>4681.22</v>
      </c>
      <c r="G196">
        <v>35889.32</v>
      </c>
    </row>
    <row r="197" spans="1:7" x14ac:dyDescent="0.35">
      <c r="A197" s="178" t="s">
        <v>1159</v>
      </c>
      <c r="B197" s="178" t="s">
        <v>1160</v>
      </c>
      <c r="C197" s="178" t="s">
        <v>722</v>
      </c>
      <c r="D197" s="178" t="s">
        <v>57</v>
      </c>
      <c r="E197">
        <v>1593.9</v>
      </c>
      <c r="F197">
        <v>239.09</v>
      </c>
      <c r="G197">
        <v>1832.99</v>
      </c>
    </row>
    <row r="198" spans="1:7" x14ac:dyDescent="0.35">
      <c r="A198" s="178" t="s">
        <v>720</v>
      </c>
      <c r="B198" s="178" t="s">
        <v>1161</v>
      </c>
      <c r="C198" s="178" t="s">
        <v>722</v>
      </c>
      <c r="D198" s="178" t="s">
        <v>57</v>
      </c>
      <c r="E198">
        <v>1307.8</v>
      </c>
      <c r="F198">
        <v>196.17</v>
      </c>
      <c r="G198">
        <v>1503.97</v>
      </c>
    </row>
    <row r="199" spans="1:7" x14ac:dyDescent="0.35">
      <c r="A199" s="178" t="s">
        <v>1162</v>
      </c>
      <c r="B199" s="178" t="s">
        <v>1163</v>
      </c>
      <c r="C199" s="178" t="s">
        <v>722</v>
      </c>
      <c r="D199" s="178" t="s">
        <v>57</v>
      </c>
      <c r="E199">
        <v>1411.1</v>
      </c>
      <c r="F199">
        <v>211.67</v>
      </c>
      <c r="G199">
        <v>1622.77</v>
      </c>
    </row>
    <row r="200" spans="1:7" x14ac:dyDescent="0.35">
      <c r="A200" s="178" t="s">
        <v>1159</v>
      </c>
      <c r="B200" s="178" t="s">
        <v>1164</v>
      </c>
      <c r="C200" s="178" t="s">
        <v>722</v>
      </c>
      <c r="D200" s="178" t="s">
        <v>57</v>
      </c>
      <c r="E200">
        <v>1515.6</v>
      </c>
      <c r="F200">
        <v>227.34</v>
      </c>
      <c r="G200">
        <v>1742.94</v>
      </c>
    </row>
    <row r="201" spans="1:7" x14ac:dyDescent="0.35">
      <c r="A201" s="178" t="s">
        <v>750</v>
      </c>
      <c r="B201" s="178" t="s">
        <v>1165</v>
      </c>
      <c r="C201" s="178" t="s">
        <v>722</v>
      </c>
      <c r="D201" s="178" t="s">
        <v>1166</v>
      </c>
      <c r="E201">
        <v>1700</v>
      </c>
      <c r="F201">
        <v>255</v>
      </c>
      <c r="G201">
        <v>1955</v>
      </c>
    </row>
    <row r="202" spans="1:7" x14ac:dyDescent="0.35">
      <c r="A202" s="178" t="s">
        <v>1032</v>
      </c>
      <c r="B202" s="178" t="s">
        <v>1167</v>
      </c>
      <c r="C202" s="178" t="s">
        <v>722</v>
      </c>
      <c r="D202" s="178" t="s">
        <v>57</v>
      </c>
      <c r="E202">
        <v>3495</v>
      </c>
      <c r="F202">
        <v>524.25</v>
      </c>
      <c r="G202">
        <v>4019.25</v>
      </c>
    </row>
    <row r="203" spans="1:7" x14ac:dyDescent="0.35">
      <c r="A203" s="178" t="s">
        <v>1168</v>
      </c>
      <c r="B203" s="178" t="s">
        <v>1169</v>
      </c>
      <c r="C203" s="178" t="s">
        <v>722</v>
      </c>
      <c r="D203" s="178" t="s">
        <v>57</v>
      </c>
      <c r="E203">
        <v>2308.85</v>
      </c>
      <c r="F203">
        <v>346.33</v>
      </c>
      <c r="G203">
        <v>2655.18</v>
      </c>
    </row>
    <row r="204" spans="1:7" x14ac:dyDescent="0.35">
      <c r="A204" s="178" t="s">
        <v>1170</v>
      </c>
      <c r="B204" s="178" t="s">
        <v>1171</v>
      </c>
      <c r="C204" s="178" t="s">
        <v>722</v>
      </c>
      <c r="D204" s="178" t="s">
        <v>57</v>
      </c>
      <c r="E204">
        <v>1315.8</v>
      </c>
      <c r="F204">
        <v>197.37</v>
      </c>
      <c r="G204">
        <v>1513.17</v>
      </c>
    </row>
    <row r="205" spans="1:7" x14ac:dyDescent="0.35">
      <c r="A205" s="178" t="s">
        <v>1039</v>
      </c>
      <c r="B205" s="178" t="s">
        <v>1172</v>
      </c>
      <c r="C205" s="178" t="s">
        <v>722</v>
      </c>
      <c r="D205" s="178" t="s">
        <v>57</v>
      </c>
      <c r="E205">
        <v>20260.8</v>
      </c>
      <c r="F205">
        <v>3039.12</v>
      </c>
      <c r="G205">
        <v>23299.919999999998</v>
      </c>
    </row>
    <row r="206" spans="1:7" x14ac:dyDescent="0.35">
      <c r="A206" s="178" t="s">
        <v>939</v>
      </c>
      <c r="B206" s="178" t="s">
        <v>1173</v>
      </c>
      <c r="C206" s="178" t="s">
        <v>722</v>
      </c>
      <c r="D206" s="178" t="s">
        <v>57</v>
      </c>
      <c r="E206">
        <v>5325.05</v>
      </c>
      <c r="F206">
        <v>798.76</v>
      </c>
      <c r="G206">
        <v>6123.81</v>
      </c>
    </row>
    <row r="207" spans="1:7" x14ac:dyDescent="0.35">
      <c r="A207" s="178" t="s">
        <v>1174</v>
      </c>
      <c r="B207" s="178" t="s">
        <v>1175</v>
      </c>
      <c r="C207" s="178" t="s">
        <v>722</v>
      </c>
      <c r="D207" s="178" t="s">
        <v>57</v>
      </c>
      <c r="E207">
        <v>799.8</v>
      </c>
      <c r="F207">
        <v>119.97</v>
      </c>
      <c r="G207">
        <v>919.77</v>
      </c>
    </row>
    <row r="208" spans="1:7" x14ac:dyDescent="0.35">
      <c r="A208" s="178" t="s">
        <v>1176</v>
      </c>
      <c r="B208" s="178" t="s">
        <v>1177</v>
      </c>
      <c r="C208" s="178" t="s">
        <v>722</v>
      </c>
      <c r="D208" s="178" t="s">
        <v>57</v>
      </c>
      <c r="E208">
        <v>6324.3</v>
      </c>
      <c r="F208">
        <v>948.66</v>
      </c>
      <c r="G208">
        <v>7272.96</v>
      </c>
    </row>
    <row r="209" spans="1:7" x14ac:dyDescent="0.35">
      <c r="A209" s="178" t="s">
        <v>809</v>
      </c>
      <c r="B209" s="178" t="s">
        <v>1178</v>
      </c>
      <c r="C209" s="178" t="s">
        <v>722</v>
      </c>
      <c r="D209" s="178" t="s">
        <v>57</v>
      </c>
      <c r="E209">
        <v>14386.9</v>
      </c>
      <c r="F209">
        <v>2158.04</v>
      </c>
      <c r="G209">
        <v>16544.939999999999</v>
      </c>
    </row>
    <row r="210" spans="1:7" x14ac:dyDescent="0.35">
      <c r="A210" s="178" t="s">
        <v>1179</v>
      </c>
      <c r="B210" s="178" t="s">
        <v>1180</v>
      </c>
      <c r="C210" s="178" t="s">
        <v>722</v>
      </c>
      <c r="D210" s="178" t="s">
        <v>57</v>
      </c>
      <c r="E210">
        <v>4060.25</v>
      </c>
      <c r="F210">
        <v>609.04</v>
      </c>
      <c r="G210">
        <v>4669.29</v>
      </c>
    </row>
    <row r="211" spans="1:7" x14ac:dyDescent="0.35">
      <c r="A211" s="178" t="s">
        <v>1181</v>
      </c>
      <c r="B211" s="178" t="s">
        <v>1182</v>
      </c>
      <c r="C211" s="178" t="s">
        <v>722</v>
      </c>
      <c r="D211" s="178" t="s">
        <v>57</v>
      </c>
      <c r="E211">
        <v>2780.05</v>
      </c>
      <c r="F211">
        <v>417.01</v>
      </c>
      <c r="G211">
        <v>3197.06</v>
      </c>
    </row>
    <row r="212" spans="1:7" x14ac:dyDescent="0.35">
      <c r="A212" s="178" t="s">
        <v>1183</v>
      </c>
      <c r="B212" s="178" t="s">
        <v>1184</v>
      </c>
      <c r="C212" s="178" t="s">
        <v>722</v>
      </c>
      <c r="D212" s="178" t="s">
        <v>57</v>
      </c>
      <c r="E212">
        <v>786.05</v>
      </c>
      <c r="F212">
        <v>117.91</v>
      </c>
      <c r="G212">
        <v>903.96</v>
      </c>
    </row>
    <row r="213" spans="1:7" x14ac:dyDescent="0.35">
      <c r="A213" s="178" t="s">
        <v>1066</v>
      </c>
      <c r="B213" s="178" t="s">
        <v>1185</v>
      </c>
      <c r="C213" s="178" t="s">
        <v>722</v>
      </c>
      <c r="D213" s="178" t="s">
        <v>57</v>
      </c>
      <c r="E213">
        <v>1016.2</v>
      </c>
      <c r="F213">
        <v>152.43</v>
      </c>
      <c r="G213">
        <v>1168.6300000000001</v>
      </c>
    </row>
    <row r="214" spans="1:7" x14ac:dyDescent="0.35">
      <c r="A214" s="178" t="s">
        <v>734</v>
      </c>
      <c r="B214" s="178" t="s">
        <v>1186</v>
      </c>
      <c r="C214" s="178" t="s">
        <v>722</v>
      </c>
      <c r="D214" s="178" t="s">
        <v>57</v>
      </c>
      <c r="E214">
        <v>3249.45</v>
      </c>
      <c r="F214">
        <v>487.42</v>
      </c>
      <c r="G214">
        <v>3736.87</v>
      </c>
    </row>
    <row r="215" spans="1:7" x14ac:dyDescent="0.35">
      <c r="A215" s="178" t="s">
        <v>781</v>
      </c>
      <c r="B215" s="178" t="s">
        <v>1187</v>
      </c>
      <c r="C215" s="178" t="s">
        <v>722</v>
      </c>
      <c r="D215" s="178" t="s">
        <v>57</v>
      </c>
      <c r="E215">
        <v>1768</v>
      </c>
      <c r="F215">
        <v>265.2</v>
      </c>
      <c r="G215">
        <v>2033.2</v>
      </c>
    </row>
    <row r="216" spans="1:7" x14ac:dyDescent="0.35">
      <c r="A216" s="178" t="s">
        <v>1188</v>
      </c>
      <c r="B216" s="178" t="s">
        <v>1189</v>
      </c>
      <c r="C216" s="178" t="s">
        <v>722</v>
      </c>
      <c r="D216" s="178" t="s">
        <v>57</v>
      </c>
      <c r="E216">
        <v>837.25</v>
      </c>
      <c r="F216">
        <v>125.59</v>
      </c>
      <c r="G216">
        <v>962.84</v>
      </c>
    </row>
    <row r="217" spans="1:7" x14ac:dyDescent="0.35">
      <c r="A217" s="178" t="s">
        <v>975</v>
      </c>
      <c r="B217" s="178" t="s">
        <v>1190</v>
      </c>
      <c r="C217" s="178" t="s">
        <v>722</v>
      </c>
      <c r="D217" s="178" t="s">
        <v>57</v>
      </c>
      <c r="E217">
        <v>8185.05</v>
      </c>
      <c r="F217">
        <v>1227.76</v>
      </c>
      <c r="G217">
        <v>9412.81</v>
      </c>
    </row>
    <row r="218" spans="1:7" x14ac:dyDescent="0.35">
      <c r="A218" s="178" t="s">
        <v>988</v>
      </c>
      <c r="B218" s="178" t="s">
        <v>1191</v>
      </c>
      <c r="C218" s="178" t="s">
        <v>722</v>
      </c>
      <c r="D218" s="178" t="s">
        <v>57</v>
      </c>
      <c r="E218">
        <v>1012.5</v>
      </c>
      <c r="F218">
        <v>151.88</v>
      </c>
      <c r="G218">
        <v>1164.3800000000001</v>
      </c>
    </row>
    <row r="219" spans="1:7" x14ac:dyDescent="0.35">
      <c r="A219" s="178" t="s">
        <v>1192</v>
      </c>
      <c r="B219" s="178" t="s">
        <v>1193</v>
      </c>
      <c r="C219" s="178" t="s">
        <v>722</v>
      </c>
      <c r="D219" s="178" t="s">
        <v>57</v>
      </c>
      <c r="E219">
        <v>30902.7</v>
      </c>
      <c r="F219">
        <v>4635.42</v>
      </c>
      <c r="G219">
        <v>35538.120000000003</v>
      </c>
    </row>
    <row r="220" spans="1:7" x14ac:dyDescent="0.35">
      <c r="A220" s="178" t="s">
        <v>1194</v>
      </c>
      <c r="B220" s="178" t="s">
        <v>1195</v>
      </c>
      <c r="C220" s="178" t="s">
        <v>722</v>
      </c>
      <c r="D220" s="178" t="s">
        <v>57</v>
      </c>
      <c r="E220">
        <v>879.75</v>
      </c>
      <c r="F220">
        <v>131.96</v>
      </c>
      <c r="G220">
        <v>1011.71</v>
      </c>
    </row>
    <row r="221" spans="1:7" x14ac:dyDescent="0.35">
      <c r="A221" s="178" t="s">
        <v>1120</v>
      </c>
      <c r="B221" s="178" t="s">
        <v>1196</v>
      </c>
      <c r="C221" s="178" t="s">
        <v>722</v>
      </c>
      <c r="D221" s="178" t="s">
        <v>1197</v>
      </c>
      <c r="E221">
        <v>10500</v>
      </c>
      <c r="F221">
        <v>1575</v>
      </c>
      <c r="G221">
        <v>12075</v>
      </c>
    </row>
    <row r="222" spans="1:7" x14ac:dyDescent="0.35">
      <c r="A222" s="178" t="s">
        <v>988</v>
      </c>
      <c r="B222" s="178" t="s">
        <v>1198</v>
      </c>
      <c r="C222" s="178" t="s">
        <v>722</v>
      </c>
      <c r="D222" s="178" t="s">
        <v>57</v>
      </c>
      <c r="E222">
        <v>1241.25</v>
      </c>
      <c r="F222">
        <v>186.19</v>
      </c>
      <c r="G222">
        <v>1427.44</v>
      </c>
    </row>
    <row r="223" spans="1:7" x14ac:dyDescent="0.35">
      <c r="A223" s="178" t="s">
        <v>746</v>
      </c>
      <c r="B223" s="178" t="s">
        <v>1199</v>
      </c>
      <c r="C223" s="178" t="s">
        <v>722</v>
      </c>
      <c r="D223" s="178" t="s">
        <v>57</v>
      </c>
      <c r="E223">
        <v>24792.75</v>
      </c>
      <c r="F223">
        <v>3718.92</v>
      </c>
      <c r="G223">
        <v>28511.67</v>
      </c>
    </row>
    <row r="224" spans="1:7" x14ac:dyDescent="0.35">
      <c r="A224" s="178" t="s">
        <v>870</v>
      </c>
      <c r="B224" s="178" t="s">
        <v>1200</v>
      </c>
      <c r="C224" s="178" t="s">
        <v>722</v>
      </c>
      <c r="D224" s="178" t="s">
        <v>1201</v>
      </c>
      <c r="E224">
        <v>12638</v>
      </c>
      <c r="F224">
        <v>1895.7</v>
      </c>
      <c r="G224">
        <v>14533.7</v>
      </c>
    </row>
    <row r="225" spans="1:7" x14ac:dyDescent="0.35">
      <c r="A225" s="178" t="s">
        <v>1202</v>
      </c>
      <c r="B225" s="178" t="s">
        <v>1203</v>
      </c>
      <c r="C225" s="178" t="s">
        <v>722</v>
      </c>
      <c r="D225" s="178" t="s">
        <v>57</v>
      </c>
      <c r="E225">
        <v>3009</v>
      </c>
      <c r="F225">
        <v>451.35</v>
      </c>
      <c r="G225">
        <v>3460.35</v>
      </c>
    </row>
    <row r="226" spans="1:7" x14ac:dyDescent="0.35">
      <c r="A226" s="178" t="s">
        <v>1204</v>
      </c>
      <c r="B226" s="178" t="s">
        <v>1205</v>
      </c>
      <c r="C226" s="178" t="s">
        <v>722</v>
      </c>
      <c r="D226" s="178" t="s">
        <v>57</v>
      </c>
      <c r="E226">
        <v>1505</v>
      </c>
      <c r="F226">
        <v>225.75</v>
      </c>
      <c r="G226">
        <v>1730.75</v>
      </c>
    </row>
    <row r="227" spans="1:7" x14ac:dyDescent="0.35">
      <c r="A227" s="178" t="s">
        <v>1206</v>
      </c>
      <c r="B227" s="178" t="s">
        <v>1207</v>
      </c>
      <c r="C227" s="178" t="s">
        <v>722</v>
      </c>
      <c r="D227" s="178" t="s">
        <v>57</v>
      </c>
      <c r="E227">
        <v>2112.25</v>
      </c>
      <c r="F227">
        <v>316.83999999999997</v>
      </c>
      <c r="G227">
        <v>2429.09</v>
      </c>
    </row>
    <row r="228" spans="1:7" x14ac:dyDescent="0.35">
      <c r="A228" s="178" t="s">
        <v>1208</v>
      </c>
      <c r="B228" s="178" t="s">
        <v>1209</v>
      </c>
      <c r="C228" s="178" t="s">
        <v>722</v>
      </c>
      <c r="D228" s="178" t="s">
        <v>57</v>
      </c>
      <c r="E228">
        <v>2575.5</v>
      </c>
      <c r="F228">
        <v>386.33</v>
      </c>
      <c r="G228">
        <v>2961.83</v>
      </c>
    </row>
    <row r="229" spans="1:7" x14ac:dyDescent="0.35">
      <c r="A229" s="178" t="s">
        <v>961</v>
      </c>
      <c r="B229" s="178" t="s">
        <v>1210</v>
      </c>
      <c r="C229" s="178" t="s">
        <v>722</v>
      </c>
      <c r="D229" s="178" t="s">
        <v>57</v>
      </c>
      <c r="E229">
        <v>28333</v>
      </c>
      <c r="F229">
        <v>4249.95</v>
      </c>
      <c r="G229">
        <v>32582.95</v>
      </c>
    </row>
    <row r="230" spans="1:7" x14ac:dyDescent="0.35">
      <c r="A230" s="178" t="s">
        <v>860</v>
      </c>
      <c r="B230" s="178" t="s">
        <v>1211</v>
      </c>
      <c r="C230" s="178" t="s">
        <v>722</v>
      </c>
      <c r="D230" s="178" t="s">
        <v>57</v>
      </c>
      <c r="E230">
        <v>40388.65</v>
      </c>
      <c r="F230">
        <v>6058.3</v>
      </c>
      <c r="G230">
        <v>46446.95</v>
      </c>
    </row>
    <row r="231" spans="1:7" x14ac:dyDescent="0.35">
      <c r="A231" s="178" t="s">
        <v>778</v>
      </c>
      <c r="B231" s="178" t="s">
        <v>1212</v>
      </c>
      <c r="C231" s="178" t="s">
        <v>722</v>
      </c>
      <c r="D231" s="178" t="s">
        <v>57</v>
      </c>
      <c r="E231">
        <v>1620.2</v>
      </c>
      <c r="F231">
        <v>243.03</v>
      </c>
      <c r="G231">
        <v>1863.23</v>
      </c>
    </row>
    <row r="232" spans="1:7" x14ac:dyDescent="0.35">
      <c r="A232" s="178" t="s">
        <v>761</v>
      </c>
      <c r="B232" s="178" t="s">
        <v>1213</v>
      </c>
      <c r="C232" s="178" t="s">
        <v>722</v>
      </c>
      <c r="D232" s="178" t="s">
        <v>57</v>
      </c>
      <c r="E232">
        <v>27192.15</v>
      </c>
      <c r="F232">
        <v>4078.83</v>
      </c>
      <c r="G232">
        <v>31270.98</v>
      </c>
    </row>
    <row r="233" spans="1:7" x14ac:dyDescent="0.35">
      <c r="A233" s="178" t="s">
        <v>1214</v>
      </c>
      <c r="B233" s="178" t="s">
        <v>1215</v>
      </c>
      <c r="C233" s="178" t="s">
        <v>722</v>
      </c>
      <c r="D233" s="178" t="s">
        <v>1216</v>
      </c>
      <c r="E233">
        <v>12285.9</v>
      </c>
      <c r="F233">
        <v>1842.89</v>
      </c>
      <c r="G233">
        <v>14128.79</v>
      </c>
    </row>
    <row r="234" spans="1:7" x14ac:dyDescent="0.35">
      <c r="A234" s="178" t="s">
        <v>1217</v>
      </c>
      <c r="B234" s="178" t="s">
        <v>1218</v>
      </c>
      <c r="C234" s="178" t="s">
        <v>722</v>
      </c>
      <c r="D234" s="178" t="s">
        <v>57</v>
      </c>
      <c r="E234">
        <v>4536.1000000000004</v>
      </c>
      <c r="F234">
        <v>680.42</v>
      </c>
      <c r="G234">
        <v>5216.5200000000004</v>
      </c>
    </row>
    <row r="235" spans="1:7" x14ac:dyDescent="0.35">
      <c r="A235" s="178" t="s">
        <v>1219</v>
      </c>
      <c r="B235" s="178" t="s">
        <v>1220</v>
      </c>
      <c r="C235" s="178" t="s">
        <v>722</v>
      </c>
      <c r="D235" s="178" t="s">
        <v>57</v>
      </c>
      <c r="E235">
        <v>8800</v>
      </c>
      <c r="F235">
        <v>1320</v>
      </c>
      <c r="G235">
        <v>10120</v>
      </c>
    </row>
    <row r="236" spans="1:7" x14ac:dyDescent="0.35">
      <c r="A236" s="178" t="s">
        <v>990</v>
      </c>
      <c r="B236" s="178" t="s">
        <v>1221</v>
      </c>
      <c r="C236" s="178" t="s">
        <v>722</v>
      </c>
      <c r="D236" s="178" t="s">
        <v>992</v>
      </c>
      <c r="E236">
        <v>6107.85</v>
      </c>
      <c r="F236">
        <v>916.19</v>
      </c>
      <c r="G236">
        <v>7024.04</v>
      </c>
    </row>
    <row r="237" spans="1:7" x14ac:dyDescent="0.35">
      <c r="A237" s="178" t="s">
        <v>1222</v>
      </c>
      <c r="B237" s="178" t="s">
        <v>1223</v>
      </c>
      <c r="C237" s="178" t="s">
        <v>722</v>
      </c>
      <c r="D237" s="178" t="s">
        <v>1224</v>
      </c>
      <c r="E237">
        <v>2233.15</v>
      </c>
      <c r="F237">
        <v>334.97</v>
      </c>
      <c r="G237">
        <v>2568.12</v>
      </c>
    </row>
    <row r="238" spans="1:7" x14ac:dyDescent="0.35">
      <c r="A238" s="178" t="s">
        <v>1225</v>
      </c>
      <c r="B238" s="178" t="s">
        <v>1226</v>
      </c>
      <c r="C238" s="178" t="s">
        <v>722</v>
      </c>
      <c r="D238" s="178" t="s">
        <v>57</v>
      </c>
      <c r="E238">
        <v>3781.25</v>
      </c>
      <c r="F238">
        <v>567.20000000000005</v>
      </c>
      <c r="G238">
        <v>4348.45</v>
      </c>
    </row>
    <row r="239" spans="1:7" x14ac:dyDescent="0.35">
      <c r="A239" s="178" t="s">
        <v>1227</v>
      </c>
      <c r="B239" s="178" t="s">
        <v>1228</v>
      </c>
      <c r="C239" s="178" t="s">
        <v>722</v>
      </c>
      <c r="D239" s="178" t="s">
        <v>57</v>
      </c>
      <c r="E239">
        <v>2538.9</v>
      </c>
      <c r="F239">
        <v>380.84</v>
      </c>
      <c r="G239">
        <v>2919.74</v>
      </c>
    </row>
    <row r="240" spans="1:7" x14ac:dyDescent="0.35">
      <c r="A240" s="178" t="s">
        <v>1229</v>
      </c>
      <c r="B240" s="178" t="s">
        <v>1230</v>
      </c>
      <c r="C240" s="178" t="s">
        <v>722</v>
      </c>
      <c r="D240" s="178" t="s">
        <v>57</v>
      </c>
      <c r="E240">
        <v>27617.05</v>
      </c>
      <c r="F240">
        <v>4142.5600000000004</v>
      </c>
      <c r="G240">
        <v>31759.61</v>
      </c>
    </row>
    <row r="241" spans="1:7" x14ac:dyDescent="0.35">
      <c r="A241" s="178" t="s">
        <v>1231</v>
      </c>
      <c r="B241" s="178" t="s">
        <v>1232</v>
      </c>
      <c r="C241" s="178" t="s">
        <v>722</v>
      </c>
      <c r="D241" s="178" t="s">
        <v>1233</v>
      </c>
      <c r="E241">
        <v>15942.6</v>
      </c>
      <c r="F241">
        <v>2391.4</v>
      </c>
      <c r="G241">
        <v>18334</v>
      </c>
    </row>
    <row r="242" spans="1:7" x14ac:dyDescent="0.35">
      <c r="A242" s="178" t="s">
        <v>1138</v>
      </c>
      <c r="B242" s="178" t="s">
        <v>1234</v>
      </c>
      <c r="C242" s="178" t="s">
        <v>722</v>
      </c>
      <c r="D242" s="178" t="s">
        <v>57</v>
      </c>
      <c r="E242">
        <v>2299.1999999999998</v>
      </c>
      <c r="F242">
        <v>344.88</v>
      </c>
      <c r="G242">
        <v>2644.08</v>
      </c>
    </row>
    <row r="243" spans="1:7" x14ac:dyDescent="0.35">
      <c r="A243" s="178" t="s">
        <v>741</v>
      </c>
      <c r="B243" s="178" t="s">
        <v>1235</v>
      </c>
      <c r="C243" s="178" t="s">
        <v>722</v>
      </c>
      <c r="D243" s="178" t="s">
        <v>57</v>
      </c>
      <c r="E243">
        <v>4124.5</v>
      </c>
      <c r="F243">
        <v>618.67999999999995</v>
      </c>
      <c r="G243">
        <v>4743.18</v>
      </c>
    </row>
    <row r="244" spans="1:7" x14ac:dyDescent="0.35">
      <c r="A244" s="178" t="s">
        <v>1236</v>
      </c>
      <c r="B244" s="178" t="s">
        <v>1237</v>
      </c>
      <c r="C244" s="178" t="s">
        <v>722</v>
      </c>
      <c r="D244" s="178" t="s">
        <v>57</v>
      </c>
      <c r="E244">
        <v>1655.5</v>
      </c>
      <c r="F244">
        <v>248.33</v>
      </c>
      <c r="G244">
        <v>1903.83</v>
      </c>
    </row>
    <row r="245" spans="1:7" x14ac:dyDescent="0.35">
      <c r="A245" s="178" t="s">
        <v>1003</v>
      </c>
      <c r="B245" s="178" t="s">
        <v>1238</v>
      </c>
      <c r="C245" s="178" t="s">
        <v>722</v>
      </c>
      <c r="D245" s="178" t="s">
        <v>1239</v>
      </c>
      <c r="E245">
        <v>5850</v>
      </c>
      <c r="F245">
        <v>877.5</v>
      </c>
      <c r="G245">
        <v>6727.5</v>
      </c>
    </row>
    <row r="246" spans="1:7" x14ac:dyDescent="0.35">
      <c r="A246" s="178" t="s">
        <v>1070</v>
      </c>
      <c r="B246" s="178" t="s">
        <v>1240</v>
      </c>
      <c r="C246" s="178" t="s">
        <v>722</v>
      </c>
      <c r="D246" s="178" t="s">
        <v>57</v>
      </c>
      <c r="E246">
        <v>2901.1</v>
      </c>
      <c r="F246">
        <v>435.17</v>
      </c>
      <c r="G246">
        <v>3336.27</v>
      </c>
    </row>
    <row r="247" spans="1:7" x14ac:dyDescent="0.35">
      <c r="A247" s="178" t="s">
        <v>1176</v>
      </c>
      <c r="B247" s="178" t="s">
        <v>1241</v>
      </c>
      <c r="C247" s="178" t="s">
        <v>722</v>
      </c>
      <c r="D247" s="178" t="s">
        <v>57</v>
      </c>
      <c r="E247">
        <v>1414.1</v>
      </c>
      <c r="F247">
        <v>212.12</v>
      </c>
      <c r="G247">
        <v>1626.22</v>
      </c>
    </row>
    <row r="248" spans="1:7" x14ac:dyDescent="0.35">
      <c r="A248" s="178" t="s">
        <v>870</v>
      </c>
      <c r="B248" s="178" t="s">
        <v>1242</v>
      </c>
      <c r="C248" s="178" t="s">
        <v>722</v>
      </c>
      <c r="D248" s="178" t="s">
        <v>1201</v>
      </c>
      <c r="E248">
        <v>5917.5</v>
      </c>
      <c r="F248">
        <v>887.63</v>
      </c>
      <c r="G248">
        <v>6805.13</v>
      </c>
    </row>
    <row r="249" spans="1:7" x14ac:dyDescent="0.35">
      <c r="A249" s="178" t="s">
        <v>1124</v>
      </c>
      <c r="B249" s="178" t="s">
        <v>1243</v>
      </c>
      <c r="C249" s="178" t="s">
        <v>722</v>
      </c>
      <c r="D249" s="178" t="s">
        <v>57</v>
      </c>
      <c r="E249">
        <v>2692.65</v>
      </c>
      <c r="F249">
        <v>403.9</v>
      </c>
      <c r="G249">
        <v>3096.55</v>
      </c>
    </row>
    <row r="250" spans="1:7" x14ac:dyDescent="0.35">
      <c r="A250" s="178" t="s">
        <v>1244</v>
      </c>
      <c r="B250" s="178" t="s">
        <v>1245</v>
      </c>
      <c r="C250" s="178" t="s">
        <v>722</v>
      </c>
      <c r="D250" s="178" t="s">
        <v>57</v>
      </c>
      <c r="E250">
        <v>1503.8</v>
      </c>
      <c r="F250">
        <v>225.57</v>
      </c>
      <c r="G250">
        <v>1729.37</v>
      </c>
    </row>
    <row r="251" spans="1:7" x14ac:dyDescent="0.35">
      <c r="A251" s="178" t="s">
        <v>1246</v>
      </c>
      <c r="B251" s="178" t="s">
        <v>1247</v>
      </c>
      <c r="C251" s="178" t="s">
        <v>722</v>
      </c>
      <c r="D251" s="178" t="s">
        <v>57</v>
      </c>
      <c r="E251">
        <v>1573.2</v>
      </c>
      <c r="F251">
        <v>235.98</v>
      </c>
      <c r="G251">
        <v>1809.18</v>
      </c>
    </row>
    <row r="252" spans="1:7" x14ac:dyDescent="0.35">
      <c r="A252" s="178" t="s">
        <v>1248</v>
      </c>
      <c r="B252" s="178" t="s">
        <v>1249</v>
      </c>
      <c r="C252" s="178" t="s">
        <v>722</v>
      </c>
      <c r="D252" s="178" t="s">
        <v>57</v>
      </c>
      <c r="E252">
        <v>2898.2</v>
      </c>
      <c r="F252">
        <v>434.74</v>
      </c>
      <c r="G252">
        <v>3332.94</v>
      </c>
    </row>
    <row r="253" spans="1:7" x14ac:dyDescent="0.35">
      <c r="A253" s="178" t="s">
        <v>1068</v>
      </c>
      <c r="B253" s="178" t="s">
        <v>1250</v>
      </c>
      <c r="C253" s="178" t="s">
        <v>722</v>
      </c>
      <c r="D253" s="178" t="s">
        <v>57</v>
      </c>
      <c r="E253">
        <v>23721.1</v>
      </c>
      <c r="F253">
        <v>3558.17</v>
      </c>
      <c r="G253">
        <v>27279.27</v>
      </c>
    </row>
    <row r="254" spans="1:7" x14ac:dyDescent="0.35">
      <c r="A254" s="178" t="s">
        <v>1251</v>
      </c>
      <c r="B254" s="178" t="s">
        <v>1252</v>
      </c>
      <c r="C254" s="178" t="s">
        <v>722</v>
      </c>
      <c r="D254" s="178" t="s">
        <v>57</v>
      </c>
      <c r="E254">
        <v>8541.2999999999993</v>
      </c>
      <c r="F254">
        <v>1281.2</v>
      </c>
      <c r="G254">
        <v>9822.5</v>
      </c>
    </row>
    <row r="255" spans="1:7" x14ac:dyDescent="0.35">
      <c r="A255" s="178" t="s">
        <v>802</v>
      </c>
      <c r="B255" s="178" t="s">
        <v>1253</v>
      </c>
      <c r="C255" s="178" t="s">
        <v>722</v>
      </c>
      <c r="D255" s="178" t="s">
        <v>57</v>
      </c>
      <c r="E255">
        <v>5908.25</v>
      </c>
      <c r="F255">
        <v>886.24</v>
      </c>
      <c r="G255">
        <v>6794.49</v>
      </c>
    </row>
    <row r="256" spans="1:7" x14ac:dyDescent="0.35">
      <c r="A256" s="178" t="s">
        <v>1254</v>
      </c>
      <c r="B256" s="178" t="s">
        <v>1255</v>
      </c>
      <c r="C256" s="178" t="s">
        <v>722</v>
      </c>
      <c r="D256" s="178" t="s">
        <v>57</v>
      </c>
      <c r="E256">
        <v>15517.5</v>
      </c>
      <c r="F256">
        <v>2327.63</v>
      </c>
      <c r="G256">
        <v>17845.13</v>
      </c>
    </row>
    <row r="257" spans="1:7" x14ac:dyDescent="0.35">
      <c r="A257" s="178" t="s">
        <v>1256</v>
      </c>
      <c r="B257" s="178" t="s">
        <v>1257</v>
      </c>
      <c r="C257" s="178" t="s">
        <v>722</v>
      </c>
      <c r="D257" s="178" t="s">
        <v>57</v>
      </c>
      <c r="E257">
        <v>3970.8</v>
      </c>
      <c r="F257">
        <v>595.62</v>
      </c>
      <c r="G257">
        <v>4566.42</v>
      </c>
    </row>
    <row r="258" spans="1:7" x14ac:dyDescent="0.35">
      <c r="A258" s="178" t="s">
        <v>1258</v>
      </c>
      <c r="B258" s="178" t="s">
        <v>1259</v>
      </c>
      <c r="C258" s="178" t="s">
        <v>722</v>
      </c>
      <c r="D258" s="178" t="s">
        <v>57</v>
      </c>
      <c r="E258">
        <v>2485.75</v>
      </c>
      <c r="F258">
        <v>372.86</v>
      </c>
      <c r="G258">
        <v>2858.61</v>
      </c>
    </row>
    <row r="259" spans="1:7" x14ac:dyDescent="0.35">
      <c r="A259" s="178" t="s">
        <v>1133</v>
      </c>
      <c r="B259" s="178" t="s">
        <v>1260</v>
      </c>
      <c r="C259" s="178" t="s">
        <v>722</v>
      </c>
      <c r="D259" s="178" t="s">
        <v>57</v>
      </c>
      <c r="E259">
        <v>3120.6</v>
      </c>
      <c r="F259">
        <v>468.09</v>
      </c>
      <c r="G259">
        <v>3588.69</v>
      </c>
    </row>
    <row r="260" spans="1:7" x14ac:dyDescent="0.35">
      <c r="A260" s="178" t="s">
        <v>1261</v>
      </c>
      <c r="B260" s="178" t="s">
        <v>1262</v>
      </c>
      <c r="C260" s="178" t="s">
        <v>722</v>
      </c>
      <c r="D260" s="178" t="s">
        <v>57</v>
      </c>
      <c r="E260">
        <v>3153.85</v>
      </c>
      <c r="F260">
        <v>473.08</v>
      </c>
      <c r="G260">
        <v>3626.93</v>
      </c>
    </row>
    <row r="261" spans="1:7" x14ac:dyDescent="0.35">
      <c r="A261" s="178" t="s">
        <v>1263</v>
      </c>
      <c r="B261" s="178" t="s">
        <v>1264</v>
      </c>
      <c r="C261" s="178" t="s">
        <v>722</v>
      </c>
      <c r="D261" s="178" t="s">
        <v>57</v>
      </c>
      <c r="E261">
        <v>1224.25</v>
      </c>
      <c r="F261">
        <v>183.64</v>
      </c>
      <c r="G261">
        <v>1407.89</v>
      </c>
    </row>
    <row r="262" spans="1:7" x14ac:dyDescent="0.35">
      <c r="A262" s="178" t="s">
        <v>1265</v>
      </c>
      <c r="B262" s="178" t="s">
        <v>1266</v>
      </c>
      <c r="C262" s="178" t="s">
        <v>722</v>
      </c>
      <c r="D262" s="178" t="s">
        <v>1267</v>
      </c>
      <c r="E262">
        <v>820.25</v>
      </c>
      <c r="F262">
        <v>123.04</v>
      </c>
      <c r="G262">
        <v>943.29</v>
      </c>
    </row>
    <row r="263" spans="1:7" x14ac:dyDescent="0.35">
      <c r="A263" s="178" t="s">
        <v>726</v>
      </c>
      <c r="B263" s="178" t="s">
        <v>1268</v>
      </c>
      <c r="C263" s="178" t="s">
        <v>722</v>
      </c>
      <c r="D263" s="178" t="s">
        <v>57</v>
      </c>
      <c r="E263">
        <v>15010</v>
      </c>
      <c r="F263">
        <v>2251.5</v>
      </c>
      <c r="G263">
        <v>17261.5</v>
      </c>
    </row>
    <row r="264" spans="1:7" x14ac:dyDescent="0.35">
      <c r="A264" s="178" t="s">
        <v>1104</v>
      </c>
      <c r="B264" s="178" t="s">
        <v>1269</v>
      </c>
      <c r="C264" s="178" t="s">
        <v>722</v>
      </c>
      <c r="D264" s="178" t="s">
        <v>1270</v>
      </c>
      <c r="E264">
        <v>3303.5</v>
      </c>
      <c r="F264">
        <v>495.53</v>
      </c>
      <c r="G264">
        <v>3799.03</v>
      </c>
    </row>
    <row r="265" spans="1:7" x14ac:dyDescent="0.35">
      <c r="A265" s="178" t="s">
        <v>860</v>
      </c>
      <c r="B265" s="178" t="s">
        <v>1271</v>
      </c>
      <c r="C265" s="178" t="s">
        <v>722</v>
      </c>
      <c r="D265" s="178" t="s">
        <v>57</v>
      </c>
      <c r="E265">
        <v>7663.8</v>
      </c>
      <c r="F265">
        <v>1149.57</v>
      </c>
      <c r="G265">
        <v>8813.3700000000008</v>
      </c>
    </row>
    <row r="266" spans="1:7" x14ac:dyDescent="0.35">
      <c r="A266" s="178" t="s">
        <v>1272</v>
      </c>
      <c r="B266" s="178" t="s">
        <v>1273</v>
      </c>
      <c r="C266" s="178" t="s">
        <v>729</v>
      </c>
      <c r="D266" s="178" t="s">
        <v>57</v>
      </c>
      <c r="E266">
        <v>2185.9499999999998</v>
      </c>
      <c r="F266">
        <v>327.89</v>
      </c>
      <c r="G266">
        <v>2513.84</v>
      </c>
    </row>
    <row r="267" spans="1:7" x14ac:dyDescent="0.35">
      <c r="A267" s="178" t="s">
        <v>1274</v>
      </c>
      <c r="B267" s="178" t="s">
        <v>1275</v>
      </c>
      <c r="C267" s="178" t="s">
        <v>729</v>
      </c>
      <c r="D267" s="178" t="s">
        <v>1276</v>
      </c>
      <c r="E267">
        <v>3128.4</v>
      </c>
      <c r="F267">
        <v>469.26</v>
      </c>
      <c r="G267">
        <v>3597.66</v>
      </c>
    </row>
    <row r="268" spans="1:7" x14ac:dyDescent="0.35">
      <c r="A268" s="178" t="s">
        <v>1274</v>
      </c>
      <c r="B268" s="178" t="s">
        <v>1277</v>
      </c>
      <c r="C268" s="178" t="s">
        <v>729</v>
      </c>
      <c r="D268" s="178" t="s">
        <v>1278</v>
      </c>
      <c r="E268">
        <v>1619.5</v>
      </c>
      <c r="F268">
        <v>242.93</v>
      </c>
      <c r="G268">
        <v>1862.43</v>
      </c>
    </row>
    <row r="269" spans="1:7" x14ac:dyDescent="0.35">
      <c r="A269" s="178" t="s">
        <v>1274</v>
      </c>
      <c r="B269" s="178" t="s">
        <v>1279</v>
      </c>
      <c r="C269" s="178" t="s">
        <v>729</v>
      </c>
      <c r="D269" s="178" t="s">
        <v>1280</v>
      </c>
      <c r="E269">
        <v>1411</v>
      </c>
      <c r="F269">
        <v>211.65</v>
      </c>
      <c r="G269">
        <v>1622.65</v>
      </c>
    </row>
    <row r="270" spans="1:7" x14ac:dyDescent="0.35">
      <c r="A270" s="178" t="s">
        <v>1274</v>
      </c>
      <c r="B270" s="178" t="s">
        <v>1281</v>
      </c>
      <c r="C270" s="178" t="s">
        <v>729</v>
      </c>
      <c r="D270" s="178" t="s">
        <v>1282</v>
      </c>
      <c r="E270">
        <v>1666</v>
      </c>
      <c r="F270">
        <v>249.9</v>
      </c>
      <c r="G270">
        <v>1915.9</v>
      </c>
    </row>
    <row r="271" spans="1:7" x14ac:dyDescent="0.35">
      <c r="A271" s="178" t="s">
        <v>1283</v>
      </c>
      <c r="B271" s="178" t="s">
        <v>1284</v>
      </c>
      <c r="C271" s="178" t="s">
        <v>729</v>
      </c>
      <c r="D271" s="178" t="s">
        <v>57</v>
      </c>
      <c r="E271">
        <v>1634</v>
      </c>
      <c r="F271">
        <v>245.1</v>
      </c>
      <c r="G271">
        <v>1879.1</v>
      </c>
    </row>
    <row r="272" spans="1:7" x14ac:dyDescent="0.35">
      <c r="A272" s="178" t="s">
        <v>988</v>
      </c>
      <c r="B272" s="178" t="s">
        <v>1285</v>
      </c>
      <c r="C272" s="178" t="s">
        <v>729</v>
      </c>
      <c r="D272" s="178" t="s">
        <v>57</v>
      </c>
      <c r="E272">
        <v>659.85</v>
      </c>
      <c r="F272">
        <v>98.98</v>
      </c>
      <c r="G272">
        <v>758.83</v>
      </c>
    </row>
    <row r="273" spans="1:7" x14ac:dyDescent="0.35">
      <c r="A273" s="178" t="s">
        <v>1286</v>
      </c>
      <c r="B273" s="178" t="s">
        <v>1287</v>
      </c>
      <c r="C273" s="178" t="s">
        <v>729</v>
      </c>
      <c r="D273" s="178" t="s">
        <v>57</v>
      </c>
      <c r="E273">
        <v>1715.95</v>
      </c>
      <c r="F273">
        <v>257.39</v>
      </c>
      <c r="G273">
        <v>1973.34</v>
      </c>
    </row>
    <row r="274" spans="1:7" x14ac:dyDescent="0.35">
      <c r="A274" s="178" t="s">
        <v>1037</v>
      </c>
      <c r="B274" s="178" t="s">
        <v>1288</v>
      </c>
      <c r="C274" s="178" t="s">
        <v>729</v>
      </c>
      <c r="D274" s="178" t="s">
        <v>1289</v>
      </c>
      <c r="E274">
        <v>9018.7999999999993</v>
      </c>
      <c r="F274">
        <v>1352.82</v>
      </c>
      <c r="G274">
        <v>10371.620000000001</v>
      </c>
    </row>
    <row r="275" spans="1:7" x14ac:dyDescent="0.35">
      <c r="A275" s="178" t="s">
        <v>1290</v>
      </c>
      <c r="B275" s="178" t="s">
        <v>1291</v>
      </c>
      <c r="C275" s="178" t="s">
        <v>729</v>
      </c>
      <c r="D275" s="178" t="s">
        <v>1292</v>
      </c>
      <c r="E275">
        <v>15774.5</v>
      </c>
      <c r="F275">
        <v>2366.1799999999998</v>
      </c>
      <c r="G275">
        <v>18140.68</v>
      </c>
    </row>
    <row r="276" spans="1:7" x14ac:dyDescent="0.35">
      <c r="A276" s="178" t="s">
        <v>750</v>
      </c>
      <c r="B276" s="178" t="s">
        <v>1293</v>
      </c>
      <c r="C276" s="178" t="s">
        <v>729</v>
      </c>
      <c r="D276" s="178" t="s">
        <v>1294</v>
      </c>
      <c r="E276">
        <v>1300.6500000000001</v>
      </c>
      <c r="F276">
        <v>195.1</v>
      </c>
      <c r="G276">
        <v>1495.75</v>
      </c>
    </row>
    <row r="277" spans="1:7" x14ac:dyDescent="0.35">
      <c r="A277" s="178" t="s">
        <v>1295</v>
      </c>
      <c r="B277" s="178" t="s">
        <v>1296</v>
      </c>
      <c r="C277" s="178" t="s">
        <v>729</v>
      </c>
      <c r="D277" s="178" t="s">
        <v>1297</v>
      </c>
      <c r="E277">
        <v>2357.0500000000002</v>
      </c>
      <c r="F277">
        <v>353.56</v>
      </c>
      <c r="G277">
        <v>2710.61</v>
      </c>
    </row>
    <row r="278" spans="1:7" x14ac:dyDescent="0.35">
      <c r="A278" s="178" t="s">
        <v>821</v>
      </c>
      <c r="B278" s="178" t="s">
        <v>1298</v>
      </c>
      <c r="C278" s="178" t="s">
        <v>729</v>
      </c>
      <c r="D278" s="178" t="s">
        <v>57</v>
      </c>
      <c r="E278">
        <v>23581.8</v>
      </c>
      <c r="F278">
        <v>3537.27</v>
      </c>
      <c r="G278">
        <v>27119.07</v>
      </c>
    </row>
    <row r="279" spans="1:7" x14ac:dyDescent="0.35">
      <c r="A279" s="178" t="s">
        <v>882</v>
      </c>
      <c r="B279" s="178" t="s">
        <v>1299</v>
      </c>
      <c r="C279" s="178" t="s">
        <v>729</v>
      </c>
      <c r="D279" s="178" t="s">
        <v>1300</v>
      </c>
      <c r="E279">
        <v>4102.2</v>
      </c>
      <c r="F279">
        <v>615.33000000000004</v>
      </c>
      <c r="G279">
        <v>4717.53</v>
      </c>
    </row>
    <row r="280" spans="1:7" x14ac:dyDescent="0.35">
      <c r="A280" s="178" t="s">
        <v>1301</v>
      </c>
      <c r="B280" s="178" t="s">
        <v>1302</v>
      </c>
      <c r="C280" s="178" t="s">
        <v>729</v>
      </c>
      <c r="D280" s="178" t="s">
        <v>57</v>
      </c>
      <c r="E280">
        <v>1540.3</v>
      </c>
      <c r="F280">
        <v>231.05</v>
      </c>
      <c r="G280">
        <v>1771.35</v>
      </c>
    </row>
    <row r="281" spans="1:7" x14ac:dyDescent="0.35">
      <c r="A281" s="178" t="s">
        <v>1303</v>
      </c>
      <c r="B281" s="178" t="s">
        <v>1304</v>
      </c>
      <c r="C281" s="178" t="s">
        <v>729</v>
      </c>
      <c r="D281" s="178" t="s">
        <v>57</v>
      </c>
      <c r="E281">
        <v>4473.2</v>
      </c>
      <c r="F281">
        <v>670.98</v>
      </c>
      <c r="G281">
        <v>5144.18</v>
      </c>
    </row>
    <row r="282" spans="1:7" x14ac:dyDescent="0.35">
      <c r="A282" s="178" t="s">
        <v>1305</v>
      </c>
      <c r="B282" s="178" t="s">
        <v>1306</v>
      </c>
      <c r="C282" s="178" t="s">
        <v>729</v>
      </c>
      <c r="D282" s="178" t="s">
        <v>57</v>
      </c>
      <c r="E282">
        <v>15555</v>
      </c>
      <c r="F282">
        <v>2333.25</v>
      </c>
      <c r="G282">
        <v>17888.25</v>
      </c>
    </row>
    <row r="283" spans="1:7" x14ac:dyDescent="0.35">
      <c r="A283" s="178" t="s">
        <v>1307</v>
      </c>
      <c r="B283" s="178" t="s">
        <v>1308</v>
      </c>
      <c r="C283" s="178" t="s">
        <v>729</v>
      </c>
      <c r="D283" s="178" t="s">
        <v>1309</v>
      </c>
      <c r="E283">
        <v>1931.2</v>
      </c>
      <c r="F283">
        <v>289.68</v>
      </c>
      <c r="G283">
        <v>2220.88</v>
      </c>
    </row>
    <row r="284" spans="1:7" x14ac:dyDescent="0.35">
      <c r="A284" s="178" t="s">
        <v>1045</v>
      </c>
      <c r="B284" s="178" t="s">
        <v>1310</v>
      </c>
      <c r="C284" s="178" t="s">
        <v>729</v>
      </c>
      <c r="D284" s="178" t="s">
        <v>57</v>
      </c>
      <c r="E284">
        <v>3056.9</v>
      </c>
      <c r="F284">
        <v>458.54</v>
      </c>
      <c r="G284">
        <v>3515.44</v>
      </c>
    </row>
    <row r="285" spans="1:7" x14ac:dyDescent="0.35">
      <c r="A285" s="178" t="s">
        <v>741</v>
      </c>
      <c r="B285" s="178" t="s">
        <v>1311</v>
      </c>
      <c r="C285" s="178" t="s">
        <v>729</v>
      </c>
      <c r="D285" s="178" t="s">
        <v>57</v>
      </c>
      <c r="E285">
        <v>33005.5</v>
      </c>
      <c r="F285">
        <v>4950.83</v>
      </c>
      <c r="G285">
        <v>37956.33</v>
      </c>
    </row>
    <row r="286" spans="1:7" x14ac:dyDescent="0.35">
      <c r="A286" s="178" t="s">
        <v>1312</v>
      </c>
      <c r="B286" s="178" t="s">
        <v>1313</v>
      </c>
      <c r="C286" s="178" t="s">
        <v>729</v>
      </c>
      <c r="D286" s="178" t="s">
        <v>57</v>
      </c>
      <c r="E286">
        <v>8907.9</v>
      </c>
      <c r="F286">
        <v>1336.19</v>
      </c>
      <c r="G286">
        <v>10244.09</v>
      </c>
    </row>
    <row r="287" spans="1:7" x14ac:dyDescent="0.35">
      <c r="A287" s="178" t="s">
        <v>1312</v>
      </c>
      <c r="B287" s="178" t="s">
        <v>1314</v>
      </c>
      <c r="C287" s="178" t="s">
        <v>729</v>
      </c>
      <c r="D287" s="178" t="s">
        <v>57</v>
      </c>
      <c r="E287">
        <v>11672.5</v>
      </c>
      <c r="F287">
        <v>1750.88</v>
      </c>
      <c r="G287">
        <v>13423.38</v>
      </c>
    </row>
    <row r="288" spans="1:7" x14ac:dyDescent="0.35">
      <c r="A288" s="178" t="s">
        <v>929</v>
      </c>
      <c r="B288" s="178" t="s">
        <v>1315</v>
      </c>
      <c r="C288" s="178" t="s">
        <v>729</v>
      </c>
      <c r="D288" s="178" t="s">
        <v>1316</v>
      </c>
      <c r="E288">
        <v>17182.8</v>
      </c>
      <c r="F288">
        <v>2577.42</v>
      </c>
      <c r="G288">
        <v>19760.22</v>
      </c>
    </row>
    <row r="289" spans="1:7" x14ac:dyDescent="0.35">
      <c r="A289" s="178" t="s">
        <v>1317</v>
      </c>
      <c r="B289" s="178" t="s">
        <v>1318</v>
      </c>
      <c r="C289" s="178" t="s">
        <v>729</v>
      </c>
      <c r="D289" s="178" t="s">
        <v>57</v>
      </c>
      <c r="E289">
        <v>1837.5</v>
      </c>
      <c r="F289">
        <v>275.63</v>
      </c>
      <c r="G289">
        <v>2113.13</v>
      </c>
    </row>
    <row r="290" spans="1:7" x14ac:dyDescent="0.35">
      <c r="A290" s="178" t="s">
        <v>1319</v>
      </c>
      <c r="B290" s="178" t="s">
        <v>1320</v>
      </c>
      <c r="C290" s="178" t="s">
        <v>729</v>
      </c>
      <c r="D290" s="178" t="s">
        <v>57</v>
      </c>
      <c r="E290">
        <v>722.4</v>
      </c>
      <c r="F290">
        <v>108.36</v>
      </c>
      <c r="G290">
        <v>830.76</v>
      </c>
    </row>
    <row r="291" spans="1:7" x14ac:dyDescent="0.35">
      <c r="A291" s="178" t="s">
        <v>1321</v>
      </c>
      <c r="B291" s="178" t="s">
        <v>1322</v>
      </c>
      <c r="C291" s="178" t="s">
        <v>729</v>
      </c>
      <c r="D291" s="178" t="s">
        <v>57</v>
      </c>
      <c r="E291">
        <v>774</v>
      </c>
      <c r="F291">
        <v>116.1</v>
      </c>
      <c r="G291">
        <v>890.1</v>
      </c>
    </row>
    <row r="292" spans="1:7" x14ac:dyDescent="0.35">
      <c r="A292" s="178" t="s">
        <v>988</v>
      </c>
      <c r="B292" s="178" t="s">
        <v>1323</v>
      </c>
      <c r="C292" s="178" t="s">
        <v>729</v>
      </c>
      <c r="D292" s="178" t="s">
        <v>1324</v>
      </c>
      <c r="E292">
        <v>12000</v>
      </c>
      <c r="F292">
        <v>1800</v>
      </c>
      <c r="G292">
        <v>13800</v>
      </c>
    </row>
    <row r="293" spans="1:7" x14ac:dyDescent="0.35">
      <c r="A293" s="178" t="s">
        <v>1325</v>
      </c>
      <c r="B293" s="178" t="s">
        <v>1326</v>
      </c>
      <c r="C293" s="178" t="s">
        <v>729</v>
      </c>
      <c r="D293" s="178" t="s">
        <v>1327</v>
      </c>
      <c r="E293">
        <v>10891.4</v>
      </c>
      <c r="F293">
        <v>1633.71</v>
      </c>
      <c r="G293">
        <v>12525.11</v>
      </c>
    </row>
    <row r="294" spans="1:7" x14ac:dyDescent="0.35">
      <c r="A294" s="178" t="s">
        <v>789</v>
      </c>
      <c r="B294" s="178" t="s">
        <v>1328</v>
      </c>
      <c r="C294" s="178" t="s">
        <v>729</v>
      </c>
      <c r="D294" s="178" t="s">
        <v>57</v>
      </c>
      <c r="E294">
        <v>2097.6</v>
      </c>
      <c r="F294">
        <v>314.64</v>
      </c>
      <c r="G294">
        <v>2412.2399999999998</v>
      </c>
    </row>
    <row r="295" spans="1:7" x14ac:dyDescent="0.35">
      <c r="A295" s="178" t="s">
        <v>1329</v>
      </c>
      <c r="B295" s="178" t="s">
        <v>1330</v>
      </c>
      <c r="C295" s="178" t="s">
        <v>729</v>
      </c>
      <c r="D295" s="178" t="s">
        <v>1331</v>
      </c>
      <c r="E295">
        <v>6415.1</v>
      </c>
      <c r="F295">
        <v>962.27</v>
      </c>
      <c r="G295">
        <v>7377.37</v>
      </c>
    </row>
    <row r="296" spans="1:7" x14ac:dyDescent="0.35">
      <c r="A296" s="178" t="s">
        <v>1332</v>
      </c>
      <c r="B296" s="178" t="s">
        <v>1333</v>
      </c>
      <c r="C296" s="178" t="s">
        <v>729</v>
      </c>
      <c r="D296" s="178" t="s">
        <v>57</v>
      </c>
      <c r="E296">
        <v>3093.75</v>
      </c>
      <c r="F296">
        <v>464.06</v>
      </c>
      <c r="G296">
        <v>3557.81</v>
      </c>
    </row>
    <row r="297" spans="1:7" x14ac:dyDescent="0.35">
      <c r="A297" s="178" t="s">
        <v>1334</v>
      </c>
      <c r="B297" s="178" t="s">
        <v>1335</v>
      </c>
      <c r="C297" s="178" t="s">
        <v>729</v>
      </c>
      <c r="D297" s="178" t="s">
        <v>57</v>
      </c>
      <c r="E297">
        <v>3467.94</v>
      </c>
      <c r="F297">
        <v>520.20000000000005</v>
      </c>
      <c r="G297">
        <v>3988.14</v>
      </c>
    </row>
    <row r="298" spans="1:7" x14ac:dyDescent="0.35">
      <c r="A298" s="178" t="s">
        <v>990</v>
      </c>
      <c r="B298" s="178" t="s">
        <v>1336</v>
      </c>
      <c r="C298" s="178" t="s">
        <v>729</v>
      </c>
      <c r="D298" s="178" t="s">
        <v>992</v>
      </c>
      <c r="E298">
        <v>1645.6</v>
      </c>
      <c r="F298">
        <v>246.84</v>
      </c>
      <c r="G298">
        <v>1892.44</v>
      </c>
    </row>
    <row r="299" spans="1:7" x14ac:dyDescent="0.35">
      <c r="A299" s="178" t="s">
        <v>1337</v>
      </c>
      <c r="B299" s="178" t="s">
        <v>1338</v>
      </c>
      <c r="C299" s="178" t="s">
        <v>729</v>
      </c>
      <c r="D299" s="178" t="s">
        <v>1339</v>
      </c>
      <c r="E299">
        <v>17626.05</v>
      </c>
      <c r="F299">
        <v>2643.91</v>
      </c>
      <c r="G299">
        <v>20269.96</v>
      </c>
    </row>
    <row r="300" spans="1:7" x14ac:dyDescent="0.35">
      <c r="A300" s="178" t="s">
        <v>1340</v>
      </c>
      <c r="B300" s="178" t="s">
        <v>1341</v>
      </c>
      <c r="C300" s="178" t="s">
        <v>729</v>
      </c>
      <c r="D300" s="178" t="s">
        <v>57</v>
      </c>
      <c r="E300">
        <v>712.5</v>
      </c>
      <c r="F300">
        <v>106.88</v>
      </c>
      <c r="G300">
        <v>819.38</v>
      </c>
    </row>
    <row r="301" spans="1:7" x14ac:dyDescent="0.35">
      <c r="A301" s="178" t="s">
        <v>1342</v>
      </c>
      <c r="B301" s="178" t="s">
        <v>1343</v>
      </c>
      <c r="C301" s="178" t="s">
        <v>729</v>
      </c>
      <c r="D301" s="178" t="s">
        <v>57</v>
      </c>
      <c r="E301">
        <v>28834.55</v>
      </c>
      <c r="F301">
        <v>4325.18</v>
      </c>
      <c r="G301">
        <v>33159.730000000003</v>
      </c>
    </row>
    <row r="302" spans="1:7" x14ac:dyDescent="0.35">
      <c r="A302" s="178" t="s">
        <v>1344</v>
      </c>
      <c r="B302" s="178" t="s">
        <v>1345</v>
      </c>
      <c r="C302" s="178" t="s">
        <v>729</v>
      </c>
      <c r="D302" s="178" t="s">
        <v>57</v>
      </c>
      <c r="E302">
        <v>4342.3999999999996</v>
      </c>
      <c r="F302">
        <v>651.36</v>
      </c>
      <c r="G302">
        <v>4993.76</v>
      </c>
    </row>
    <row r="303" spans="1:7" x14ac:dyDescent="0.35">
      <c r="A303" s="178" t="s">
        <v>1346</v>
      </c>
      <c r="B303" s="178" t="s">
        <v>1347</v>
      </c>
      <c r="C303" s="178" t="s">
        <v>729</v>
      </c>
      <c r="D303" s="178" t="s">
        <v>57</v>
      </c>
      <c r="E303">
        <v>3302.4</v>
      </c>
      <c r="F303">
        <v>495.37</v>
      </c>
      <c r="G303">
        <v>3797.77</v>
      </c>
    </row>
    <row r="304" spans="1:7" x14ac:dyDescent="0.35">
      <c r="A304" s="178" t="s">
        <v>1348</v>
      </c>
      <c r="B304" s="178" t="s">
        <v>1349</v>
      </c>
      <c r="C304" s="178" t="s">
        <v>729</v>
      </c>
      <c r="D304" s="178" t="s">
        <v>57</v>
      </c>
      <c r="E304">
        <v>195</v>
      </c>
      <c r="F304">
        <v>29.25</v>
      </c>
      <c r="G304">
        <v>224.25</v>
      </c>
    </row>
    <row r="305" spans="1:7" x14ac:dyDescent="0.35">
      <c r="A305" s="178" t="s">
        <v>1350</v>
      </c>
      <c r="B305" s="178" t="s">
        <v>1351</v>
      </c>
      <c r="C305" s="178" t="s">
        <v>729</v>
      </c>
      <c r="D305" s="178" t="s">
        <v>57</v>
      </c>
      <c r="E305" s="178" t="s">
        <v>57</v>
      </c>
      <c r="F305" s="178" t="s">
        <v>57</v>
      </c>
    </row>
    <row r="306" spans="1:7" x14ac:dyDescent="0.35">
      <c r="A306" s="178" t="s">
        <v>1352</v>
      </c>
      <c r="B306" s="178" t="s">
        <v>1353</v>
      </c>
      <c r="C306" s="178" t="s">
        <v>729</v>
      </c>
      <c r="D306" s="178" t="s">
        <v>57</v>
      </c>
      <c r="E306">
        <v>1644</v>
      </c>
      <c r="F306">
        <v>246.6</v>
      </c>
      <c r="G306">
        <v>1890.6</v>
      </c>
    </row>
    <row r="307" spans="1:7" x14ac:dyDescent="0.35">
      <c r="A307" s="178" t="s">
        <v>1354</v>
      </c>
      <c r="B307" s="178" t="s">
        <v>1355</v>
      </c>
      <c r="C307" s="178" t="s">
        <v>729</v>
      </c>
      <c r="D307" s="178" t="s">
        <v>57</v>
      </c>
      <c r="E307">
        <v>1350</v>
      </c>
      <c r="F307">
        <v>202.5</v>
      </c>
      <c r="G307">
        <v>1552.5</v>
      </c>
    </row>
    <row r="308" spans="1:7" x14ac:dyDescent="0.35">
      <c r="A308" s="178" t="s">
        <v>778</v>
      </c>
      <c r="B308" s="178" t="s">
        <v>1356</v>
      </c>
      <c r="C308" s="178" t="s">
        <v>729</v>
      </c>
      <c r="D308" s="178" t="s">
        <v>57</v>
      </c>
      <c r="E308">
        <v>1837.8</v>
      </c>
      <c r="F308">
        <v>275.67</v>
      </c>
      <c r="G308">
        <v>2113.4699999999998</v>
      </c>
    </row>
    <row r="309" spans="1:7" x14ac:dyDescent="0.35">
      <c r="A309" s="178" t="s">
        <v>1357</v>
      </c>
      <c r="B309" s="178" t="s">
        <v>1358</v>
      </c>
      <c r="C309" s="178" t="s">
        <v>729</v>
      </c>
      <c r="D309" s="178" t="s">
        <v>57</v>
      </c>
      <c r="E309">
        <v>14665.95</v>
      </c>
      <c r="F309">
        <v>2199.89</v>
      </c>
      <c r="G309">
        <v>16865.84</v>
      </c>
    </row>
    <row r="310" spans="1:7" x14ac:dyDescent="0.35">
      <c r="A310" s="178" t="s">
        <v>1359</v>
      </c>
      <c r="B310" s="178" t="s">
        <v>1360</v>
      </c>
      <c r="C310" s="178" t="s">
        <v>729</v>
      </c>
      <c r="D310" s="178" t="s">
        <v>57</v>
      </c>
      <c r="E310">
        <v>3492.25</v>
      </c>
      <c r="F310">
        <v>523.85</v>
      </c>
      <c r="G310">
        <v>4016.1</v>
      </c>
    </row>
    <row r="311" spans="1:7" x14ac:dyDescent="0.35">
      <c r="A311" s="178" t="s">
        <v>1261</v>
      </c>
      <c r="B311" s="178" t="s">
        <v>1361</v>
      </c>
      <c r="C311" s="178" t="s">
        <v>729</v>
      </c>
      <c r="D311" s="178" t="s">
        <v>57</v>
      </c>
      <c r="E311">
        <v>1314</v>
      </c>
      <c r="F311">
        <v>197.1</v>
      </c>
      <c r="G311">
        <v>1511.1</v>
      </c>
    </row>
    <row r="312" spans="1:7" x14ac:dyDescent="0.35">
      <c r="A312" s="178" t="s">
        <v>1362</v>
      </c>
      <c r="B312" s="178" t="s">
        <v>1363</v>
      </c>
      <c r="C312" s="178" t="s">
        <v>729</v>
      </c>
      <c r="D312" s="178" t="s">
        <v>57</v>
      </c>
      <c r="E312">
        <v>7655.2</v>
      </c>
      <c r="F312">
        <v>1148.28</v>
      </c>
      <c r="G312">
        <v>8803.48</v>
      </c>
    </row>
    <row r="313" spans="1:7" x14ac:dyDescent="0.35">
      <c r="A313" s="178" t="s">
        <v>1364</v>
      </c>
      <c r="B313" s="178" t="s">
        <v>1365</v>
      </c>
      <c r="C313" s="178" t="s">
        <v>729</v>
      </c>
      <c r="D313" s="178" t="s">
        <v>57</v>
      </c>
      <c r="E313">
        <v>2006.6</v>
      </c>
      <c r="F313">
        <v>300.99</v>
      </c>
      <c r="G313">
        <v>2307.59</v>
      </c>
    </row>
    <row r="314" spans="1:7" x14ac:dyDescent="0.35">
      <c r="A314" s="178" t="s">
        <v>1366</v>
      </c>
      <c r="B314" s="178" t="s">
        <v>1367</v>
      </c>
      <c r="C314" s="178" t="s">
        <v>729</v>
      </c>
      <c r="D314" s="178" t="s">
        <v>57</v>
      </c>
      <c r="E314">
        <v>4631.6000000000004</v>
      </c>
      <c r="F314">
        <v>694.74</v>
      </c>
      <c r="G314">
        <v>5326.34</v>
      </c>
    </row>
    <row r="315" spans="1:7" x14ac:dyDescent="0.35">
      <c r="A315" s="178" t="s">
        <v>1368</v>
      </c>
      <c r="B315" s="178" t="s">
        <v>1369</v>
      </c>
      <c r="C315" s="178" t="s">
        <v>729</v>
      </c>
      <c r="D315" s="178" t="s">
        <v>57</v>
      </c>
      <c r="E315">
        <v>696.6</v>
      </c>
      <c r="F315">
        <v>104.49</v>
      </c>
      <c r="G315">
        <v>801.09</v>
      </c>
    </row>
    <row r="316" spans="1:7" x14ac:dyDescent="0.35">
      <c r="A316" s="178" t="s">
        <v>750</v>
      </c>
      <c r="B316" s="178" t="s">
        <v>1370</v>
      </c>
      <c r="C316" s="178" t="s">
        <v>729</v>
      </c>
      <c r="D316" s="178" t="s">
        <v>57</v>
      </c>
      <c r="E316">
        <v>19150</v>
      </c>
      <c r="F316">
        <v>2872.5</v>
      </c>
      <c r="G316">
        <v>22022.5</v>
      </c>
    </row>
    <row r="317" spans="1:7" x14ac:dyDescent="0.35">
      <c r="A317" s="178" t="s">
        <v>988</v>
      </c>
      <c r="B317" s="178" t="s">
        <v>1371</v>
      </c>
      <c r="C317" s="178" t="s">
        <v>729</v>
      </c>
      <c r="D317" s="178" t="s">
        <v>57</v>
      </c>
      <c r="E317">
        <v>907.3</v>
      </c>
      <c r="F317">
        <v>136.1</v>
      </c>
      <c r="G317">
        <v>1043.4000000000001</v>
      </c>
    </row>
    <row r="318" spans="1:7" x14ac:dyDescent="0.35">
      <c r="A318" s="178" t="s">
        <v>1120</v>
      </c>
      <c r="B318" s="178" t="s">
        <v>1372</v>
      </c>
      <c r="C318" s="178" t="s">
        <v>729</v>
      </c>
      <c r="D318" s="178" t="s">
        <v>57</v>
      </c>
      <c r="E318">
        <v>604.79999999999995</v>
      </c>
      <c r="F318">
        <v>90.72</v>
      </c>
      <c r="G318">
        <v>695.52</v>
      </c>
    </row>
    <row r="319" spans="1:7" x14ac:dyDescent="0.35">
      <c r="A319" s="178" t="s">
        <v>1373</v>
      </c>
      <c r="B319" s="178" t="s">
        <v>1374</v>
      </c>
      <c r="C319" s="178" t="s">
        <v>729</v>
      </c>
      <c r="D319" s="178" t="s">
        <v>57</v>
      </c>
      <c r="E319">
        <v>15376.75</v>
      </c>
      <c r="F319">
        <v>2306.5100000000002</v>
      </c>
      <c r="G319">
        <v>17683.259999999998</v>
      </c>
    </row>
    <row r="320" spans="1:7" x14ac:dyDescent="0.35">
      <c r="A320" s="178" t="s">
        <v>750</v>
      </c>
      <c r="B320" s="178" t="s">
        <v>1375</v>
      </c>
      <c r="C320" s="178" t="s">
        <v>729</v>
      </c>
      <c r="D320" s="178" t="s">
        <v>1376</v>
      </c>
      <c r="E320">
        <v>1346.85</v>
      </c>
      <c r="F320">
        <v>202.03</v>
      </c>
      <c r="G320">
        <v>1548.88</v>
      </c>
    </row>
    <row r="321" spans="1:7" x14ac:dyDescent="0.35">
      <c r="A321" s="178" t="s">
        <v>1377</v>
      </c>
      <c r="B321" s="178" t="s">
        <v>1378</v>
      </c>
      <c r="C321" s="178" t="s">
        <v>729</v>
      </c>
      <c r="D321" s="178" t="s">
        <v>57</v>
      </c>
      <c r="E321">
        <v>8876.5</v>
      </c>
      <c r="F321">
        <v>1331.48</v>
      </c>
      <c r="G321">
        <v>10207.98</v>
      </c>
    </row>
    <row r="322" spans="1:7" x14ac:dyDescent="0.35">
      <c r="A322" s="178" t="s">
        <v>1377</v>
      </c>
      <c r="B322" s="178" t="s">
        <v>1379</v>
      </c>
      <c r="C322" s="178" t="s">
        <v>729</v>
      </c>
      <c r="D322" s="178" t="s">
        <v>57</v>
      </c>
      <c r="E322">
        <v>2351.6999999999998</v>
      </c>
      <c r="F322">
        <v>352.76</v>
      </c>
      <c r="G322">
        <v>2704.46</v>
      </c>
    </row>
    <row r="323" spans="1:7" x14ac:dyDescent="0.35">
      <c r="A323" s="178" t="s">
        <v>1263</v>
      </c>
      <c r="B323" s="178" t="s">
        <v>1380</v>
      </c>
      <c r="C323" s="178" t="s">
        <v>729</v>
      </c>
      <c r="D323" s="178" t="s">
        <v>57</v>
      </c>
      <c r="E323">
        <v>1056.0999999999999</v>
      </c>
      <c r="F323">
        <v>158.41999999999999</v>
      </c>
      <c r="G323">
        <v>1214.52</v>
      </c>
    </row>
    <row r="324" spans="1:7" x14ac:dyDescent="0.35">
      <c r="A324" s="178" t="s">
        <v>1381</v>
      </c>
      <c r="B324" s="178" t="s">
        <v>1382</v>
      </c>
      <c r="C324" s="178" t="s">
        <v>729</v>
      </c>
      <c r="D324" s="178" t="s">
        <v>57</v>
      </c>
      <c r="E324">
        <v>8643.2000000000007</v>
      </c>
      <c r="F324">
        <v>1296.48</v>
      </c>
      <c r="G324">
        <v>9939.68</v>
      </c>
    </row>
    <row r="325" spans="1:7" x14ac:dyDescent="0.35">
      <c r="A325" s="178" t="s">
        <v>1383</v>
      </c>
      <c r="B325" s="178" t="s">
        <v>1384</v>
      </c>
      <c r="C325" s="178" t="s">
        <v>729</v>
      </c>
      <c r="D325" s="178" t="s">
        <v>57</v>
      </c>
      <c r="E325">
        <v>2500</v>
      </c>
      <c r="F325">
        <v>375</v>
      </c>
      <c r="G325">
        <v>2875</v>
      </c>
    </row>
    <row r="326" spans="1:7" x14ac:dyDescent="0.35">
      <c r="A326" s="178" t="s">
        <v>1385</v>
      </c>
      <c r="B326" s="178" t="s">
        <v>1386</v>
      </c>
      <c r="C326" s="178" t="s">
        <v>729</v>
      </c>
      <c r="D326" s="178" t="s">
        <v>57</v>
      </c>
      <c r="E326">
        <v>715.8</v>
      </c>
      <c r="F326">
        <v>107.37</v>
      </c>
      <c r="G326">
        <v>823.17</v>
      </c>
    </row>
    <row r="327" spans="1:7" x14ac:dyDescent="0.35">
      <c r="A327" s="178" t="s">
        <v>1387</v>
      </c>
      <c r="B327" s="178" t="s">
        <v>1388</v>
      </c>
      <c r="C327" s="178" t="s">
        <v>729</v>
      </c>
      <c r="D327" s="178" t="s">
        <v>57</v>
      </c>
      <c r="E327">
        <v>856.8</v>
      </c>
      <c r="F327">
        <v>128.52000000000001</v>
      </c>
      <c r="G327">
        <v>985.32</v>
      </c>
    </row>
    <row r="328" spans="1:7" x14ac:dyDescent="0.35">
      <c r="A328" s="178" t="s">
        <v>1389</v>
      </c>
      <c r="B328" s="178" t="s">
        <v>1390</v>
      </c>
      <c r="C328" s="178" t="s">
        <v>729</v>
      </c>
      <c r="D328" s="178" t="s">
        <v>57</v>
      </c>
      <c r="E328">
        <v>37172.550000000003</v>
      </c>
      <c r="F328">
        <v>5575.89</v>
      </c>
      <c r="G328">
        <v>42748.44</v>
      </c>
    </row>
    <row r="329" spans="1:7" x14ac:dyDescent="0.35">
      <c r="A329" s="178" t="s">
        <v>1391</v>
      </c>
      <c r="B329" s="178" t="s">
        <v>1392</v>
      </c>
      <c r="C329" s="178" t="s">
        <v>729</v>
      </c>
      <c r="D329" s="178" t="s">
        <v>57</v>
      </c>
      <c r="E329">
        <v>29954.65</v>
      </c>
      <c r="F329">
        <v>4493.2299999999996</v>
      </c>
      <c r="G329">
        <v>34447.879999999997</v>
      </c>
    </row>
    <row r="330" spans="1:7" x14ac:dyDescent="0.35">
      <c r="A330" s="178" t="s">
        <v>1393</v>
      </c>
      <c r="B330" s="178" t="s">
        <v>1394</v>
      </c>
      <c r="C330" s="178" t="s">
        <v>729</v>
      </c>
      <c r="D330" s="178" t="s">
        <v>1395</v>
      </c>
      <c r="E330">
        <v>1453.95</v>
      </c>
      <c r="F330">
        <v>218.09</v>
      </c>
      <c r="G330">
        <v>1672.04</v>
      </c>
    </row>
    <row r="331" spans="1:7" x14ac:dyDescent="0.35">
      <c r="A331" s="178" t="s">
        <v>939</v>
      </c>
      <c r="B331" s="178" t="s">
        <v>1396</v>
      </c>
      <c r="C331" s="178" t="s">
        <v>729</v>
      </c>
      <c r="D331" s="178" t="s">
        <v>57</v>
      </c>
      <c r="E331">
        <v>4138.3999999999996</v>
      </c>
      <c r="F331">
        <v>620.76</v>
      </c>
      <c r="G331">
        <v>4759.16</v>
      </c>
    </row>
    <row r="332" spans="1:7" x14ac:dyDescent="0.35">
      <c r="A332" s="178" t="s">
        <v>1397</v>
      </c>
      <c r="B332" s="178" t="s">
        <v>1398</v>
      </c>
      <c r="C332" s="178" t="s">
        <v>729</v>
      </c>
      <c r="D332" s="178" t="s">
        <v>1399</v>
      </c>
      <c r="E332">
        <v>11313</v>
      </c>
      <c r="F332">
        <v>1696.95</v>
      </c>
      <c r="G332">
        <v>13009.95</v>
      </c>
    </row>
    <row r="333" spans="1:7" x14ac:dyDescent="0.35">
      <c r="A333" s="178" t="s">
        <v>1254</v>
      </c>
      <c r="B333" s="178" t="s">
        <v>1400</v>
      </c>
      <c r="C333" s="178" t="s">
        <v>729</v>
      </c>
      <c r="D333" s="178" t="s">
        <v>57</v>
      </c>
      <c r="E333">
        <v>21172.400000000001</v>
      </c>
      <c r="F333">
        <v>3175.86</v>
      </c>
      <c r="G333">
        <v>24348.26</v>
      </c>
    </row>
    <row r="334" spans="1:7" x14ac:dyDescent="0.35">
      <c r="A334" s="178" t="s">
        <v>1401</v>
      </c>
      <c r="B334" s="178" t="s">
        <v>1402</v>
      </c>
      <c r="C334" s="178" t="s">
        <v>729</v>
      </c>
      <c r="D334" s="178" t="s">
        <v>57</v>
      </c>
      <c r="E334">
        <v>1518</v>
      </c>
      <c r="F334">
        <v>227.7</v>
      </c>
      <c r="G334">
        <v>1745.7</v>
      </c>
    </row>
    <row r="335" spans="1:7" x14ac:dyDescent="0.35">
      <c r="A335" s="178" t="s">
        <v>1403</v>
      </c>
      <c r="B335" s="178" t="s">
        <v>1404</v>
      </c>
      <c r="C335" s="178" t="s">
        <v>729</v>
      </c>
      <c r="D335" s="178" t="s">
        <v>57</v>
      </c>
      <c r="E335">
        <v>10481.85</v>
      </c>
      <c r="F335">
        <v>1572.29</v>
      </c>
      <c r="G335">
        <v>12054.14</v>
      </c>
    </row>
    <row r="336" spans="1:7" x14ac:dyDescent="0.35">
      <c r="A336" s="178" t="s">
        <v>1405</v>
      </c>
      <c r="B336" s="178" t="s">
        <v>1406</v>
      </c>
      <c r="C336" s="178" t="s">
        <v>729</v>
      </c>
      <c r="D336" s="178" t="s">
        <v>57</v>
      </c>
      <c r="E336">
        <v>1098.6500000000001</v>
      </c>
      <c r="F336">
        <v>164.8</v>
      </c>
      <c r="G336">
        <v>1263.45</v>
      </c>
    </row>
    <row r="337" spans="1:7" x14ac:dyDescent="0.35">
      <c r="A337" s="178" t="s">
        <v>1407</v>
      </c>
      <c r="B337" s="178" t="s">
        <v>1408</v>
      </c>
      <c r="C337" s="178" t="s">
        <v>729</v>
      </c>
      <c r="D337" s="178" t="s">
        <v>57</v>
      </c>
      <c r="E337">
        <v>6061</v>
      </c>
      <c r="F337">
        <v>909.16</v>
      </c>
      <c r="G337">
        <v>6970.16</v>
      </c>
    </row>
    <row r="338" spans="1:7" x14ac:dyDescent="0.35">
      <c r="A338" s="178" t="s">
        <v>1208</v>
      </c>
      <c r="B338" s="178" t="s">
        <v>1409</v>
      </c>
      <c r="C338" s="178" t="s">
        <v>722</v>
      </c>
      <c r="D338" s="178" t="s">
        <v>57</v>
      </c>
      <c r="E338">
        <v>680</v>
      </c>
      <c r="F338">
        <v>102</v>
      </c>
      <c r="G338">
        <v>782</v>
      </c>
    </row>
    <row r="339" spans="1:7" x14ac:dyDescent="0.35">
      <c r="A339" s="178" t="s">
        <v>1006</v>
      </c>
      <c r="B339" s="178" t="s">
        <v>1410</v>
      </c>
      <c r="C339" s="178" t="s">
        <v>729</v>
      </c>
      <c r="D339" s="178" t="s">
        <v>57</v>
      </c>
      <c r="E339">
        <v>2154.3000000000002</v>
      </c>
      <c r="F339">
        <v>323.14999999999998</v>
      </c>
      <c r="G339">
        <v>2477.4499999999998</v>
      </c>
    </row>
    <row r="340" spans="1:7" x14ac:dyDescent="0.35">
      <c r="A340" s="178" t="s">
        <v>741</v>
      </c>
      <c r="B340" s="178" t="s">
        <v>1411</v>
      </c>
      <c r="C340" s="178" t="s">
        <v>729</v>
      </c>
      <c r="D340" s="178" t="s">
        <v>57</v>
      </c>
      <c r="E340">
        <v>8695.5</v>
      </c>
      <c r="F340">
        <v>1304.33</v>
      </c>
      <c r="G340">
        <v>9999.83</v>
      </c>
    </row>
    <row r="341" spans="1:7" x14ac:dyDescent="0.35">
      <c r="A341" s="178" t="s">
        <v>988</v>
      </c>
      <c r="B341" s="178" t="s">
        <v>1412</v>
      </c>
      <c r="C341" s="178" t="s">
        <v>729</v>
      </c>
      <c r="D341" s="178" t="s">
        <v>57</v>
      </c>
      <c r="E341">
        <v>2340</v>
      </c>
      <c r="F341">
        <v>351</v>
      </c>
      <c r="G341">
        <v>2691</v>
      </c>
    </row>
    <row r="342" spans="1:7" x14ac:dyDescent="0.35">
      <c r="A342" s="178" t="s">
        <v>778</v>
      </c>
      <c r="B342" s="178" t="s">
        <v>1413</v>
      </c>
      <c r="C342" s="178" t="s">
        <v>729</v>
      </c>
      <c r="D342" s="178" t="s">
        <v>57</v>
      </c>
      <c r="E342">
        <v>876.15</v>
      </c>
      <c r="F342">
        <v>131.41999999999999</v>
      </c>
      <c r="G342">
        <v>1007.57</v>
      </c>
    </row>
    <row r="343" spans="1:7" x14ac:dyDescent="0.35">
      <c r="A343" s="178" t="s">
        <v>1414</v>
      </c>
      <c r="B343" s="178" t="s">
        <v>1415</v>
      </c>
      <c r="C343" s="178" t="s">
        <v>729</v>
      </c>
      <c r="D343" s="178" t="s">
        <v>57</v>
      </c>
      <c r="E343">
        <v>1215.4000000000001</v>
      </c>
      <c r="F343">
        <v>182.31</v>
      </c>
      <c r="G343">
        <v>1397.71</v>
      </c>
    </row>
    <row r="344" spans="1:7" x14ac:dyDescent="0.35">
      <c r="A344" s="178" t="s">
        <v>1416</v>
      </c>
      <c r="B344" s="178" t="s">
        <v>1417</v>
      </c>
      <c r="C344" s="178" t="s">
        <v>729</v>
      </c>
      <c r="D344" s="178" t="s">
        <v>57</v>
      </c>
      <c r="E344">
        <v>352.5</v>
      </c>
      <c r="F344">
        <v>52.88</v>
      </c>
      <c r="G344">
        <v>405.38</v>
      </c>
    </row>
    <row r="345" spans="1:7" x14ac:dyDescent="0.35">
      <c r="A345" s="178" t="s">
        <v>1265</v>
      </c>
      <c r="B345" s="178" t="s">
        <v>1418</v>
      </c>
      <c r="C345" s="178" t="s">
        <v>729</v>
      </c>
      <c r="D345" s="178" t="s">
        <v>1419</v>
      </c>
      <c r="E345">
        <v>629</v>
      </c>
      <c r="F345">
        <v>94.35</v>
      </c>
      <c r="G345">
        <v>723.35</v>
      </c>
    </row>
    <row r="346" spans="1:7" x14ac:dyDescent="0.35">
      <c r="A346" s="178" t="s">
        <v>1420</v>
      </c>
      <c r="B346" s="178" t="s">
        <v>1421</v>
      </c>
      <c r="C346" s="178" t="s">
        <v>739</v>
      </c>
      <c r="D346" s="178" t="s">
        <v>1422</v>
      </c>
      <c r="E346">
        <v>10545</v>
      </c>
      <c r="F346">
        <v>1581.75</v>
      </c>
      <c r="G346">
        <v>12126.75</v>
      </c>
    </row>
    <row r="347" spans="1:7" x14ac:dyDescent="0.35">
      <c r="A347" s="178" t="s">
        <v>1423</v>
      </c>
      <c r="B347" s="178" t="s">
        <v>1424</v>
      </c>
      <c r="C347" s="178" t="s">
        <v>739</v>
      </c>
      <c r="D347" s="178" t="s">
        <v>1425</v>
      </c>
      <c r="E347">
        <v>2970.4</v>
      </c>
      <c r="F347">
        <v>445.56</v>
      </c>
      <c r="G347">
        <v>3415.96</v>
      </c>
    </row>
    <row r="348" spans="1:7" x14ac:dyDescent="0.35">
      <c r="A348" s="178" t="s">
        <v>990</v>
      </c>
      <c r="B348" s="178" t="s">
        <v>1426</v>
      </c>
      <c r="C348" s="178" t="s">
        <v>739</v>
      </c>
      <c r="D348" s="178" t="s">
        <v>992</v>
      </c>
      <c r="E348">
        <v>3714.8</v>
      </c>
      <c r="F348">
        <v>557.22</v>
      </c>
      <c r="G348">
        <v>4272.0200000000004</v>
      </c>
    </row>
    <row r="349" spans="1:7" x14ac:dyDescent="0.35">
      <c r="A349" s="178" t="s">
        <v>895</v>
      </c>
      <c r="B349" s="178" t="s">
        <v>1427</v>
      </c>
      <c r="C349" s="178" t="s">
        <v>739</v>
      </c>
      <c r="D349" s="178" t="s">
        <v>1428</v>
      </c>
      <c r="E349">
        <v>11761.9</v>
      </c>
      <c r="F349">
        <v>1764.29</v>
      </c>
      <c r="G349">
        <v>13526.19</v>
      </c>
    </row>
    <row r="350" spans="1:7" x14ac:dyDescent="0.35">
      <c r="A350" s="178" t="s">
        <v>830</v>
      </c>
      <c r="B350" s="178" t="s">
        <v>1429</v>
      </c>
      <c r="C350" s="178" t="s">
        <v>739</v>
      </c>
      <c r="D350" s="178" t="s">
        <v>57</v>
      </c>
      <c r="E350">
        <v>635.5</v>
      </c>
      <c r="F350">
        <v>95.33</v>
      </c>
      <c r="G350">
        <v>730.83</v>
      </c>
    </row>
    <row r="351" spans="1:7" x14ac:dyDescent="0.35">
      <c r="A351" s="178" t="s">
        <v>1430</v>
      </c>
      <c r="B351" s="178" t="s">
        <v>1431</v>
      </c>
      <c r="C351" s="178" t="s">
        <v>739</v>
      </c>
      <c r="D351" s="178" t="s">
        <v>57</v>
      </c>
      <c r="E351">
        <v>932.2</v>
      </c>
      <c r="F351">
        <v>139.83000000000001</v>
      </c>
      <c r="G351">
        <v>1072.03</v>
      </c>
    </row>
    <row r="352" spans="1:7" x14ac:dyDescent="0.35">
      <c r="A352" s="178" t="s">
        <v>1432</v>
      </c>
      <c r="B352" s="178" t="s">
        <v>1433</v>
      </c>
      <c r="C352" s="178" t="s">
        <v>739</v>
      </c>
      <c r="D352" s="178" t="s">
        <v>57</v>
      </c>
      <c r="E352">
        <v>4186.05</v>
      </c>
      <c r="F352">
        <v>627.91</v>
      </c>
      <c r="G352">
        <v>4813.96</v>
      </c>
    </row>
    <row r="353" spans="1:7" x14ac:dyDescent="0.35">
      <c r="A353" s="178" t="s">
        <v>1434</v>
      </c>
      <c r="B353" s="178" t="s">
        <v>1435</v>
      </c>
      <c r="C353" s="178" t="s">
        <v>739</v>
      </c>
      <c r="D353" s="178" t="s">
        <v>1436</v>
      </c>
      <c r="E353">
        <v>26366.6</v>
      </c>
      <c r="F353">
        <v>3954.99</v>
      </c>
      <c r="G353">
        <v>30321.59</v>
      </c>
    </row>
    <row r="354" spans="1:7" x14ac:dyDescent="0.35">
      <c r="A354" s="178" t="s">
        <v>825</v>
      </c>
      <c r="B354" s="178" t="s">
        <v>1437</v>
      </c>
      <c r="C354" s="178" t="s">
        <v>739</v>
      </c>
      <c r="D354" s="178" t="s">
        <v>57</v>
      </c>
      <c r="E354">
        <v>7034.6</v>
      </c>
      <c r="F354">
        <v>1055.19</v>
      </c>
      <c r="G354">
        <v>8089.79</v>
      </c>
    </row>
    <row r="355" spans="1:7" x14ac:dyDescent="0.35">
      <c r="A355" s="178" t="s">
        <v>821</v>
      </c>
      <c r="B355" s="178" t="s">
        <v>1438</v>
      </c>
      <c r="C355" s="178" t="s">
        <v>739</v>
      </c>
      <c r="D355" s="178" t="s">
        <v>57</v>
      </c>
      <c r="E355">
        <v>27608.75</v>
      </c>
      <c r="F355">
        <v>4141.3100000000004</v>
      </c>
      <c r="G355">
        <v>31750.06</v>
      </c>
    </row>
    <row r="356" spans="1:7" x14ac:dyDescent="0.35">
      <c r="A356" s="178" t="s">
        <v>1159</v>
      </c>
      <c r="B356" s="178" t="s">
        <v>1439</v>
      </c>
      <c r="C356" s="178" t="s">
        <v>739</v>
      </c>
      <c r="D356" s="178" t="s">
        <v>57</v>
      </c>
      <c r="E356">
        <v>1747.2</v>
      </c>
      <c r="F356">
        <v>262.08</v>
      </c>
      <c r="G356">
        <v>2009.28</v>
      </c>
    </row>
    <row r="357" spans="1:7" x14ac:dyDescent="0.35">
      <c r="A357" s="178" t="s">
        <v>1440</v>
      </c>
      <c r="B357" s="178" t="s">
        <v>1441</v>
      </c>
      <c r="C357" s="178" t="s">
        <v>739</v>
      </c>
      <c r="D357" s="178" t="s">
        <v>57</v>
      </c>
      <c r="E357">
        <v>4540.2</v>
      </c>
      <c r="F357">
        <v>681.03</v>
      </c>
      <c r="G357">
        <v>5221.2299999999996</v>
      </c>
    </row>
    <row r="358" spans="1:7" x14ac:dyDescent="0.35">
      <c r="A358" s="178" t="s">
        <v>1442</v>
      </c>
      <c r="B358" s="178" t="s">
        <v>1443</v>
      </c>
      <c r="C358" s="178" t="s">
        <v>739</v>
      </c>
      <c r="D358" s="178" t="s">
        <v>57</v>
      </c>
      <c r="E358">
        <v>2373.6</v>
      </c>
      <c r="F358">
        <v>356.05</v>
      </c>
      <c r="G358">
        <v>2729.65</v>
      </c>
    </row>
    <row r="359" spans="1:7" x14ac:dyDescent="0.35">
      <c r="A359" s="178" t="s">
        <v>799</v>
      </c>
      <c r="B359" s="178" t="s">
        <v>1444</v>
      </c>
      <c r="C359" s="178" t="s">
        <v>739</v>
      </c>
      <c r="D359" s="178" t="s">
        <v>57</v>
      </c>
      <c r="E359">
        <v>692.75</v>
      </c>
      <c r="F359">
        <v>103.91</v>
      </c>
      <c r="G359">
        <v>796.66</v>
      </c>
    </row>
    <row r="360" spans="1:7" x14ac:dyDescent="0.35">
      <c r="A360" s="178" t="s">
        <v>1445</v>
      </c>
      <c r="B360" s="178" t="s">
        <v>1446</v>
      </c>
      <c r="C360" s="178" t="s">
        <v>739</v>
      </c>
      <c r="D360" s="178" t="s">
        <v>57</v>
      </c>
      <c r="E360">
        <v>1591.3</v>
      </c>
      <c r="F360">
        <v>238.7</v>
      </c>
      <c r="G360">
        <v>1830</v>
      </c>
    </row>
    <row r="361" spans="1:7" x14ac:dyDescent="0.35">
      <c r="A361" s="178" t="s">
        <v>1099</v>
      </c>
      <c r="B361" s="178" t="s">
        <v>1447</v>
      </c>
      <c r="C361" s="178" t="s">
        <v>739</v>
      </c>
      <c r="D361" s="178" t="s">
        <v>1448</v>
      </c>
      <c r="E361">
        <v>1755.65</v>
      </c>
      <c r="F361">
        <v>263.35000000000002</v>
      </c>
      <c r="G361">
        <v>2019</v>
      </c>
    </row>
    <row r="362" spans="1:7" x14ac:dyDescent="0.35">
      <c r="A362" s="178" t="s">
        <v>1045</v>
      </c>
      <c r="B362" s="178" t="s">
        <v>1449</v>
      </c>
      <c r="C362" s="178" t="s">
        <v>739</v>
      </c>
      <c r="D362" s="178" t="s">
        <v>57</v>
      </c>
      <c r="E362">
        <v>6455.4</v>
      </c>
      <c r="F362">
        <v>968.31</v>
      </c>
      <c r="G362">
        <v>7423.71</v>
      </c>
    </row>
    <row r="363" spans="1:7" x14ac:dyDescent="0.35">
      <c r="A363" s="178" t="s">
        <v>997</v>
      </c>
      <c r="B363" s="178" t="s">
        <v>1450</v>
      </c>
      <c r="C363" s="178" t="s">
        <v>739</v>
      </c>
      <c r="D363" s="178" t="s">
        <v>1451</v>
      </c>
      <c r="E363">
        <v>1428.2</v>
      </c>
      <c r="F363">
        <v>214.23</v>
      </c>
      <c r="G363">
        <v>1642.43</v>
      </c>
    </row>
    <row r="364" spans="1:7" x14ac:dyDescent="0.35">
      <c r="A364" s="178" t="s">
        <v>1452</v>
      </c>
      <c r="B364" s="178" t="s">
        <v>1453</v>
      </c>
      <c r="C364" s="178" t="s">
        <v>739</v>
      </c>
      <c r="D364" s="178" t="s">
        <v>57</v>
      </c>
      <c r="E364">
        <v>856.8</v>
      </c>
      <c r="F364">
        <v>128.52000000000001</v>
      </c>
      <c r="G364">
        <v>985.32</v>
      </c>
    </row>
    <row r="365" spans="1:7" x14ac:dyDescent="0.35">
      <c r="A365" s="178" t="s">
        <v>789</v>
      </c>
      <c r="B365" s="178" t="s">
        <v>1454</v>
      </c>
      <c r="C365" s="178" t="s">
        <v>729</v>
      </c>
      <c r="D365" s="178" t="s">
        <v>57</v>
      </c>
      <c r="E365">
        <v>15806.3</v>
      </c>
      <c r="F365">
        <v>2370.9499999999998</v>
      </c>
      <c r="G365">
        <v>18177.25</v>
      </c>
    </row>
    <row r="366" spans="1:7" x14ac:dyDescent="0.35">
      <c r="A366" s="178" t="s">
        <v>741</v>
      </c>
      <c r="B366" s="178" t="s">
        <v>1455</v>
      </c>
      <c r="C366" s="178" t="s">
        <v>739</v>
      </c>
      <c r="D366" s="178" t="s">
        <v>57</v>
      </c>
      <c r="E366">
        <v>25070.75</v>
      </c>
      <c r="F366">
        <v>3760.61</v>
      </c>
      <c r="G366">
        <v>28831.360000000001</v>
      </c>
    </row>
    <row r="367" spans="1:7" x14ac:dyDescent="0.35">
      <c r="A367" s="178" t="s">
        <v>1039</v>
      </c>
      <c r="B367" s="178" t="s">
        <v>1456</v>
      </c>
      <c r="C367" s="178" t="s">
        <v>729</v>
      </c>
      <c r="D367" s="178" t="s">
        <v>57</v>
      </c>
      <c r="E367">
        <v>20660.400000000001</v>
      </c>
      <c r="F367">
        <v>3099.06</v>
      </c>
      <c r="G367">
        <v>23759.46</v>
      </c>
    </row>
    <row r="368" spans="1:7" x14ac:dyDescent="0.35">
      <c r="A368" s="178" t="s">
        <v>750</v>
      </c>
      <c r="B368" s="178" t="s">
        <v>1457</v>
      </c>
      <c r="C368" s="178" t="s">
        <v>739</v>
      </c>
      <c r="D368" s="178" t="s">
        <v>1458</v>
      </c>
      <c r="E368">
        <v>1417.1</v>
      </c>
      <c r="F368">
        <v>212.57</v>
      </c>
      <c r="G368">
        <v>1629.67</v>
      </c>
    </row>
    <row r="369" spans="1:7" x14ac:dyDescent="0.35">
      <c r="A369" s="178" t="s">
        <v>1459</v>
      </c>
      <c r="B369" s="178" t="s">
        <v>1460</v>
      </c>
      <c r="C369" s="178" t="s">
        <v>739</v>
      </c>
      <c r="D369" s="178" t="s">
        <v>57</v>
      </c>
      <c r="E369">
        <v>596.4</v>
      </c>
      <c r="F369">
        <v>89.46</v>
      </c>
      <c r="G369">
        <v>685.86</v>
      </c>
    </row>
    <row r="370" spans="1:7" x14ac:dyDescent="0.35">
      <c r="A370" s="178" t="s">
        <v>988</v>
      </c>
      <c r="B370" s="178" t="s">
        <v>1461</v>
      </c>
      <c r="C370" s="178" t="s">
        <v>739</v>
      </c>
      <c r="D370" s="178" t="s">
        <v>57</v>
      </c>
      <c r="E370">
        <v>350</v>
      </c>
      <c r="F370">
        <v>52.5</v>
      </c>
      <c r="G370">
        <v>402.5</v>
      </c>
    </row>
    <row r="371" spans="1:7" x14ac:dyDescent="0.35">
      <c r="A371" s="178" t="s">
        <v>781</v>
      </c>
      <c r="B371" s="178" t="s">
        <v>1462</v>
      </c>
      <c r="C371" s="178" t="s">
        <v>739</v>
      </c>
      <c r="D371" s="178" t="s">
        <v>57</v>
      </c>
      <c r="E371">
        <v>6345.1</v>
      </c>
      <c r="F371">
        <v>951.77</v>
      </c>
      <c r="G371">
        <v>7296.87</v>
      </c>
    </row>
    <row r="372" spans="1:7" x14ac:dyDescent="0.35">
      <c r="A372" s="178" t="s">
        <v>860</v>
      </c>
      <c r="B372" s="178" t="s">
        <v>1463</v>
      </c>
      <c r="C372" s="178" t="s">
        <v>739</v>
      </c>
      <c r="D372" s="178" t="s">
        <v>57</v>
      </c>
      <c r="E372">
        <v>8077.2</v>
      </c>
      <c r="F372">
        <v>1211.58</v>
      </c>
      <c r="G372">
        <v>9288.7800000000007</v>
      </c>
    </row>
    <row r="373" spans="1:7" x14ac:dyDescent="0.35">
      <c r="A373" s="178" t="s">
        <v>1464</v>
      </c>
      <c r="B373" s="178" t="s">
        <v>1465</v>
      </c>
      <c r="C373" s="178" t="s">
        <v>739</v>
      </c>
      <c r="D373" s="178" t="s">
        <v>57</v>
      </c>
      <c r="E373">
        <v>43727.4</v>
      </c>
      <c r="F373">
        <v>6559.12</v>
      </c>
      <c r="G373">
        <v>50286.52</v>
      </c>
    </row>
    <row r="374" spans="1:7" x14ac:dyDescent="0.35">
      <c r="A374" s="178" t="s">
        <v>1466</v>
      </c>
      <c r="B374" s="178" t="s">
        <v>1467</v>
      </c>
      <c r="C374" s="178" t="s">
        <v>739</v>
      </c>
      <c r="D374" s="178" t="s">
        <v>57</v>
      </c>
      <c r="E374">
        <v>5982.75</v>
      </c>
      <c r="F374">
        <v>897.41</v>
      </c>
      <c r="G374">
        <v>6880.16</v>
      </c>
    </row>
    <row r="375" spans="1:7" x14ac:dyDescent="0.35">
      <c r="A375" s="178" t="s">
        <v>746</v>
      </c>
      <c r="B375" s="178" t="s">
        <v>1468</v>
      </c>
      <c r="C375" s="178" t="s">
        <v>739</v>
      </c>
      <c r="D375" s="178" t="s">
        <v>57</v>
      </c>
      <c r="E375">
        <v>4453.7</v>
      </c>
      <c r="F375">
        <v>668.06</v>
      </c>
      <c r="G375">
        <v>5121.76</v>
      </c>
    </row>
    <row r="376" spans="1:7" x14ac:dyDescent="0.35">
      <c r="A376" s="178" t="s">
        <v>793</v>
      </c>
      <c r="B376" s="178" t="s">
        <v>1469</v>
      </c>
      <c r="C376" s="178" t="s">
        <v>739</v>
      </c>
      <c r="D376">
        <v>37932</v>
      </c>
      <c r="E376">
        <v>890.4</v>
      </c>
      <c r="F376">
        <v>133.56</v>
      </c>
      <c r="G376">
        <v>1023.96</v>
      </c>
    </row>
    <row r="377" spans="1:7" x14ac:dyDescent="0.35">
      <c r="A377" s="178" t="s">
        <v>932</v>
      </c>
      <c r="B377" s="178" t="s">
        <v>1470</v>
      </c>
      <c r="C377" s="178" t="s">
        <v>739</v>
      </c>
      <c r="D377" s="178" t="s">
        <v>1471</v>
      </c>
      <c r="E377">
        <v>3508.4</v>
      </c>
      <c r="F377">
        <v>526.26</v>
      </c>
      <c r="G377">
        <v>4034.66</v>
      </c>
    </row>
    <row r="378" spans="1:7" x14ac:dyDescent="0.35">
      <c r="A378" s="178" t="s">
        <v>802</v>
      </c>
      <c r="B378" s="178" t="s">
        <v>1472</v>
      </c>
      <c r="C378" s="178" t="s">
        <v>739</v>
      </c>
      <c r="D378" s="178" t="s">
        <v>57</v>
      </c>
      <c r="E378">
        <v>1674.5</v>
      </c>
      <c r="F378">
        <v>251.18</v>
      </c>
      <c r="G378">
        <v>1925.68</v>
      </c>
    </row>
    <row r="379" spans="1:7" x14ac:dyDescent="0.35">
      <c r="A379" s="178" t="s">
        <v>1473</v>
      </c>
      <c r="B379" s="178" t="s">
        <v>1474</v>
      </c>
      <c r="C379" s="178" t="s">
        <v>739</v>
      </c>
      <c r="D379" s="178" t="s">
        <v>57</v>
      </c>
      <c r="E379">
        <v>2703.2</v>
      </c>
      <c r="F379">
        <v>405.48</v>
      </c>
      <c r="G379">
        <v>3108.68</v>
      </c>
    </row>
    <row r="380" spans="1:7" x14ac:dyDescent="0.35">
      <c r="A380" s="178" t="s">
        <v>1475</v>
      </c>
      <c r="B380" s="178" t="s">
        <v>1476</v>
      </c>
      <c r="C380" s="178" t="s">
        <v>739</v>
      </c>
      <c r="D380" s="178" t="s">
        <v>57</v>
      </c>
      <c r="E380">
        <v>2368.75</v>
      </c>
      <c r="F380">
        <v>355.31</v>
      </c>
      <c r="G380">
        <v>2724.06</v>
      </c>
    </row>
    <row r="381" spans="1:7" x14ac:dyDescent="0.35">
      <c r="A381" s="178" t="s">
        <v>1477</v>
      </c>
      <c r="B381" s="178" t="s">
        <v>1478</v>
      </c>
      <c r="C381" s="178" t="s">
        <v>739</v>
      </c>
      <c r="D381" s="178" t="s">
        <v>57</v>
      </c>
      <c r="E381">
        <v>2000</v>
      </c>
      <c r="F381">
        <v>300</v>
      </c>
      <c r="G381">
        <v>2300</v>
      </c>
    </row>
    <row r="382" spans="1:7" x14ac:dyDescent="0.35">
      <c r="A382" s="178" t="s">
        <v>860</v>
      </c>
      <c r="B382" s="178" t="s">
        <v>1479</v>
      </c>
      <c r="C382" s="178" t="s">
        <v>739</v>
      </c>
      <c r="D382" s="178" t="s">
        <v>57</v>
      </c>
      <c r="E382">
        <v>11243.95</v>
      </c>
      <c r="F382">
        <v>1686.59</v>
      </c>
      <c r="G382">
        <v>12930.54</v>
      </c>
    </row>
    <row r="383" spans="1:7" x14ac:dyDescent="0.35">
      <c r="A383" s="178" t="s">
        <v>1095</v>
      </c>
      <c r="B383" s="178" t="s">
        <v>1480</v>
      </c>
      <c r="C383" s="178" t="s">
        <v>739</v>
      </c>
      <c r="D383" s="178" t="s">
        <v>57</v>
      </c>
      <c r="E383">
        <v>10432.049999999999</v>
      </c>
      <c r="F383">
        <v>1564.81</v>
      </c>
      <c r="G383">
        <v>11996.86</v>
      </c>
    </row>
    <row r="384" spans="1:7" x14ac:dyDescent="0.35">
      <c r="A384" s="178" t="s">
        <v>842</v>
      </c>
      <c r="B384" s="178" t="s">
        <v>1481</v>
      </c>
      <c r="C384" s="178" t="s">
        <v>739</v>
      </c>
      <c r="D384" s="178" t="s">
        <v>1482</v>
      </c>
      <c r="E384">
        <v>2165.4</v>
      </c>
      <c r="F384">
        <v>324.82</v>
      </c>
      <c r="G384">
        <v>2490.2199999999998</v>
      </c>
    </row>
    <row r="385" spans="1:7" x14ac:dyDescent="0.35">
      <c r="A385" s="178" t="s">
        <v>1023</v>
      </c>
      <c r="B385" s="178" t="s">
        <v>1483</v>
      </c>
      <c r="C385" s="178" t="s">
        <v>739</v>
      </c>
      <c r="D385" s="178" t="s">
        <v>1025</v>
      </c>
      <c r="E385">
        <v>5127.3</v>
      </c>
      <c r="F385">
        <v>769.1</v>
      </c>
      <c r="G385">
        <v>5896.4</v>
      </c>
    </row>
    <row r="386" spans="1:7" x14ac:dyDescent="0.35">
      <c r="A386" s="178" t="s">
        <v>1475</v>
      </c>
      <c r="B386" s="178" t="s">
        <v>1484</v>
      </c>
      <c r="C386" s="178" t="s">
        <v>739</v>
      </c>
      <c r="D386" s="178" t="s">
        <v>57</v>
      </c>
      <c r="E386">
        <v>917.35</v>
      </c>
      <c r="F386">
        <v>137.6</v>
      </c>
      <c r="G386">
        <v>1054.95</v>
      </c>
    </row>
    <row r="387" spans="1:7" x14ac:dyDescent="0.35">
      <c r="A387" s="178" t="s">
        <v>1194</v>
      </c>
      <c r="B387" s="178" t="s">
        <v>1485</v>
      </c>
      <c r="C387" s="178" t="s">
        <v>739</v>
      </c>
      <c r="D387" s="178" t="s">
        <v>57</v>
      </c>
      <c r="E387">
        <v>5369.15</v>
      </c>
      <c r="F387">
        <v>805.37</v>
      </c>
      <c r="G387">
        <v>6174.52</v>
      </c>
    </row>
    <row r="388" spans="1:7" x14ac:dyDescent="0.35">
      <c r="A388" s="178" t="s">
        <v>1295</v>
      </c>
      <c r="B388" s="178" t="s">
        <v>1486</v>
      </c>
      <c r="C388" s="178" t="s">
        <v>739</v>
      </c>
      <c r="D388" s="178" t="s">
        <v>1297</v>
      </c>
      <c r="E388">
        <v>730.8</v>
      </c>
      <c r="F388">
        <v>109.62</v>
      </c>
      <c r="G388">
        <v>840.42</v>
      </c>
    </row>
    <row r="389" spans="1:7" x14ac:dyDescent="0.35">
      <c r="A389" s="178" t="s">
        <v>1487</v>
      </c>
      <c r="B389" s="178" t="s">
        <v>1488</v>
      </c>
      <c r="C389" s="178" t="s">
        <v>739</v>
      </c>
      <c r="D389" s="178" t="s">
        <v>57</v>
      </c>
      <c r="E389">
        <v>1116</v>
      </c>
      <c r="F389">
        <v>167.4</v>
      </c>
      <c r="G389">
        <v>1283.4000000000001</v>
      </c>
    </row>
    <row r="390" spans="1:7" x14ac:dyDescent="0.35">
      <c r="A390" s="178" t="s">
        <v>1489</v>
      </c>
      <c r="B390" s="178" t="s">
        <v>1490</v>
      </c>
      <c r="C390" s="178" t="s">
        <v>739</v>
      </c>
      <c r="D390" s="178" t="s">
        <v>57</v>
      </c>
      <c r="E390">
        <v>8896.7999999999993</v>
      </c>
      <c r="F390">
        <v>1334.52</v>
      </c>
      <c r="G390">
        <v>10231.32</v>
      </c>
    </row>
    <row r="391" spans="1:7" x14ac:dyDescent="0.35">
      <c r="A391" s="178" t="s">
        <v>1491</v>
      </c>
      <c r="B391" s="178" t="s">
        <v>1492</v>
      </c>
      <c r="C391" s="178" t="s">
        <v>739</v>
      </c>
      <c r="D391" s="178" t="s">
        <v>57</v>
      </c>
      <c r="E391">
        <v>1396.2</v>
      </c>
      <c r="F391">
        <v>209.43</v>
      </c>
      <c r="G391">
        <v>1605.63</v>
      </c>
    </row>
    <row r="392" spans="1:7" x14ac:dyDescent="0.35">
      <c r="A392" s="178" t="s">
        <v>1066</v>
      </c>
      <c r="B392" s="178" t="s">
        <v>1493</v>
      </c>
      <c r="C392" s="178" t="s">
        <v>739</v>
      </c>
      <c r="D392" s="178" t="s">
        <v>57</v>
      </c>
      <c r="E392">
        <v>5186.75</v>
      </c>
      <c r="F392">
        <v>778.02</v>
      </c>
      <c r="G392">
        <v>5964.77</v>
      </c>
    </row>
    <row r="393" spans="1:7" x14ac:dyDescent="0.35">
      <c r="A393" s="178" t="s">
        <v>1494</v>
      </c>
      <c r="B393" s="178" t="s">
        <v>1495</v>
      </c>
      <c r="C393" s="178" t="s">
        <v>739</v>
      </c>
      <c r="D393" s="178" t="s">
        <v>57</v>
      </c>
      <c r="E393">
        <v>24447.4</v>
      </c>
      <c r="F393">
        <v>3667.12</v>
      </c>
      <c r="G393">
        <v>28114.52</v>
      </c>
    </row>
    <row r="394" spans="1:7" x14ac:dyDescent="0.35">
      <c r="A394" s="178" t="s">
        <v>1496</v>
      </c>
      <c r="B394" s="178" t="s">
        <v>1497</v>
      </c>
      <c r="C394" s="178" t="s">
        <v>739</v>
      </c>
      <c r="D394" s="178" t="s">
        <v>1498</v>
      </c>
      <c r="E394">
        <v>7661.45</v>
      </c>
      <c r="F394">
        <v>1149.22</v>
      </c>
      <c r="G394">
        <v>8810.67</v>
      </c>
    </row>
    <row r="395" spans="1:7" x14ac:dyDescent="0.35">
      <c r="A395" s="178" t="s">
        <v>1499</v>
      </c>
      <c r="B395" s="178" t="s">
        <v>1500</v>
      </c>
      <c r="C395" s="178" t="s">
        <v>739</v>
      </c>
      <c r="D395" s="178" t="s">
        <v>1501</v>
      </c>
      <c r="E395">
        <v>7066.8</v>
      </c>
      <c r="F395" s="178" t="s">
        <v>57</v>
      </c>
      <c r="G395">
        <v>7066.8</v>
      </c>
    </row>
    <row r="396" spans="1:7" x14ac:dyDescent="0.35">
      <c r="A396" s="178" t="s">
        <v>1502</v>
      </c>
      <c r="B396" s="178" t="s">
        <v>1503</v>
      </c>
      <c r="C396" s="178" t="s">
        <v>739</v>
      </c>
      <c r="D396" s="178" t="s">
        <v>1504</v>
      </c>
      <c r="E396">
        <v>16169.25</v>
      </c>
      <c r="F396" s="178" t="s">
        <v>57</v>
      </c>
      <c r="G396">
        <v>16169.25</v>
      </c>
    </row>
    <row r="397" spans="1:7" x14ac:dyDescent="0.35">
      <c r="A397" s="178" t="s">
        <v>1505</v>
      </c>
      <c r="B397" s="178" t="s">
        <v>1506</v>
      </c>
      <c r="C397" s="178" t="s">
        <v>739</v>
      </c>
      <c r="D397" s="178" t="s">
        <v>1507</v>
      </c>
      <c r="E397">
        <v>30660.2</v>
      </c>
      <c r="F397" s="178" t="s">
        <v>57</v>
      </c>
      <c r="G397">
        <v>30660.2</v>
      </c>
    </row>
    <row r="398" spans="1:7" x14ac:dyDescent="0.35">
      <c r="A398" s="178" t="s">
        <v>988</v>
      </c>
      <c r="B398" s="178" t="s">
        <v>1508</v>
      </c>
      <c r="C398" s="178" t="s">
        <v>739</v>
      </c>
      <c r="D398" s="178" t="s">
        <v>57</v>
      </c>
      <c r="E398">
        <v>1051.6500000000001</v>
      </c>
      <c r="F398">
        <v>157.75</v>
      </c>
      <c r="G398">
        <v>1209.4000000000001</v>
      </c>
    </row>
    <row r="399" spans="1:7" x14ac:dyDescent="0.35">
      <c r="A399" s="178" t="s">
        <v>988</v>
      </c>
      <c r="B399" s="178" t="s">
        <v>1509</v>
      </c>
      <c r="C399" s="178" t="s">
        <v>739</v>
      </c>
      <c r="D399" s="178" t="s">
        <v>57</v>
      </c>
      <c r="E399">
        <v>2187.4</v>
      </c>
      <c r="F399">
        <v>328.12</v>
      </c>
      <c r="G399">
        <v>2515.52</v>
      </c>
    </row>
    <row r="400" spans="1:7" x14ac:dyDescent="0.35">
      <c r="A400" s="178" t="s">
        <v>1510</v>
      </c>
      <c r="B400" s="178" t="s">
        <v>1511</v>
      </c>
      <c r="C400" s="178" t="s">
        <v>739</v>
      </c>
      <c r="D400" s="178" t="s">
        <v>57</v>
      </c>
      <c r="E400">
        <v>80157.350000000006</v>
      </c>
      <c r="F400">
        <v>12023.6</v>
      </c>
      <c r="G400">
        <v>92180.95</v>
      </c>
    </row>
    <row r="401" spans="1:7" x14ac:dyDescent="0.35">
      <c r="A401" s="178" t="s">
        <v>758</v>
      </c>
      <c r="B401" s="178" t="s">
        <v>1512</v>
      </c>
      <c r="C401" s="178" t="s">
        <v>739</v>
      </c>
      <c r="D401" s="178" t="s">
        <v>57</v>
      </c>
      <c r="E401">
        <v>1599.75</v>
      </c>
      <c r="F401">
        <v>239.97</v>
      </c>
      <c r="G401">
        <v>1839.72</v>
      </c>
    </row>
    <row r="402" spans="1:7" x14ac:dyDescent="0.35">
      <c r="A402" s="178" t="s">
        <v>1513</v>
      </c>
      <c r="B402" s="178" t="s">
        <v>1514</v>
      </c>
      <c r="C402" s="178" t="s">
        <v>748</v>
      </c>
      <c r="D402" s="178" t="s">
        <v>1515</v>
      </c>
      <c r="E402">
        <v>1520.75</v>
      </c>
      <c r="F402">
        <v>228.11</v>
      </c>
      <c r="G402">
        <v>1748.86</v>
      </c>
    </row>
    <row r="403" spans="1:7" x14ac:dyDescent="0.35">
      <c r="A403" s="178" t="s">
        <v>1434</v>
      </c>
      <c r="B403" s="178" t="s">
        <v>1516</v>
      </c>
      <c r="C403" s="178" t="s">
        <v>748</v>
      </c>
      <c r="D403" s="178" t="s">
        <v>1517</v>
      </c>
      <c r="E403">
        <v>32109.599999999999</v>
      </c>
      <c r="F403">
        <v>4816.4399999999996</v>
      </c>
      <c r="G403">
        <v>36926.04</v>
      </c>
    </row>
    <row r="404" spans="1:7" x14ac:dyDescent="0.35">
      <c r="A404" s="178" t="s">
        <v>1290</v>
      </c>
      <c r="B404" s="178" t="s">
        <v>1518</v>
      </c>
      <c r="C404" s="178" t="s">
        <v>748</v>
      </c>
      <c r="D404" s="178" t="s">
        <v>1519</v>
      </c>
      <c r="E404">
        <v>3535</v>
      </c>
      <c r="F404">
        <v>530.26</v>
      </c>
      <c r="G404">
        <v>4065.26</v>
      </c>
    </row>
    <row r="405" spans="1:7" x14ac:dyDescent="0.35">
      <c r="A405" s="178" t="s">
        <v>1162</v>
      </c>
      <c r="B405" s="178" t="s">
        <v>1520</v>
      </c>
      <c r="C405" s="178" t="s">
        <v>748</v>
      </c>
      <c r="D405" s="178" t="s">
        <v>57</v>
      </c>
      <c r="E405">
        <v>879.8</v>
      </c>
      <c r="F405">
        <v>131.97</v>
      </c>
      <c r="G405">
        <v>1011.77</v>
      </c>
    </row>
    <row r="406" spans="1:7" x14ac:dyDescent="0.35">
      <c r="A406" s="178" t="s">
        <v>809</v>
      </c>
      <c r="B406" s="178" t="s">
        <v>1521</v>
      </c>
      <c r="C406" s="178" t="s">
        <v>748</v>
      </c>
      <c r="D406" s="178" t="s">
        <v>57</v>
      </c>
      <c r="E406">
        <v>4972.3500000000004</v>
      </c>
      <c r="F406">
        <v>745.86</v>
      </c>
      <c r="G406">
        <v>5718.21</v>
      </c>
    </row>
    <row r="407" spans="1:7" x14ac:dyDescent="0.35">
      <c r="A407" s="178" t="s">
        <v>746</v>
      </c>
      <c r="B407" s="178" t="s">
        <v>1522</v>
      </c>
      <c r="C407" s="178" t="s">
        <v>748</v>
      </c>
      <c r="D407" s="178" t="s">
        <v>57</v>
      </c>
      <c r="E407">
        <v>73709.25</v>
      </c>
      <c r="F407">
        <v>11056.39</v>
      </c>
      <c r="G407">
        <v>84765.64</v>
      </c>
    </row>
    <row r="408" spans="1:7" x14ac:dyDescent="0.35">
      <c r="A408" s="178" t="s">
        <v>1523</v>
      </c>
      <c r="B408" s="178" t="s">
        <v>1524</v>
      </c>
      <c r="C408" s="178" t="s">
        <v>748</v>
      </c>
      <c r="D408" s="178" t="s">
        <v>57</v>
      </c>
      <c r="E408">
        <v>1089.2</v>
      </c>
      <c r="F408">
        <v>163.38</v>
      </c>
      <c r="G408">
        <v>1252.58</v>
      </c>
    </row>
    <row r="409" spans="1:7" x14ac:dyDescent="0.35">
      <c r="A409" s="178" t="s">
        <v>904</v>
      </c>
      <c r="B409" s="178" t="s">
        <v>1525</v>
      </c>
      <c r="C409" s="178" t="s">
        <v>748</v>
      </c>
      <c r="D409" s="178" t="s">
        <v>1526</v>
      </c>
      <c r="E409">
        <v>3104.4</v>
      </c>
      <c r="F409">
        <v>465.66</v>
      </c>
      <c r="G409">
        <v>3570.06</v>
      </c>
    </row>
    <row r="410" spans="1:7" x14ac:dyDescent="0.35">
      <c r="A410" s="178" t="s">
        <v>1527</v>
      </c>
      <c r="B410" s="178" t="s">
        <v>1528</v>
      </c>
      <c r="C410" s="178" t="s">
        <v>748</v>
      </c>
      <c r="D410" s="178" t="s">
        <v>57</v>
      </c>
      <c r="E410">
        <v>946</v>
      </c>
      <c r="F410">
        <v>141.9</v>
      </c>
      <c r="G410">
        <v>1087.9000000000001</v>
      </c>
    </row>
    <row r="411" spans="1:7" x14ac:dyDescent="0.35">
      <c r="A411" s="178" t="s">
        <v>1529</v>
      </c>
      <c r="B411" s="178" t="s">
        <v>1530</v>
      </c>
      <c r="C411" s="178" t="s">
        <v>748</v>
      </c>
      <c r="D411" s="178" t="s">
        <v>57</v>
      </c>
      <c r="E411">
        <v>1000</v>
      </c>
      <c r="F411">
        <v>150</v>
      </c>
      <c r="G411">
        <v>1150</v>
      </c>
    </row>
    <row r="412" spans="1:7" x14ac:dyDescent="0.35">
      <c r="A412" s="178" t="s">
        <v>1531</v>
      </c>
      <c r="B412" s="178" t="s">
        <v>1532</v>
      </c>
      <c r="C412" s="178" t="s">
        <v>748</v>
      </c>
      <c r="D412" s="178" t="s">
        <v>1533</v>
      </c>
      <c r="E412">
        <v>44488.5</v>
      </c>
      <c r="F412">
        <v>6673.28</v>
      </c>
      <c r="G412">
        <v>51161.78</v>
      </c>
    </row>
    <row r="413" spans="1:7" x14ac:dyDescent="0.35">
      <c r="A413" s="178" t="s">
        <v>975</v>
      </c>
      <c r="B413" s="178" t="s">
        <v>1534</v>
      </c>
      <c r="C413" s="178" t="s">
        <v>748</v>
      </c>
      <c r="D413" s="178" t="s">
        <v>57</v>
      </c>
      <c r="E413">
        <v>3168.55</v>
      </c>
      <c r="F413">
        <v>475.28</v>
      </c>
      <c r="G413">
        <v>3643.83</v>
      </c>
    </row>
    <row r="414" spans="1:7" x14ac:dyDescent="0.35">
      <c r="A414" s="178" t="s">
        <v>1535</v>
      </c>
      <c r="B414" s="178" t="s">
        <v>1536</v>
      </c>
      <c r="C414" s="178" t="s">
        <v>748</v>
      </c>
      <c r="D414" s="178" t="s">
        <v>57</v>
      </c>
      <c r="E414">
        <v>1283.8499999999999</v>
      </c>
      <c r="F414">
        <v>192.58</v>
      </c>
      <c r="G414">
        <v>1476.43</v>
      </c>
    </row>
    <row r="415" spans="1:7" x14ac:dyDescent="0.35">
      <c r="A415" s="178" t="s">
        <v>932</v>
      </c>
      <c r="B415" s="178" t="s">
        <v>1537</v>
      </c>
      <c r="C415" s="178" t="s">
        <v>748</v>
      </c>
      <c r="D415" s="178" t="s">
        <v>57</v>
      </c>
      <c r="E415">
        <v>14304.3</v>
      </c>
      <c r="F415">
        <v>2145.65</v>
      </c>
      <c r="G415">
        <v>16449.95</v>
      </c>
    </row>
    <row r="416" spans="1:7" x14ac:dyDescent="0.35">
      <c r="A416" s="178" t="s">
        <v>1538</v>
      </c>
      <c r="B416" s="178" t="s">
        <v>1539</v>
      </c>
      <c r="C416" s="178" t="s">
        <v>748</v>
      </c>
      <c r="D416" s="178" t="s">
        <v>57</v>
      </c>
      <c r="E416">
        <v>360.15</v>
      </c>
      <c r="F416">
        <v>54.02</v>
      </c>
      <c r="G416">
        <v>414.17</v>
      </c>
    </row>
    <row r="417" spans="1:7" x14ac:dyDescent="0.35">
      <c r="A417" s="178" t="s">
        <v>1540</v>
      </c>
      <c r="B417" s="178" t="s">
        <v>1541</v>
      </c>
      <c r="C417" s="178" t="s">
        <v>748</v>
      </c>
      <c r="D417" s="178" t="s">
        <v>1542</v>
      </c>
      <c r="E417">
        <v>12348</v>
      </c>
      <c r="F417">
        <v>1852.2</v>
      </c>
      <c r="G417">
        <v>14200.2</v>
      </c>
    </row>
    <row r="418" spans="1:7" x14ac:dyDescent="0.35">
      <c r="A418" s="178" t="s">
        <v>1543</v>
      </c>
      <c r="B418" s="178" t="s">
        <v>1544</v>
      </c>
      <c r="C418" s="178" t="s">
        <v>748</v>
      </c>
      <c r="D418" s="178" t="s">
        <v>57</v>
      </c>
      <c r="E418">
        <v>2953.6</v>
      </c>
      <c r="F418">
        <v>443.04</v>
      </c>
      <c r="G418">
        <v>3396.64</v>
      </c>
    </row>
    <row r="419" spans="1:7" x14ac:dyDescent="0.35">
      <c r="A419" s="178" t="s">
        <v>821</v>
      </c>
      <c r="B419" s="178" t="s">
        <v>1545</v>
      </c>
      <c r="C419" s="178" t="s">
        <v>748</v>
      </c>
      <c r="D419" s="178" t="s">
        <v>57</v>
      </c>
      <c r="E419">
        <v>11732.6</v>
      </c>
      <c r="F419">
        <v>1759.89</v>
      </c>
      <c r="G419">
        <v>13492.49</v>
      </c>
    </row>
    <row r="420" spans="1:7" x14ac:dyDescent="0.35">
      <c r="A420" s="178" t="s">
        <v>1049</v>
      </c>
      <c r="B420" s="178" t="s">
        <v>1546</v>
      </c>
      <c r="C420" s="178" t="s">
        <v>748</v>
      </c>
      <c r="D420" s="178" t="s">
        <v>1547</v>
      </c>
      <c r="E420">
        <v>24660.799999999999</v>
      </c>
      <c r="F420">
        <v>3699.12</v>
      </c>
      <c r="G420">
        <v>28359.919999999998</v>
      </c>
    </row>
    <row r="421" spans="1:7" x14ac:dyDescent="0.35">
      <c r="A421" s="178" t="s">
        <v>988</v>
      </c>
      <c r="B421" s="178" t="s">
        <v>1548</v>
      </c>
      <c r="C421" s="178" t="s">
        <v>748</v>
      </c>
      <c r="D421" s="178" t="s">
        <v>1549</v>
      </c>
      <c r="E421">
        <v>4597.95</v>
      </c>
      <c r="F421">
        <v>689.71</v>
      </c>
      <c r="G421">
        <v>5287.66</v>
      </c>
    </row>
    <row r="422" spans="1:7" x14ac:dyDescent="0.35">
      <c r="A422" s="178" t="s">
        <v>1550</v>
      </c>
      <c r="B422" s="178" t="s">
        <v>1551</v>
      </c>
      <c r="C422" s="178" t="s">
        <v>748</v>
      </c>
      <c r="D422" s="178" t="s">
        <v>57</v>
      </c>
      <c r="E422">
        <v>4813.8500000000004</v>
      </c>
      <c r="F422">
        <v>722.08</v>
      </c>
      <c r="G422">
        <v>5535.93</v>
      </c>
    </row>
    <row r="423" spans="1:7" x14ac:dyDescent="0.35">
      <c r="A423" s="178" t="s">
        <v>1552</v>
      </c>
      <c r="B423" s="178" t="s">
        <v>1553</v>
      </c>
      <c r="C423" s="178" t="s">
        <v>748</v>
      </c>
      <c r="D423" s="178" t="s">
        <v>57</v>
      </c>
      <c r="E423">
        <v>3059.9</v>
      </c>
      <c r="F423">
        <v>458.99</v>
      </c>
      <c r="G423">
        <v>3518.89</v>
      </c>
    </row>
    <row r="424" spans="1:7" x14ac:dyDescent="0.35">
      <c r="A424" s="178" t="s">
        <v>1391</v>
      </c>
      <c r="B424" s="178" t="s">
        <v>1554</v>
      </c>
      <c r="C424" s="178" t="s">
        <v>748</v>
      </c>
      <c r="D424" s="178" t="s">
        <v>57</v>
      </c>
      <c r="E424">
        <v>26740.1</v>
      </c>
      <c r="F424">
        <v>4011.04</v>
      </c>
      <c r="G424">
        <v>30751.14</v>
      </c>
    </row>
    <row r="425" spans="1:7" x14ac:dyDescent="0.35">
      <c r="A425" s="178" t="s">
        <v>1070</v>
      </c>
      <c r="B425" s="178" t="s">
        <v>1555</v>
      </c>
      <c r="C425" s="178" t="s">
        <v>748</v>
      </c>
      <c r="D425" s="178" t="s">
        <v>57</v>
      </c>
      <c r="E425">
        <v>6449.3</v>
      </c>
      <c r="F425">
        <v>967.4</v>
      </c>
      <c r="G425">
        <v>7416.7</v>
      </c>
    </row>
    <row r="426" spans="1:7" x14ac:dyDescent="0.35">
      <c r="A426" s="178" t="s">
        <v>1070</v>
      </c>
      <c r="B426" s="178" t="s">
        <v>1556</v>
      </c>
      <c r="C426" s="178" t="s">
        <v>748</v>
      </c>
      <c r="D426" s="178" t="s">
        <v>57</v>
      </c>
      <c r="E426">
        <v>1336.6</v>
      </c>
      <c r="F426">
        <v>200.49</v>
      </c>
      <c r="G426">
        <v>1537.09</v>
      </c>
    </row>
    <row r="427" spans="1:7" x14ac:dyDescent="0.35">
      <c r="A427" s="178" t="s">
        <v>797</v>
      </c>
      <c r="B427" s="178" t="s">
        <v>1557</v>
      </c>
      <c r="C427" s="178" t="s">
        <v>748</v>
      </c>
      <c r="D427" s="178" t="s">
        <v>1558</v>
      </c>
      <c r="E427">
        <v>8186.3</v>
      </c>
      <c r="F427">
        <v>1227.95</v>
      </c>
      <c r="G427">
        <v>9414.25</v>
      </c>
    </row>
    <row r="428" spans="1:7" x14ac:dyDescent="0.35">
      <c r="A428" s="178" t="s">
        <v>1559</v>
      </c>
      <c r="B428" s="178" t="s">
        <v>1560</v>
      </c>
      <c r="C428" s="178" t="s">
        <v>748</v>
      </c>
      <c r="D428" s="178" t="s">
        <v>1561</v>
      </c>
      <c r="E428">
        <v>635.79999999999995</v>
      </c>
      <c r="F428">
        <v>95.37</v>
      </c>
      <c r="G428">
        <v>731.17</v>
      </c>
    </row>
    <row r="429" spans="1:7" x14ac:dyDescent="0.35">
      <c r="A429" s="178" t="s">
        <v>1099</v>
      </c>
      <c r="B429" s="178" t="s">
        <v>1562</v>
      </c>
      <c r="C429" s="178" t="s">
        <v>748</v>
      </c>
      <c r="D429" s="178" t="s">
        <v>1101</v>
      </c>
      <c r="E429">
        <v>6670.45</v>
      </c>
      <c r="F429">
        <v>1000.58</v>
      </c>
      <c r="G429">
        <v>7671.03</v>
      </c>
    </row>
    <row r="430" spans="1:7" x14ac:dyDescent="0.35">
      <c r="A430" s="178" t="s">
        <v>774</v>
      </c>
      <c r="B430" s="178" t="s">
        <v>1563</v>
      </c>
      <c r="C430" s="178" t="s">
        <v>748</v>
      </c>
      <c r="D430" s="178" t="s">
        <v>57</v>
      </c>
      <c r="E430">
        <v>2146.6</v>
      </c>
      <c r="F430">
        <v>321.99</v>
      </c>
      <c r="G430">
        <v>2468.59</v>
      </c>
    </row>
    <row r="431" spans="1:7" x14ac:dyDescent="0.35">
      <c r="A431" s="178" t="s">
        <v>1564</v>
      </c>
      <c r="B431" s="178" t="s">
        <v>1565</v>
      </c>
      <c r="C431" s="178" t="s">
        <v>748</v>
      </c>
      <c r="D431" s="178" t="s">
        <v>57</v>
      </c>
      <c r="E431">
        <v>1717.5</v>
      </c>
      <c r="F431">
        <v>257.63</v>
      </c>
      <c r="G431">
        <v>1975.13</v>
      </c>
    </row>
    <row r="432" spans="1:7" x14ac:dyDescent="0.35">
      <c r="A432" s="178" t="s">
        <v>750</v>
      </c>
      <c r="B432" s="178" t="s">
        <v>1566</v>
      </c>
      <c r="C432" s="178" t="s">
        <v>748</v>
      </c>
      <c r="D432" s="178" t="s">
        <v>1567</v>
      </c>
      <c r="E432">
        <v>2000</v>
      </c>
      <c r="F432">
        <v>300</v>
      </c>
      <c r="G432">
        <v>2300</v>
      </c>
    </row>
    <row r="433" spans="1:7" x14ac:dyDescent="0.35">
      <c r="A433" s="178" t="s">
        <v>1568</v>
      </c>
      <c r="B433" s="178" t="s">
        <v>1569</v>
      </c>
      <c r="C433" s="178" t="s">
        <v>748</v>
      </c>
      <c r="D433" s="178" t="s">
        <v>57</v>
      </c>
      <c r="E433">
        <v>2883.5</v>
      </c>
      <c r="F433">
        <v>432.53</v>
      </c>
      <c r="G433">
        <v>3316.03</v>
      </c>
    </row>
    <row r="434" spans="1:7" x14ac:dyDescent="0.35">
      <c r="A434" s="178" t="s">
        <v>1286</v>
      </c>
      <c r="B434" s="178" t="s">
        <v>1570</v>
      </c>
      <c r="C434" s="178" t="s">
        <v>748</v>
      </c>
      <c r="D434" s="178" t="s">
        <v>57</v>
      </c>
      <c r="E434">
        <v>1820.74</v>
      </c>
      <c r="F434">
        <v>273.12</v>
      </c>
      <c r="G434">
        <v>2093.86</v>
      </c>
    </row>
    <row r="435" spans="1:7" x14ac:dyDescent="0.35">
      <c r="A435" s="178" t="s">
        <v>750</v>
      </c>
      <c r="B435" s="178" t="s">
        <v>1571</v>
      </c>
      <c r="C435" s="178" t="s">
        <v>748</v>
      </c>
      <c r="D435" s="178" t="s">
        <v>57</v>
      </c>
      <c r="E435">
        <v>17700</v>
      </c>
      <c r="F435">
        <v>2655</v>
      </c>
      <c r="G435">
        <v>20355</v>
      </c>
    </row>
    <row r="436" spans="1:7" x14ac:dyDescent="0.35">
      <c r="A436" s="178" t="s">
        <v>1312</v>
      </c>
      <c r="B436" s="178" t="s">
        <v>1572</v>
      </c>
      <c r="C436" s="178" t="s">
        <v>748</v>
      </c>
      <c r="D436" s="178" t="s">
        <v>57</v>
      </c>
      <c r="E436">
        <v>5672.1</v>
      </c>
      <c r="F436">
        <v>850.82</v>
      </c>
      <c r="G436">
        <v>6522.92</v>
      </c>
    </row>
    <row r="437" spans="1:7" x14ac:dyDescent="0.35">
      <c r="A437" s="178" t="s">
        <v>1573</v>
      </c>
      <c r="B437" s="178" t="s">
        <v>1574</v>
      </c>
      <c r="C437" s="178" t="s">
        <v>748</v>
      </c>
      <c r="D437" s="178" t="s">
        <v>57</v>
      </c>
      <c r="E437">
        <v>5878.1</v>
      </c>
      <c r="F437">
        <v>881.73</v>
      </c>
      <c r="G437">
        <v>6759.83</v>
      </c>
    </row>
    <row r="438" spans="1:7" x14ac:dyDescent="0.35">
      <c r="A438" s="178" t="s">
        <v>1362</v>
      </c>
      <c r="B438" s="178" t="s">
        <v>1575</v>
      </c>
      <c r="C438" s="178" t="s">
        <v>748</v>
      </c>
      <c r="D438" s="178" t="s">
        <v>57</v>
      </c>
      <c r="E438">
        <v>23454.45</v>
      </c>
      <c r="F438">
        <v>3518.17</v>
      </c>
      <c r="G438">
        <v>26972.62</v>
      </c>
    </row>
    <row r="439" spans="1:7" x14ac:dyDescent="0.35">
      <c r="A439" s="178" t="s">
        <v>1068</v>
      </c>
      <c r="B439" s="178" t="s">
        <v>1576</v>
      </c>
      <c r="C439" s="178" t="s">
        <v>748</v>
      </c>
      <c r="D439" s="178" t="s">
        <v>57</v>
      </c>
      <c r="E439">
        <v>3573.9</v>
      </c>
      <c r="F439">
        <v>536.09</v>
      </c>
      <c r="G439">
        <v>4109.99</v>
      </c>
    </row>
    <row r="440" spans="1:7" x14ac:dyDescent="0.35">
      <c r="A440" s="178" t="s">
        <v>1577</v>
      </c>
      <c r="B440" s="178" t="s">
        <v>1578</v>
      </c>
      <c r="C440" s="178" t="s">
        <v>748</v>
      </c>
      <c r="D440" s="178" t="s">
        <v>57</v>
      </c>
      <c r="E440">
        <v>3712.05</v>
      </c>
      <c r="F440">
        <v>556.80999999999995</v>
      </c>
      <c r="G440">
        <v>4268.8599999999997</v>
      </c>
    </row>
    <row r="441" spans="1:7" x14ac:dyDescent="0.35">
      <c r="A441" s="178" t="s">
        <v>1579</v>
      </c>
      <c r="B441" s="178" t="s">
        <v>1580</v>
      </c>
      <c r="C441" s="178" t="s">
        <v>748</v>
      </c>
      <c r="D441" s="178" t="s">
        <v>57</v>
      </c>
      <c r="E441">
        <v>1867.5</v>
      </c>
      <c r="F441">
        <v>280.13</v>
      </c>
      <c r="G441">
        <v>2147.63</v>
      </c>
    </row>
    <row r="442" spans="1:7" x14ac:dyDescent="0.35">
      <c r="A442" s="178" t="s">
        <v>795</v>
      </c>
      <c r="B442" s="178" t="s">
        <v>1581</v>
      </c>
      <c r="C442" s="178" t="s">
        <v>748</v>
      </c>
      <c r="D442" s="178" t="s">
        <v>57</v>
      </c>
      <c r="E442">
        <v>9619</v>
      </c>
      <c r="F442">
        <v>1442.85</v>
      </c>
      <c r="G442">
        <v>11061.85</v>
      </c>
    </row>
    <row r="443" spans="1:7" x14ac:dyDescent="0.35">
      <c r="A443" s="178" t="s">
        <v>1582</v>
      </c>
      <c r="B443" s="178" t="s">
        <v>1583</v>
      </c>
      <c r="C443" s="178" t="s">
        <v>748</v>
      </c>
      <c r="D443" s="178" t="s">
        <v>57</v>
      </c>
      <c r="E443">
        <v>2614.4</v>
      </c>
      <c r="F443">
        <v>392.16</v>
      </c>
      <c r="G443">
        <v>3006.56</v>
      </c>
    </row>
    <row r="444" spans="1:7" x14ac:dyDescent="0.35">
      <c r="A444" s="178" t="s">
        <v>1075</v>
      </c>
      <c r="B444" s="178" t="s">
        <v>1584</v>
      </c>
      <c r="C444" s="178" t="s">
        <v>748</v>
      </c>
      <c r="D444" s="178" t="s">
        <v>57</v>
      </c>
      <c r="E444">
        <v>10525.2</v>
      </c>
      <c r="F444">
        <v>1578.78</v>
      </c>
      <c r="G444">
        <v>12103.98</v>
      </c>
    </row>
    <row r="445" spans="1:7" x14ac:dyDescent="0.35">
      <c r="A445" s="178" t="s">
        <v>750</v>
      </c>
      <c r="B445" s="178" t="s">
        <v>1585</v>
      </c>
      <c r="C445" s="178" t="s">
        <v>748</v>
      </c>
      <c r="D445" s="178" t="s">
        <v>57</v>
      </c>
      <c r="E445">
        <v>550</v>
      </c>
      <c r="F445">
        <v>82.5</v>
      </c>
      <c r="G445">
        <v>632.5</v>
      </c>
    </row>
    <row r="446" spans="1:7" x14ac:dyDescent="0.35">
      <c r="A446" s="178" t="s">
        <v>1586</v>
      </c>
      <c r="B446" s="178" t="s">
        <v>1587</v>
      </c>
      <c r="C446" s="178" t="s">
        <v>748</v>
      </c>
      <c r="D446" s="178" t="s">
        <v>57</v>
      </c>
      <c r="E446">
        <v>538.65</v>
      </c>
      <c r="F446">
        <v>80.8</v>
      </c>
      <c r="G446">
        <v>619.45000000000005</v>
      </c>
    </row>
    <row r="447" spans="1:7" x14ac:dyDescent="0.35">
      <c r="A447" s="178" t="s">
        <v>1588</v>
      </c>
      <c r="B447" s="178" t="s">
        <v>1589</v>
      </c>
      <c r="C447" s="178" t="s">
        <v>748</v>
      </c>
      <c r="D447" s="178" t="s">
        <v>57</v>
      </c>
      <c r="E447">
        <v>2979.7</v>
      </c>
      <c r="F447">
        <v>446.96</v>
      </c>
      <c r="G447">
        <v>3426.66</v>
      </c>
    </row>
    <row r="448" spans="1:7" x14ac:dyDescent="0.35">
      <c r="A448" s="178" t="s">
        <v>1120</v>
      </c>
      <c r="B448" s="178" t="s">
        <v>1590</v>
      </c>
      <c r="C448" s="178" t="s">
        <v>748</v>
      </c>
      <c r="D448" s="178" t="s">
        <v>57</v>
      </c>
      <c r="E448">
        <v>31655.9</v>
      </c>
      <c r="F448">
        <v>4748.3999999999996</v>
      </c>
      <c r="G448">
        <v>36404.300000000003</v>
      </c>
    </row>
    <row r="449" spans="1:7" x14ac:dyDescent="0.35">
      <c r="A449" s="178" t="s">
        <v>1591</v>
      </c>
      <c r="B449" s="178" t="s">
        <v>1592</v>
      </c>
      <c r="C449" s="178" t="s">
        <v>748</v>
      </c>
      <c r="D449" s="178" t="s">
        <v>57</v>
      </c>
      <c r="E449">
        <v>693.5</v>
      </c>
      <c r="F449">
        <v>104.03</v>
      </c>
      <c r="G449">
        <v>797.53</v>
      </c>
    </row>
    <row r="450" spans="1:7" x14ac:dyDescent="0.35">
      <c r="A450" s="178" t="s">
        <v>750</v>
      </c>
      <c r="B450" s="178" t="s">
        <v>1593</v>
      </c>
      <c r="C450" s="178" t="s">
        <v>748</v>
      </c>
      <c r="D450" s="178" t="s">
        <v>1594</v>
      </c>
      <c r="E450">
        <v>688</v>
      </c>
      <c r="F450">
        <v>103.2</v>
      </c>
      <c r="G450">
        <v>791.2</v>
      </c>
    </row>
    <row r="451" spans="1:7" x14ac:dyDescent="0.35">
      <c r="A451" s="178" t="s">
        <v>1332</v>
      </c>
      <c r="B451" s="178" t="s">
        <v>1595</v>
      </c>
      <c r="C451" s="178" t="s">
        <v>748</v>
      </c>
      <c r="D451" s="178" t="s">
        <v>57</v>
      </c>
      <c r="E451">
        <v>5602.75</v>
      </c>
      <c r="F451">
        <v>840.41</v>
      </c>
      <c r="G451">
        <v>6443.16</v>
      </c>
    </row>
    <row r="452" spans="1:7" x14ac:dyDescent="0.35">
      <c r="A452" s="178" t="s">
        <v>977</v>
      </c>
      <c r="B452" s="178" t="s">
        <v>1596</v>
      </c>
      <c r="C452" s="178" t="s">
        <v>748</v>
      </c>
      <c r="D452" s="178" t="s">
        <v>57</v>
      </c>
      <c r="E452">
        <v>1867.3</v>
      </c>
      <c r="F452">
        <v>280.10000000000002</v>
      </c>
      <c r="G452">
        <v>2147.4</v>
      </c>
    </row>
    <row r="453" spans="1:7" x14ac:dyDescent="0.35">
      <c r="A453" s="178" t="s">
        <v>997</v>
      </c>
      <c r="B453" s="178" t="s">
        <v>1597</v>
      </c>
      <c r="C453" s="178" t="s">
        <v>748</v>
      </c>
      <c r="D453" s="178" t="s">
        <v>999</v>
      </c>
      <c r="E453">
        <v>8853.6</v>
      </c>
      <c r="F453">
        <v>1328.04</v>
      </c>
      <c r="G453">
        <v>10181.64</v>
      </c>
    </row>
    <row r="454" spans="1:7" x14ac:dyDescent="0.35">
      <c r="A454" s="178" t="s">
        <v>1598</v>
      </c>
      <c r="B454" s="178" t="s">
        <v>1599</v>
      </c>
      <c r="C454" s="178" t="s">
        <v>748</v>
      </c>
      <c r="D454" s="178" t="s">
        <v>57</v>
      </c>
      <c r="E454">
        <v>3620.5</v>
      </c>
      <c r="F454">
        <v>543.08000000000004</v>
      </c>
      <c r="G454">
        <v>4163.58</v>
      </c>
    </row>
    <row r="455" spans="1:7" x14ac:dyDescent="0.35">
      <c r="A455" s="178" t="s">
        <v>802</v>
      </c>
      <c r="B455" s="178" t="s">
        <v>1600</v>
      </c>
      <c r="C455" s="178" t="s">
        <v>748</v>
      </c>
      <c r="D455" s="178" t="s">
        <v>57</v>
      </c>
      <c r="E455">
        <v>10926.75</v>
      </c>
      <c r="F455">
        <v>1639.02</v>
      </c>
      <c r="G455">
        <v>12565.77</v>
      </c>
    </row>
    <row r="456" spans="1:7" x14ac:dyDescent="0.35">
      <c r="A456" s="178" t="s">
        <v>1601</v>
      </c>
      <c r="B456" s="178" t="s">
        <v>1602</v>
      </c>
      <c r="C456" s="178" t="s">
        <v>748</v>
      </c>
      <c r="D456" s="178" t="s">
        <v>57</v>
      </c>
      <c r="E456">
        <v>1110.3499999999999</v>
      </c>
      <c r="F456">
        <v>166.55</v>
      </c>
      <c r="G456">
        <v>1276.9000000000001</v>
      </c>
    </row>
    <row r="457" spans="1:7" x14ac:dyDescent="0.35">
      <c r="A457" s="178" t="s">
        <v>731</v>
      </c>
      <c r="B457" s="178" t="s">
        <v>1603</v>
      </c>
      <c r="C457" s="178" t="s">
        <v>748</v>
      </c>
      <c r="D457" s="178" t="s">
        <v>57</v>
      </c>
      <c r="E457">
        <v>1625.4</v>
      </c>
      <c r="F457">
        <v>243.81</v>
      </c>
      <c r="G457">
        <v>1869.21</v>
      </c>
    </row>
    <row r="458" spans="1:7" x14ac:dyDescent="0.35">
      <c r="A458" s="178" t="s">
        <v>1604</v>
      </c>
      <c r="B458" s="178" t="s">
        <v>1605</v>
      </c>
      <c r="C458" s="178" t="s">
        <v>748</v>
      </c>
      <c r="D458" s="178" t="s">
        <v>57</v>
      </c>
      <c r="E458">
        <v>1929.5</v>
      </c>
      <c r="F458">
        <v>289.43</v>
      </c>
      <c r="G458">
        <v>2218.9299999999998</v>
      </c>
    </row>
    <row r="459" spans="1:7" x14ac:dyDescent="0.35">
      <c r="A459" s="178" t="s">
        <v>1085</v>
      </c>
      <c r="B459" s="178" t="s">
        <v>1606</v>
      </c>
      <c r="C459" s="178" t="s">
        <v>748</v>
      </c>
      <c r="D459" s="178" t="s">
        <v>57</v>
      </c>
      <c r="E459">
        <v>4819</v>
      </c>
      <c r="F459">
        <v>722.85</v>
      </c>
      <c r="G459">
        <v>5541.85</v>
      </c>
    </row>
    <row r="460" spans="1:7" x14ac:dyDescent="0.35">
      <c r="A460" s="178" t="s">
        <v>977</v>
      </c>
      <c r="B460" s="178" t="s">
        <v>1607</v>
      </c>
      <c r="C460" s="178" t="s">
        <v>748</v>
      </c>
      <c r="D460" s="178" t="s">
        <v>57</v>
      </c>
      <c r="E460">
        <v>4044.2</v>
      </c>
      <c r="F460">
        <v>606.63</v>
      </c>
      <c r="G460">
        <v>4650.83</v>
      </c>
    </row>
    <row r="461" spans="1:7" x14ac:dyDescent="0.35">
      <c r="A461" s="178" t="s">
        <v>1608</v>
      </c>
      <c r="B461" s="178" t="s">
        <v>1609</v>
      </c>
      <c r="C461" s="178" t="s">
        <v>748</v>
      </c>
      <c r="D461" s="178" t="s">
        <v>57</v>
      </c>
      <c r="E461">
        <v>3142.05</v>
      </c>
      <c r="F461">
        <v>471.32</v>
      </c>
      <c r="G461">
        <v>3613.37</v>
      </c>
    </row>
    <row r="462" spans="1:7" x14ac:dyDescent="0.35">
      <c r="A462" s="178" t="s">
        <v>1610</v>
      </c>
      <c r="B462" s="178" t="s">
        <v>1611</v>
      </c>
      <c r="C462" s="178" t="s">
        <v>748</v>
      </c>
      <c r="D462" s="178" t="s">
        <v>57</v>
      </c>
      <c r="E462">
        <v>1867.35</v>
      </c>
      <c r="F462">
        <v>280.10000000000002</v>
      </c>
      <c r="G462">
        <v>2147.4499999999998</v>
      </c>
    </row>
    <row r="463" spans="1:7" x14ac:dyDescent="0.35">
      <c r="A463" s="178" t="s">
        <v>1612</v>
      </c>
      <c r="B463" s="178" t="s">
        <v>1613</v>
      </c>
      <c r="C463" s="178" t="s">
        <v>748</v>
      </c>
      <c r="D463" s="178" t="s">
        <v>57</v>
      </c>
      <c r="E463">
        <v>2062.25</v>
      </c>
      <c r="F463">
        <v>309.33999999999997</v>
      </c>
      <c r="G463">
        <v>2371.59</v>
      </c>
    </row>
    <row r="464" spans="1:7" x14ac:dyDescent="0.35">
      <c r="A464" s="178" t="s">
        <v>1614</v>
      </c>
      <c r="B464" s="178" t="s">
        <v>1615</v>
      </c>
      <c r="C464" s="178" t="s">
        <v>748</v>
      </c>
      <c r="D464" s="178" t="s">
        <v>57</v>
      </c>
      <c r="E464">
        <v>5975.1</v>
      </c>
      <c r="F464">
        <v>896.27</v>
      </c>
      <c r="G464">
        <v>6871.37</v>
      </c>
    </row>
    <row r="465" spans="1:7" x14ac:dyDescent="0.35">
      <c r="A465" s="178" t="s">
        <v>1616</v>
      </c>
      <c r="B465" s="178" t="s">
        <v>1617</v>
      </c>
      <c r="C465" s="178" t="s">
        <v>748</v>
      </c>
      <c r="D465" s="178" t="s">
        <v>57</v>
      </c>
      <c r="E465">
        <v>693</v>
      </c>
      <c r="F465">
        <v>103.95</v>
      </c>
      <c r="G465">
        <v>796.95</v>
      </c>
    </row>
    <row r="466" spans="1:7" x14ac:dyDescent="0.35">
      <c r="A466" s="178" t="s">
        <v>758</v>
      </c>
      <c r="B466" s="178" t="s">
        <v>1618</v>
      </c>
      <c r="C466" s="178" t="s">
        <v>748</v>
      </c>
      <c r="D466" s="178" t="s">
        <v>57</v>
      </c>
      <c r="E466">
        <v>818.1</v>
      </c>
      <c r="F466">
        <v>122.72</v>
      </c>
      <c r="G466">
        <v>940.82</v>
      </c>
    </row>
    <row r="467" spans="1:7" x14ac:dyDescent="0.35">
      <c r="A467" s="178" t="s">
        <v>1120</v>
      </c>
      <c r="B467" s="178" t="s">
        <v>1619</v>
      </c>
      <c r="C467" s="178" t="s">
        <v>748</v>
      </c>
      <c r="D467" s="178" t="s">
        <v>57</v>
      </c>
      <c r="E467">
        <v>14200</v>
      </c>
      <c r="F467">
        <v>2130</v>
      </c>
      <c r="G467">
        <v>16330</v>
      </c>
    </row>
    <row r="468" spans="1:7" x14ac:dyDescent="0.35">
      <c r="A468" s="178" t="s">
        <v>1620</v>
      </c>
      <c r="B468" s="178" t="s">
        <v>1621</v>
      </c>
      <c r="C468" s="178" t="s">
        <v>763</v>
      </c>
      <c r="D468" s="178" t="s">
        <v>1622</v>
      </c>
      <c r="E468">
        <v>1683.6</v>
      </c>
      <c r="F468">
        <v>252.54</v>
      </c>
      <c r="G468">
        <v>1936.14</v>
      </c>
    </row>
    <row r="469" spans="1:7" x14ac:dyDescent="0.35">
      <c r="A469" s="178" t="s">
        <v>1623</v>
      </c>
      <c r="B469" s="178" t="s">
        <v>1624</v>
      </c>
      <c r="C469" s="178" t="s">
        <v>763</v>
      </c>
      <c r="D469" s="178" t="s">
        <v>57</v>
      </c>
      <c r="E469">
        <v>513</v>
      </c>
      <c r="F469">
        <v>76.95</v>
      </c>
      <c r="G469">
        <v>589.95000000000005</v>
      </c>
    </row>
    <row r="470" spans="1:7" x14ac:dyDescent="0.35">
      <c r="A470" s="178" t="s">
        <v>1045</v>
      </c>
      <c r="B470" s="178" t="s">
        <v>1625</v>
      </c>
      <c r="C470" s="178" t="s">
        <v>763</v>
      </c>
      <c r="D470" s="178" t="s">
        <v>57</v>
      </c>
      <c r="E470">
        <v>3518.9</v>
      </c>
      <c r="F470">
        <v>527.84</v>
      </c>
      <c r="G470">
        <v>4046.74</v>
      </c>
    </row>
    <row r="471" spans="1:7" x14ac:dyDescent="0.35">
      <c r="A471" s="178" t="s">
        <v>1179</v>
      </c>
      <c r="B471" s="178" t="s">
        <v>1626</v>
      </c>
      <c r="C471" s="178" t="s">
        <v>763</v>
      </c>
      <c r="D471" s="178" t="s">
        <v>57</v>
      </c>
      <c r="E471">
        <v>2936.7</v>
      </c>
      <c r="F471">
        <v>440.51</v>
      </c>
      <c r="G471">
        <v>3377.21</v>
      </c>
    </row>
    <row r="472" spans="1:7" x14ac:dyDescent="0.35">
      <c r="A472" s="178" t="s">
        <v>1174</v>
      </c>
      <c r="B472" s="178" t="s">
        <v>1627</v>
      </c>
      <c r="C472" s="178" t="s">
        <v>763</v>
      </c>
      <c r="D472" s="178" t="s">
        <v>57</v>
      </c>
      <c r="E472">
        <v>855.7</v>
      </c>
      <c r="F472">
        <v>128.36000000000001</v>
      </c>
      <c r="G472">
        <v>984.06</v>
      </c>
    </row>
    <row r="473" spans="1:7" x14ac:dyDescent="0.35">
      <c r="A473" s="178" t="s">
        <v>925</v>
      </c>
      <c r="B473" s="178" t="s">
        <v>1628</v>
      </c>
      <c r="C473" s="178" t="s">
        <v>763</v>
      </c>
      <c r="D473" s="178" t="s">
        <v>57</v>
      </c>
      <c r="E473">
        <v>735.3</v>
      </c>
      <c r="F473">
        <v>110.3</v>
      </c>
      <c r="G473">
        <v>845.6</v>
      </c>
    </row>
    <row r="474" spans="1:7" x14ac:dyDescent="0.35">
      <c r="A474" s="178" t="s">
        <v>1629</v>
      </c>
      <c r="B474" s="178" t="s">
        <v>1630</v>
      </c>
      <c r="C474" s="178" t="s">
        <v>763</v>
      </c>
      <c r="D474" s="178" t="s">
        <v>1631</v>
      </c>
      <c r="E474">
        <v>31082.55</v>
      </c>
      <c r="F474">
        <v>4662.38</v>
      </c>
      <c r="G474">
        <v>35744.93</v>
      </c>
    </row>
    <row r="475" spans="1:7" x14ac:dyDescent="0.35">
      <c r="A475" s="178" t="s">
        <v>797</v>
      </c>
      <c r="B475" s="178" t="s">
        <v>1632</v>
      </c>
      <c r="C475" s="178" t="s">
        <v>763</v>
      </c>
      <c r="D475" s="178" t="s">
        <v>1633</v>
      </c>
      <c r="E475">
        <v>33174.85</v>
      </c>
      <c r="F475">
        <v>4976.2299999999996</v>
      </c>
      <c r="G475">
        <v>38151.08</v>
      </c>
    </row>
    <row r="476" spans="1:7" x14ac:dyDescent="0.35">
      <c r="A476" s="178" t="s">
        <v>1359</v>
      </c>
      <c r="B476" s="178" t="s">
        <v>1634</v>
      </c>
      <c r="C476" s="178" t="s">
        <v>763</v>
      </c>
      <c r="D476" s="178" t="s">
        <v>57</v>
      </c>
      <c r="E476">
        <v>2771.9</v>
      </c>
      <c r="F476">
        <v>415.79</v>
      </c>
      <c r="G476">
        <v>3187.69</v>
      </c>
    </row>
    <row r="477" spans="1:7" x14ac:dyDescent="0.35">
      <c r="A477" s="178" t="s">
        <v>1635</v>
      </c>
      <c r="B477" s="178" t="s">
        <v>1636</v>
      </c>
      <c r="C477" s="178" t="s">
        <v>763</v>
      </c>
      <c r="D477" s="178" t="s">
        <v>1637</v>
      </c>
      <c r="E477">
        <v>2300</v>
      </c>
      <c r="F477">
        <v>345</v>
      </c>
      <c r="G477">
        <v>2645</v>
      </c>
    </row>
    <row r="478" spans="1:7" x14ac:dyDescent="0.35">
      <c r="A478" s="178" t="s">
        <v>771</v>
      </c>
      <c r="B478" s="178" t="s">
        <v>1638</v>
      </c>
      <c r="C478" s="178" t="s">
        <v>763</v>
      </c>
      <c r="D478" s="178" t="s">
        <v>57</v>
      </c>
      <c r="E478">
        <v>5845</v>
      </c>
      <c r="F478">
        <v>876.75</v>
      </c>
      <c r="G478">
        <v>6721.75</v>
      </c>
    </row>
    <row r="479" spans="1:7" x14ac:dyDescent="0.35">
      <c r="A479" s="178" t="s">
        <v>1206</v>
      </c>
      <c r="B479" s="178" t="s">
        <v>1639</v>
      </c>
      <c r="C479" s="178" t="s">
        <v>763</v>
      </c>
      <c r="D479" s="178" t="s">
        <v>57</v>
      </c>
      <c r="E479">
        <v>2862.8</v>
      </c>
      <c r="F479">
        <v>429.42</v>
      </c>
      <c r="G479">
        <v>3292.22</v>
      </c>
    </row>
    <row r="480" spans="1:7" x14ac:dyDescent="0.35">
      <c r="A480" s="178" t="s">
        <v>1265</v>
      </c>
      <c r="B480" s="178" t="s">
        <v>1640</v>
      </c>
      <c r="C480" s="178" t="s">
        <v>763</v>
      </c>
      <c r="D480" s="178" t="s">
        <v>1641</v>
      </c>
      <c r="E480">
        <v>879.75</v>
      </c>
      <c r="F480">
        <v>131.96</v>
      </c>
      <c r="G480">
        <v>1011.71</v>
      </c>
    </row>
    <row r="481" spans="1:7" x14ac:dyDescent="0.35">
      <c r="A481" s="178" t="s">
        <v>1099</v>
      </c>
      <c r="B481" s="178" t="s">
        <v>1642</v>
      </c>
      <c r="C481" s="178" t="s">
        <v>763</v>
      </c>
      <c r="D481" s="178" t="s">
        <v>1101</v>
      </c>
      <c r="E481">
        <v>2270.6</v>
      </c>
      <c r="F481">
        <v>340.6</v>
      </c>
      <c r="G481">
        <v>2611.1999999999998</v>
      </c>
    </row>
    <row r="482" spans="1:7" x14ac:dyDescent="0.35">
      <c r="A482" s="178" t="s">
        <v>1643</v>
      </c>
      <c r="B482" s="178" t="s">
        <v>1644</v>
      </c>
      <c r="C482" s="178" t="s">
        <v>763</v>
      </c>
      <c r="D482" s="178" t="s">
        <v>1645</v>
      </c>
      <c r="E482">
        <v>1580.3</v>
      </c>
      <c r="F482">
        <v>237.05</v>
      </c>
      <c r="G482">
        <v>1817.35</v>
      </c>
    </row>
    <row r="483" spans="1:7" x14ac:dyDescent="0.35">
      <c r="A483" s="178" t="s">
        <v>793</v>
      </c>
      <c r="B483" s="178" t="s">
        <v>1646</v>
      </c>
      <c r="C483" s="178" t="s">
        <v>763</v>
      </c>
      <c r="D483">
        <v>38038</v>
      </c>
      <c r="E483">
        <v>1980</v>
      </c>
      <c r="F483">
        <v>297</v>
      </c>
      <c r="G483">
        <v>2277</v>
      </c>
    </row>
    <row r="484" spans="1:7" x14ac:dyDescent="0.35">
      <c r="A484" s="178" t="s">
        <v>1153</v>
      </c>
      <c r="B484" s="178" t="s">
        <v>1647</v>
      </c>
      <c r="C484" s="178" t="s">
        <v>763</v>
      </c>
      <c r="D484" s="178" t="s">
        <v>1155</v>
      </c>
      <c r="E484">
        <v>1448</v>
      </c>
      <c r="F484">
        <v>217.2</v>
      </c>
      <c r="G484">
        <v>1665.2</v>
      </c>
    </row>
    <row r="485" spans="1:7" x14ac:dyDescent="0.35">
      <c r="A485" s="178" t="s">
        <v>1648</v>
      </c>
      <c r="B485" s="178" t="s">
        <v>1649</v>
      </c>
      <c r="C485" s="178" t="s">
        <v>763</v>
      </c>
      <c r="D485" s="178" t="s">
        <v>57</v>
      </c>
      <c r="E485">
        <v>1606.8</v>
      </c>
      <c r="F485">
        <v>241.02</v>
      </c>
      <c r="G485">
        <v>1847.82</v>
      </c>
    </row>
    <row r="486" spans="1:7" x14ac:dyDescent="0.35">
      <c r="A486" s="178" t="s">
        <v>1650</v>
      </c>
      <c r="B486" s="178" t="s">
        <v>1651</v>
      </c>
      <c r="C486" s="178" t="s">
        <v>763</v>
      </c>
      <c r="D486" s="178" t="s">
        <v>57</v>
      </c>
      <c r="E486">
        <v>450</v>
      </c>
      <c r="F486">
        <v>67.5</v>
      </c>
      <c r="G486">
        <v>517.5</v>
      </c>
    </row>
    <row r="487" spans="1:7" x14ac:dyDescent="0.35">
      <c r="A487" s="178" t="s">
        <v>1312</v>
      </c>
      <c r="B487" s="178" t="s">
        <v>1652</v>
      </c>
      <c r="C487" s="178" t="s">
        <v>763</v>
      </c>
      <c r="D487" s="178" t="s">
        <v>57</v>
      </c>
      <c r="E487">
        <v>4386.1000000000004</v>
      </c>
      <c r="F487">
        <v>657.92</v>
      </c>
      <c r="G487">
        <v>5044.0200000000004</v>
      </c>
    </row>
    <row r="488" spans="1:7" x14ac:dyDescent="0.35">
      <c r="A488" s="178" t="s">
        <v>1653</v>
      </c>
      <c r="B488" s="178" t="s">
        <v>1654</v>
      </c>
      <c r="C488" s="178" t="s">
        <v>763</v>
      </c>
      <c r="D488" s="178" t="s">
        <v>57</v>
      </c>
      <c r="E488">
        <v>744.8</v>
      </c>
      <c r="F488">
        <v>111.72</v>
      </c>
      <c r="G488">
        <v>856.52</v>
      </c>
    </row>
    <row r="489" spans="1:7" x14ac:dyDescent="0.35">
      <c r="A489" s="178" t="s">
        <v>1655</v>
      </c>
      <c r="B489" s="178" t="s">
        <v>1656</v>
      </c>
      <c r="C489" s="178" t="s">
        <v>763</v>
      </c>
      <c r="D489" s="178" t="s">
        <v>57</v>
      </c>
      <c r="E489">
        <v>875.5</v>
      </c>
      <c r="F489">
        <v>131.33000000000001</v>
      </c>
      <c r="G489">
        <v>1006.83</v>
      </c>
    </row>
    <row r="490" spans="1:7" x14ac:dyDescent="0.35">
      <c r="A490" s="178" t="s">
        <v>828</v>
      </c>
      <c r="B490" s="178" t="s">
        <v>1657</v>
      </c>
      <c r="C490" s="178" t="s">
        <v>763</v>
      </c>
      <c r="D490" s="178" t="s">
        <v>57</v>
      </c>
      <c r="E490">
        <v>653.6</v>
      </c>
      <c r="F490">
        <v>98.04</v>
      </c>
      <c r="G490">
        <v>751.64</v>
      </c>
    </row>
    <row r="491" spans="1:7" x14ac:dyDescent="0.35">
      <c r="A491" s="178" t="s">
        <v>1653</v>
      </c>
      <c r="B491" s="178" t="s">
        <v>1658</v>
      </c>
      <c r="C491" s="178" t="s">
        <v>763</v>
      </c>
      <c r="D491" s="178" t="s">
        <v>57</v>
      </c>
      <c r="E491">
        <v>507.4</v>
      </c>
      <c r="F491">
        <v>76.11</v>
      </c>
      <c r="G491">
        <v>583.51</v>
      </c>
    </row>
    <row r="492" spans="1:7" x14ac:dyDescent="0.35">
      <c r="A492" s="178" t="s">
        <v>1659</v>
      </c>
      <c r="B492" s="178" t="s">
        <v>1660</v>
      </c>
      <c r="C492" s="178" t="s">
        <v>763</v>
      </c>
      <c r="D492" s="178" t="s">
        <v>1661</v>
      </c>
      <c r="E492">
        <v>23826.55</v>
      </c>
      <c r="F492">
        <v>3574.01</v>
      </c>
      <c r="G492">
        <v>27400.560000000001</v>
      </c>
    </row>
    <row r="493" spans="1:7" x14ac:dyDescent="0.35">
      <c r="A493" s="178" t="s">
        <v>1662</v>
      </c>
      <c r="B493" s="178" t="s">
        <v>1663</v>
      </c>
      <c r="C493" s="178" t="s">
        <v>763</v>
      </c>
      <c r="D493" s="178" t="s">
        <v>57</v>
      </c>
      <c r="E493">
        <v>4112.6499999999996</v>
      </c>
      <c r="F493">
        <v>616.9</v>
      </c>
      <c r="G493">
        <v>4729.55</v>
      </c>
    </row>
    <row r="494" spans="1:7" x14ac:dyDescent="0.35">
      <c r="A494" s="178" t="s">
        <v>1039</v>
      </c>
      <c r="B494" s="178" t="s">
        <v>1664</v>
      </c>
      <c r="C494" s="178" t="s">
        <v>763</v>
      </c>
      <c r="D494" s="178" t="s">
        <v>57</v>
      </c>
      <c r="E494">
        <v>18672.3</v>
      </c>
      <c r="F494">
        <v>2800.85</v>
      </c>
      <c r="G494">
        <v>21473.15</v>
      </c>
    </row>
    <row r="495" spans="1:7" x14ac:dyDescent="0.35">
      <c r="A495" s="178" t="s">
        <v>750</v>
      </c>
      <c r="B495" s="178" t="s">
        <v>1665</v>
      </c>
      <c r="C495" s="178" t="s">
        <v>763</v>
      </c>
      <c r="D495" s="178" t="s">
        <v>57</v>
      </c>
      <c r="E495">
        <v>828.75</v>
      </c>
      <c r="F495">
        <v>124.31</v>
      </c>
      <c r="G495">
        <v>953.06</v>
      </c>
    </row>
    <row r="496" spans="1:7" x14ac:dyDescent="0.35">
      <c r="A496" s="178" t="s">
        <v>741</v>
      </c>
      <c r="B496" s="178" t="s">
        <v>1666</v>
      </c>
      <c r="C496" s="178" t="s">
        <v>763</v>
      </c>
      <c r="D496" s="178" t="s">
        <v>57</v>
      </c>
      <c r="E496">
        <v>2912.7</v>
      </c>
      <c r="F496">
        <v>436.91</v>
      </c>
      <c r="G496">
        <v>3349.61</v>
      </c>
    </row>
    <row r="497" spans="1:7" x14ac:dyDescent="0.35">
      <c r="A497" s="178" t="s">
        <v>1667</v>
      </c>
      <c r="B497" s="178" t="s">
        <v>1668</v>
      </c>
      <c r="C497" s="178" t="s">
        <v>763</v>
      </c>
      <c r="D497" s="178" t="s">
        <v>57</v>
      </c>
      <c r="E497">
        <v>680.96</v>
      </c>
      <c r="F497">
        <v>102.15</v>
      </c>
      <c r="G497">
        <v>783.11</v>
      </c>
    </row>
    <row r="498" spans="1:7" x14ac:dyDescent="0.35">
      <c r="A498" s="178" t="s">
        <v>1669</v>
      </c>
      <c r="B498" s="178" t="s">
        <v>1670</v>
      </c>
      <c r="C498" s="178" t="s">
        <v>763</v>
      </c>
      <c r="D498" s="178" t="s">
        <v>57</v>
      </c>
      <c r="E498">
        <v>4469.5</v>
      </c>
      <c r="F498">
        <v>670.43</v>
      </c>
      <c r="G498">
        <v>5139.93</v>
      </c>
    </row>
    <row r="499" spans="1:7" x14ac:dyDescent="0.35">
      <c r="A499" s="178" t="s">
        <v>1671</v>
      </c>
      <c r="B499" s="178" t="s">
        <v>1672</v>
      </c>
      <c r="C499" s="178" t="s">
        <v>763</v>
      </c>
      <c r="D499" s="178" t="s">
        <v>57</v>
      </c>
      <c r="E499">
        <v>2571.2399999999998</v>
      </c>
      <c r="F499">
        <v>385.69</v>
      </c>
      <c r="G499">
        <v>2956.93</v>
      </c>
    </row>
    <row r="500" spans="1:7" x14ac:dyDescent="0.35">
      <c r="A500" s="178" t="s">
        <v>1673</v>
      </c>
      <c r="B500" s="178" t="s">
        <v>1674</v>
      </c>
      <c r="C500" s="178" t="s">
        <v>763</v>
      </c>
      <c r="D500" s="178" t="s">
        <v>1675</v>
      </c>
      <c r="E500">
        <v>7764</v>
      </c>
      <c r="F500">
        <v>1164.5999999999999</v>
      </c>
      <c r="G500">
        <v>8928.6</v>
      </c>
    </row>
    <row r="501" spans="1:7" x14ac:dyDescent="0.35">
      <c r="A501" s="178" t="s">
        <v>1045</v>
      </c>
      <c r="B501" s="178" t="s">
        <v>1676</v>
      </c>
      <c r="C501" s="178" t="s">
        <v>763</v>
      </c>
      <c r="D501" s="178" t="s">
        <v>1677</v>
      </c>
      <c r="E501">
        <v>9635.25</v>
      </c>
      <c r="F501">
        <v>1445.29</v>
      </c>
      <c r="G501">
        <v>11080.54</v>
      </c>
    </row>
    <row r="502" spans="1:7" x14ac:dyDescent="0.35">
      <c r="A502" s="178" t="s">
        <v>825</v>
      </c>
      <c r="B502" s="178" t="s">
        <v>1678</v>
      </c>
      <c r="C502" s="178" t="s">
        <v>763</v>
      </c>
      <c r="D502" s="178" t="s">
        <v>57</v>
      </c>
      <c r="E502">
        <v>7282.8</v>
      </c>
      <c r="F502">
        <v>1092.42</v>
      </c>
      <c r="G502">
        <v>8375.2199999999993</v>
      </c>
    </row>
    <row r="503" spans="1:7" x14ac:dyDescent="0.35">
      <c r="A503" s="178" t="s">
        <v>1564</v>
      </c>
      <c r="B503" s="178" t="s">
        <v>1679</v>
      </c>
      <c r="C503" s="178" t="s">
        <v>763</v>
      </c>
      <c r="D503" s="178" t="s">
        <v>57</v>
      </c>
      <c r="E503">
        <v>837.5</v>
      </c>
      <c r="F503">
        <v>125.63</v>
      </c>
      <c r="G503">
        <v>963.13</v>
      </c>
    </row>
    <row r="504" spans="1:7" x14ac:dyDescent="0.35">
      <c r="A504" s="178" t="s">
        <v>793</v>
      </c>
      <c r="B504" s="178" t="s">
        <v>1680</v>
      </c>
      <c r="C504" s="178" t="s">
        <v>763</v>
      </c>
      <c r="D504">
        <v>38070</v>
      </c>
      <c r="E504">
        <v>1269.5999999999999</v>
      </c>
      <c r="F504">
        <v>190.44</v>
      </c>
      <c r="G504">
        <v>1460.04</v>
      </c>
    </row>
    <row r="505" spans="1:7" x14ac:dyDescent="0.35">
      <c r="A505" s="178" t="s">
        <v>793</v>
      </c>
      <c r="B505" s="178" t="s">
        <v>1681</v>
      </c>
      <c r="C505" s="178" t="s">
        <v>763</v>
      </c>
      <c r="D505">
        <v>38049</v>
      </c>
      <c r="E505">
        <v>8462.4</v>
      </c>
      <c r="F505">
        <v>1269.3599999999999</v>
      </c>
      <c r="G505">
        <v>9731.76</v>
      </c>
    </row>
    <row r="506" spans="1:7" x14ac:dyDescent="0.35">
      <c r="A506" s="178" t="s">
        <v>793</v>
      </c>
      <c r="B506" s="178" t="s">
        <v>1682</v>
      </c>
      <c r="C506" s="178" t="s">
        <v>763</v>
      </c>
      <c r="D506">
        <v>38048</v>
      </c>
      <c r="E506">
        <v>6559.2</v>
      </c>
      <c r="F506">
        <v>983.88</v>
      </c>
      <c r="G506">
        <v>7543.08</v>
      </c>
    </row>
    <row r="507" spans="1:7" x14ac:dyDescent="0.35">
      <c r="A507" s="178" t="s">
        <v>1256</v>
      </c>
      <c r="B507" s="178" t="s">
        <v>1683</v>
      </c>
      <c r="C507" s="178" t="s">
        <v>763</v>
      </c>
      <c r="D507" s="178" t="s">
        <v>57</v>
      </c>
      <c r="E507">
        <v>1598.4</v>
      </c>
      <c r="F507">
        <v>239.76</v>
      </c>
      <c r="G507">
        <v>1838.16</v>
      </c>
    </row>
    <row r="508" spans="1:7" x14ac:dyDescent="0.35">
      <c r="A508" s="178" t="s">
        <v>1070</v>
      </c>
      <c r="B508" s="178" t="s">
        <v>1684</v>
      </c>
      <c r="C508" s="178" t="s">
        <v>763</v>
      </c>
      <c r="D508" s="178" t="s">
        <v>57</v>
      </c>
      <c r="E508">
        <v>9437.1</v>
      </c>
      <c r="F508">
        <v>1415.57</v>
      </c>
      <c r="G508">
        <v>10852.67</v>
      </c>
    </row>
    <row r="509" spans="1:7" x14ac:dyDescent="0.35">
      <c r="A509" s="178" t="s">
        <v>1126</v>
      </c>
      <c r="B509" s="178" t="s">
        <v>1685</v>
      </c>
      <c r="C509" s="178" t="s">
        <v>763</v>
      </c>
      <c r="D509" s="178" t="s">
        <v>57</v>
      </c>
      <c r="E509">
        <v>3552.2</v>
      </c>
      <c r="F509">
        <v>532.83000000000004</v>
      </c>
      <c r="G509">
        <v>4085.03</v>
      </c>
    </row>
    <row r="510" spans="1:7" x14ac:dyDescent="0.35">
      <c r="A510" s="178" t="s">
        <v>734</v>
      </c>
      <c r="B510" s="178" t="s">
        <v>1686</v>
      </c>
      <c r="C510" s="178" t="s">
        <v>763</v>
      </c>
      <c r="D510" s="178" t="s">
        <v>57</v>
      </c>
      <c r="E510">
        <v>701.1</v>
      </c>
      <c r="F510">
        <v>105.17</v>
      </c>
      <c r="G510">
        <v>806.27</v>
      </c>
    </row>
    <row r="511" spans="1:7" x14ac:dyDescent="0.35">
      <c r="A511" s="178" t="s">
        <v>1687</v>
      </c>
      <c r="B511" s="178" t="s">
        <v>1688</v>
      </c>
      <c r="C511" s="178" t="s">
        <v>763</v>
      </c>
      <c r="D511" s="178" t="s">
        <v>57</v>
      </c>
      <c r="E511">
        <v>1390.25</v>
      </c>
      <c r="F511">
        <v>208.54</v>
      </c>
      <c r="G511">
        <v>1598.79</v>
      </c>
    </row>
    <row r="512" spans="1:7" x14ac:dyDescent="0.35">
      <c r="A512" s="178" t="s">
        <v>904</v>
      </c>
      <c r="B512" s="178" t="s">
        <v>1689</v>
      </c>
      <c r="C512" s="178" t="s">
        <v>763</v>
      </c>
      <c r="D512" s="178" t="s">
        <v>1690</v>
      </c>
      <c r="E512">
        <v>1180.3</v>
      </c>
      <c r="F512">
        <v>177.05</v>
      </c>
      <c r="G512">
        <v>1357.35</v>
      </c>
    </row>
    <row r="513" spans="1:7" x14ac:dyDescent="0.35">
      <c r="A513" s="178" t="s">
        <v>793</v>
      </c>
      <c r="B513" s="178" t="s">
        <v>1691</v>
      </c>
      <c r="C513" s="178" t="s">
        <v>763</v>
      </c>
      <c r="D513" s="178" t="s">
        <v>1692</v>
      </c>
      <c r="E513">
        <v>8256</v>
      </c>
      <c r="F513">
        <v>1238.4000000000001</v>
      </c>
      <c r="G513">
        <v>9494.4</v>
      </c>
    </row>
    <row r="514" spans="1:7" x14ac:dyDescent="0.35">
      <c r="A514" s="178" t="s">
        <v>990</v>
      </c>
      <c r="B514" s="178" t="s">
        <v>1693</v>
      </c>
      <c r="C514" s="178" t="s">
        <v>763</v>
      </c>
      <c r="D514" s="178" t="s">
        <v>992</v>
      </c>
      <c r="E514">
        <v>2613.3000000000002</v>
      </c>
      <c r="F514">
        <v>392</v>
      </c>
      <c r="G514">
        <v>3005.3</v>
      </c>
    </row>
    <row r="515" spans="1:7" x14ac:dyDescent="0.35">
      <c r="A515" s="178" t="s">
        <v>1070</v>
      </c>
      <c r="B515" s="178" t="s">
        <v>1694</v>
      </c>
      <c r="C515" s="178" t="s">
        <v>763</v>
      </c>
      <c r="D515" s="178" t="s">
        <v>57</v>
      </c>
      <c r="E515">
        <v>4231.2</v>
      </c>
      <c r="F515">
        <v>634.69000000000005</v>
      </c>
      <c r="G515">
        <v>4865.8900000000003</v>
      </c>
    </row>
    <row r="516" spans="1:7" x14ac:dyDescent="0.35">
      <c r="A516" s="178" t="s">
        <v>860</v>
      </c>
      <c r="B516" s="178" t="s">
        <v>1695</v>
      </c>
      <c r="C516" s="178" t="s">
        <v>763</v>
      </c>
      <c r="D516" s="178" t="s">
        <v>57</v>
      </c>
      <c r="E516">
        <v>25948.799999999999</v>
      </c>
      <c r="F516">
        <v>3892.32</v>
      </c>
      <c r="G516">
        <v>29841.119999999999</v>
      </c>
    </row>
    <row r="517" spans="1:7" x14ac:dyDescent="0.35">
      <c r="A517" s="178" t="s">
        <v>1099</v>
      </c>
      <c r="B517" s="178" t="s">
        <v>1696</v>
      </c>
      <c r="C517" s="178" t="s">
        <v>763</v>
      </c>
      <c r="D517" s="178" t="s">
        <v>1697</v>
      </c>
      <c r="E517">
        <v>912</v>
      </c>
      <c r="F517">
        <v>136.80000000000001</v>
      </c>
      <c r="G517">
        <v>1048.8</v>
      </c>
    </row>
    <row r="518" spans="1:7" x14ac:dyDescent="0.35">
      <c r="A518" s="178" t="s">
        <v>1568</v>
      </c>
      <c r="B518" s="178" t="s">
        <v>1698</v>
      </c>
      <c r="C518" s="178" t="s">
        <v>763</v>
      </c>
      <c r="D518" s="178" t="s">
        <v>57</v>
      </c>
      <c r="E518">
        <v>1514.75</v>
      </c>
      <c r="F518">
        <v>227.21</v>
      </c>
      <c r="G518">
        <v>1741.96</v>
      </c>
    </row>
    <row r="519" spans="1:7" x14ac:dyDescent="0.35">
      <c r="A519" s="178" t="s">
        <v>1102</v>
      </c>
      <c r="B519" s="178" t="s">
        <v>1699</v>
      </c>
      <c r="C519" s="178" t="s">
        <v>763</v>
      </c>
      <c r="D519" s="178" t="s">
        <v>57</v>
      </c>
      <c r="E519">
        <v>9442.4500000000007</v>
      </c>
      <c r="F519">
        <v>1416.38</v>
      </c>
      <c r="G519">
        <v>10858.83</v>
      </c>
    </row>
    <row r="520" spans="1:7" x14ac:dyDescent="0.35">
      <c r="A520" s="178" t="s">
        <v>755</v>
      </c>
      <c r="B520" s="178" t="s">
        <v>1700</v>
      </c>
      <c r="C520" s="178" t="s">
        <v>763</v>
      </c>
      <c r="D520" s="178" t="s">
        <v>1701</v>
      </c>
      <c r="E520">
        <v>5845</v>
      </c>
      <c r="F520">
        <v>876.75</v>
      </c>
      <c r="G520">
        <v>6721.75</v>
      </c>
    </row>
    <row r="521" spans="1:7" x14ac:dyDescent="0.35">
      <c r="A521" s="178" t="s">
        <v>1702</v>
      </c>
      <c r="B521" s="178" t="s">
        <v>1703</v>
      </c>
      <c r="C521" s="178" t="s">
        <v>763</v>
      </c>
      <c r="D521" s="178" t="s">
        <v>57</v>
      </c>
      <c r="E521">
        <v>7847.24</v>
      </c>
      <c r="F521">
        <v>1177.0899999999999</v>
      </c>
      <c r="G521">
        <v>9024.33</v>
      </c>
    </row>
    <row r="522" spans="1:7" x14ac:dyDescent="0.35">
      <c r="A522" s="178" t="s">
        <v>1704</v>
      </c>
      <c r="B522" s="178" t="s">
        <v>1705</v>
      </c>
      <c r="C522" s="178" t="s">
        <v>763</v>
      </c>
      <c r="D522" s="178" t="s">
        <v>57</v>
      </c>
      <c r="E522">
        <v>3743.3</v>
      </c>
      <c r="F522">
        <v>561.5</v>
      </c>
      <c r="G522">
        <v>4304.8</v>
      </c>
    </row>
    <row r="523" spans="1:7" x14ac:dyDescent="0.35">
      <c r="A523" s="178" t="s">
        <v>705</v>
      </c>
      <c r="B523" s="178" t="s">
        <v>1706</v>
      </c>
      <c r="C523" s="178" t="s">
        <v>763</v>
      </c>
      <c r="D523" s="178" t="s">
        <v>57</v>
      </c>
      <c r="E523">
        <v>10289.700000000001</v>
      </c>
      <c r="F523">
        <v>1543.46</v>
      </c>
      <c r="G523">
        <v>11833.16</v>
      </c>
    </row>
    <row r="524" spans="1:7" x14ac:dyDescent="0.35">
      <c r="A524" s="178" t="s">
        <v>741</v>
      </c>
      <c r="B524" s="178" t="s">
        <v>1707</v>
      </c>
      <c r="C524" s="178" t="s">
        <v>763</v>
      </c>
      <c r="D524" s="178" t="s">
        <v>57</v>
      </c>
      <c r="E524">
        <v>27846</v>
      </c>
      <c r="F524">
        <v>4176.8999999999996</v>
      </c>
      <c r="G524">
        <v>32022.9</v>
      </c>
    </row>
    <row r="525" spans="1:7" x14ac:dyDescent="0.35">
      <c r="A525" s="178" t="s">
        <v>1099</v>
      </c>
      <c r="B525" s="178" t="s">
        <v>1708</v>
      </c>
      <c r="C525" s="178" t="s">
        <v>763</v>
      </c>
      <c r="D525" s="178" t="s">
        <v>1709</v>
      </c>
      <c r="E525">
        <v>875.5</v>
      </c>
      <c r="F525">
        <v>131.33000000000001</v>
      </c>
      <c r="G525">
        <v>1006.83</v>
      </c>
    </row>
    <row r="526" spans="1:7" x14ac:dyDescent="0.35">
      <c r="A526" s="178" t="s">
        <v>1710</v>
      </c>
      <c r="B526" s="178" t="s">
        <v>1711</v>
      </c>
      <c r="C526" s="178" t="s">
        <v>763</v>
      </c>
      <c r="D526" s="178" t="s">
        <v>57</v>
      </c>
      <c r="E526">
        <v>11269.2</v>
      </c>
      <c r="F526">
        <v>1690.38</v>
      </c>
      <c r="G526">
        <v>12959.58</v>
      </c>
    </row>
    <row r="527" spans="1:7" x14ac:dyDescent="0.35">
      <c r="A527" s="178" t="s">
        <v>833</v>
      </c>
      <c r="B527" s="178" t="s">
        <v>1712</v>
      </c>
      <c r="C527" s="178" t="s">
        <v>763</v>
      </c>
      <c r="D527" s="178" t="s">
        <v>57</v>
      </c>
      <c r="E527">
        <v>2851.9</v>
      </c>
      <c r="F527">
        <v>427.79</v>
      </c>
      <c r="G527">
        <v>3279.69</v>
      </c>
    </row>
    <row r="528" spans="1:7" x14ac:dyDescent="0.35">
      <c r="A528" s="178" t="s">
        <v>1272</v>
      </c>
      <c r="B528" s="178" t="s">
        <v>1713</v>
      </c>
      <c r="C528" s="178" t="s">
        <v>763</v>
      </c>
      <c r="D528" s="178" t="s">
        <v>57</v>
      </c>
      <c r="E528">
        <v>3558.95</v>
      </c>
      <c r="F528">
        <v>533.84</v>
      </c>
      <c r="G528">
        <v>4092.79</v>
      </c>
    </row>
    <row r="529" spans="1:7" x14ac:dyDescent="0.35">
      <c r="A529" s="178" t="s">
        <v>1714</v>
      </c>
      <c r="B529" s="178" t="s">
        <v>1715</v>
      </c>
      <c r="C529" s="178" t="s">
        <v>776</v>
      </c>
      <c r="D529" s="178" t="s">
        <v>1716</v>
      </c>
      <c r="E529">
        <v>1209</v>
      </c>
      <c r="F529">
        <v>181.35</v>
      </c>
      <c r="G529">
        <v>1390.35</v>
      </c>
    </row>
    <row r="530" spans="1:7" x14ac:dyDescent="0.35">
      <c r="A530" s="178" t="s">
        <v>750</v>
      </c>
      <c r="B530" s="178" t="s">
        <v>1717</v>
      </c>
      <c r="C530" s="178" t="s">
        <v>776</v>
      </c>
      <c r="D530" s="178" t="s">
        <v>1718</v>
      </c>
      <c r="E530">
        <v>1808</v>
      </c>
      <c r="F530">
        <v>271.2</v>
      </c>
      <c r="G530">
        <v>2079.1999999999998</v>
      </c>
    </row>
    <row r="531" spans="1:7" x14ac:dyDescent="0.35">
      <c r="A531" s="178" t="s">
        <v>1183</v>
      </c>
      <c r="B531" s="178" t="s">
        <v>1719</v>
      </c>
      <c r="C531" s="178" t="s">
        <v>776</v>
      </c>
      <c r="D531" s="178" t="s">
        <v>57</v>
      </c>
      <c r="E531">
        <v>1708</v>
      </c>
      <c r="F531">
        <v>256.2</v>
      </c>
      <c r="G531">
        <v>1964.2</v>
      </c>
    </row>
    <row r="532" spans="1:7" x14ac:dyDescent="0.35">
      <c r="A532" s="178" t="s">
        <v>1720</v>
      </c>
      <c r="B532" s="178" t="s">
        <v>1721</v>
      </c>
      <c r="C532" s="178" t="s">
        <v>776</v>
      </c>
      <c r="D532" s="178" t="s">
        <v>1722</v>
      </c>
      <c r="E532">
        <v>8532</v>
      </c>
      <c r="F532">
        <v>1279.8</v>
      </c>
      <c r="G532">
        <v>9811.7999999999993</v>
      </c>
    </row>
    <row r="533" spans="1:7" x14ac:dyDescent="0.35">
      <c r="A533" s="178" t="s">
        <v>1039</v>
      </c>
      <c r="B533" s="178" t="s">
        <v>1723</v>
      </c>
      <c r="C533" s="178" t="s">
        <v>776</v>
      </c>
      <c r="D533" s="178" t="s">
        <v>57</v>
      </c>
      <c r="E533">
        <v>3683.45</v>
      </c>
      <c r="F533">
        <v>552.52</v>
      </c>
      <c r="G533">
        <v>4235.97</v>
      </c>
    </row>
    <row r="534" spans="1:7" x14ac:dyDescent="0.35">
      <c r="A534" s="178" t="s">
        <v>1303</v>
      </c>
      <c r="B534" s="178" t="s">
        <v>1724</v>
      </c>
      <c r="C534" s="178" t="s">
        <v>776</v>
      </c>
      <c r="D534" s="178" t="s">
        <v>57</v>
      </c>
      <c r="E534">
        <v>4453.8</v>
      </c>
      <c r="F534">
        <v>668.07</v>
      </c>
      <c r="G534">
        <v>5121.87</v>
      </c>
    </row>
    <row r="535" spans="1:7" x14ac:dyDescent="0.35">
      <c r="A535" s="178" t="s">
        <v>746</v>
      </c>
      <c r="B535" s="178" t="s">
        <v>1725</v>
      </c>
      <c r="C535" s="178" t="s">
        <v>776</v>
      </c>
      <c r="D535" s="178" t="s">
        <v>57</v>
      </c>
      <c r="E535">
        <v>6216.9</v>
      </c>
      <c r="F535">
        <v>932.54</v>
      </c>
      <c r="G535">
        <v>7149.44</v>
      </c>
    </row>
    <row r="536" spans="1:7" x14ac:dyDescent="0.35">
      <c r="A536" s="178" t="s">
        <v>793</v>
      </c>
      <c r="B536" s="178" t="s">
        <v>1726</v>
      </c>
      <c r="C536" s="178" t="s">
        <v>776</v>
      </c>
      <c r="D536">
        <v>38086</v>
      </c>
      <c r="E536">
        <v>9825.6</v>
      </c>
      <c r="F536">
        <v>1473.84</v>
      </c>
      <c r="G536">
        <v>11299.44</v>
      </c>
    </row>
    <row r="537" spans="1:7" x14ac:dyDescent="0.35">
      <c r="A537" s="178" t="s">
        <v>1727</v>
      </c>
      <c r="B537" s="178" t="s">
        <v>1728</v>
      </c>
      <c r="C537" s="178" t="s">
        <v>776</v>
      </c>
      <c r="D537" s="178" t="s">
        <v>1729</v>
      </c>
      <c r="E537">
        <v>2145.6999999999998</v>
      </c>
      <c r="F537">
        <v>321.86</v>
      </c>
      <c r="G537">
        <v>2467.56</v>
      </c>
    </row>
    <row r="538" spans="1:7" x14ac:dyDescent="0.35">
      <c r="A538" s="178" t="s">
        <v>799</v>
      </c>
      <c r="B538" s="178" t="s">
        <v>1730</v>
      </c>
      <c r="C538" s="178" t="s">
        <v>776</v>
      </c>
      <c r="D538" s="178" t="s">
        <v>57</v>
      </c>
      <c r="E538">
        <v>12737.25</v>
      </c>
      <c r="F538">
        <v>1910.58</v>
      </c>
      <c r="G538">
        <v>14647.83</v>
      </c>
    </row>
    <row r="539" spans="1:7" x14ac:dyDescent="0.35">
      <c r="A539" s="178" t="s">
        <v>1731</v>
      </c>
      <c r="B539" s="178" t="s">
        <v>1732</v>
      </c>
      <c r="C539" s="178" t="s">
        <v>776</v>
      </c>
      <c r="D539" s="178" t="s">
        <v>57</v>
      </c>
      <c r="E539">
        <v>842.4</v>
      </c>
      <c r="F539">
        <v>126.36</v>
      </c>
      <c r="G539">
        <v>968.76</v>
      </c>
    </row>
    <row r="540" spans="1:7" x14ac:dyDescent="0.35">
      <c r="A540" s="178" t="s">
        <v>1733</v>
      </c>
      <c r="B540" s="178" t="s">
        <v>1734</v>
      </c>
      <c r="C540" s="178" t="s">
        <v>776</v>
      </c>
      <c r="D540" s="178" t="s">
        <v>57</v>
      </c>
      <c r="E540">
        <v>1362.75</v>
      </c>
      <c r="F540">
        <v>204.41</v>
      </c>
      <c r="G540">
        <v>1567.16</v>
      </c>
    </row>
    <row r="541" spans="1:7" x14ac:dyDescent="0.35">
      <c r="A541" s="178" t="s">
        <v>939</v>
      </c>
      <c r="B541" s="178" t="s">
        <v>1735</v>
      </c>
      <c r="C541" s="178" t="s">
        <v>776</v>
      </c>
      <c r="D541" s="178" t="s">
        <v>57</v>
      </c>
      <c r="E541">
        <v>4501.95</v>
      </c>
      <c r="F541">
        <v>675.3</v>
      </c>
      <c r="G541">
        <v>5177.25</v>
      </c>
    </row>
    <row r="542" spans="1:7" x14ac:dyDescent="0.35">
      <c r="A542" s="178" t="s">
        <v>1736</v>
      </c>
      <c r="B542" s="178" t="s">
        <v>1737</v>
      </c>
      <c r="C542" s="178" t="s">
        <v>776</v>
      </c>
      <c r="D542" s="178" t="s">
        <v>1738</v>
      </c>
      <c r="E542">
        <v>2690.9</v>
      </c>
      <c r="F542">
        <v>403.64</v>
      </c>
      <c r="G542">
        <v>3094.54</v>
      </c>
    </row>
    <row r="543" spans="1:7" x14ac:dyDescent="0.35">
      <c r="A543" s="178" t="s">
        <v>1475</v>
      </c>
      <c r="B543" s="178" t="s">
        <v>1739</v>
      </c>
      <c r="C543" s="178" t="s">
        <v>776</v>
      </c>
      <c r="D543" s="178" t="s">
        <v>57</v>
      </c>
      <c r="E543">
        <v>5103.0200000000004</v>
      </c>
      <c r="F543">
        <v>765.47</v>
      </c>
      <c r="G543">
        <v>5868.49</v>
      </c>
    </row>
    <row r="544" spans="1:7" x14ac:dyDescent="0.35">
      <c r="A544" s="178" t="s">
        <v>839</v>
      </c>
      <c r="B544" s="178" t="s">
        <v>1740</v>
      </c>
      <c r="C544" s="178" t="s">
        <v>776</v>
      </c>
      <c r="D544" s="178" t="s">
        <v>1741</v>
      </c>
      <c r="E544">
        <v>15705.2</v>
      </c>
      <c r="F544">
        <v>2355.7800000000002</v>
      </c>
      <c r="G544">
        <v>18060.98</v>
      </c>
    </row>
    <row r="545" spans="1:7" x14ac:dyDescent="0.35">
      <c r="A545" s="178" t="s">
        <v>1742</v>
      </c>
      <c r="B545" s="178" t="s">
        <v>1743</v>
      </c>
      <c r="C545" s="178" t="s">
        <v>776</v>
      </c>
      <c r="D545" s="178" t="s">
        <v>57</v>
      </c>
      <c r="E545">
        <v>1725</v>
      </c>
      <c r="F545">
        <v>258.75</v>
      </c>
      <c r="G545">
        <v>1983.75</v>
      </c>
    </row>
    <row r="546" spans="1:7" x14ac:dyDescent="0.35">
      <c r="A546" s="178" t="s">
        <v>1744</v>
      </c>
      <c r="B546" s="178" t="s">
        <v>1745</v>
      </c>
      <c r="C546" s="178" t="s">
        <v>776</v>
      </c>
      <c r="D546" s="178" t="s">
        <v>57</v>
      </c>
      <c r="E546">
        <v>828.75</v>
      </c>
      <c r="F546">
        <v>124.31</v>
      </c>
      <c r="G546">
        <v>953.06</v>
      </c>
    </row>
    <row r="547" spans="1:7" x14ac:dyDescent="0.35">
      <c r="A547" s="178" t="s">
        <v>1746</v>
      </c>
      <c r="B547" s="178" t="s">
        <v>1747</v>
      </c>
      <c r="C547" s="178" t="s">
        <v>776</v>
      </c>
      <c r="D547" s="178" t="s">
        <v>57</v>
      </c>
      <c r="E547">
        <v>14481.55</v>
      </c>
      <c r="F547">
        <v>2172.23</v>
      </c>
      <c r="G547">
        <v>16653.78</v>
      </c>
    </row>
    <row r="548" spans="1:7" x14ac:dyDescent="0.35">
      <c r="A548" s="178" t="s">
        <v>1047</v>
      </c>
      <c r="B548" s="178" t="s">
        <v>1748</v>
      </c>
      <c r="C548" s="178" t="s">
        <v>776</v>
      </c>
      <c r="D548" s="178" t="s">
        <v>57</v>
      </c>
      <c r="E548">
        <v>905.25</v>
      </c>
      <c r="F548">
        <v>135.79</v>
      </c>
      <c r="G548">
        <v>1041.04</v>
      </c>
    </row>
    <row r="549" spans="1:7" x14ac:dyDescent="0.35">
      <c r="A549" s="178" t="s">
        <v>839</v>
      </c>
      <c r="B549" s="178" t="s">
        <v>1749</v>
      </c>
      <c r="C549" s="178" t="s">
        <v>776</v>
      </c>
      <c r="D549" s="178" t="s">
        <v>1750</v>
      </c>
      <c r="E549">
        <v>6260.8</v>
      </c>
      <c r="F549">
        <v>939.12</v>
      </c>
      <c r="G549">
        <v>7199.92</v>
      </c>
    </row>
    <row r="550" spans="1:7" x14ac:dyDescent="0.35">
      <c r="A550" s="178" t="s">
        <v>1751</v>
      </c>
      <c r="B550" s="178" t="s">
        <v>1752</v>
      </c>
      <c r="C550" s="178" t="s">
        <v>776</v>
      </c>
      <c r="D550" s="178" t="s">
        <v>1753</v>
      </c>
      <c r="E550">
        <v>20466.849999999999</v>
      </c>
      <c r="F550">
        <v>3070.03</v>
      </c>
      <c r="G550">
        <v>23536.880000000001</v>
      </c>
    </row>
    <row r="551" spans="1:7" x14ac:dyDescent="0.35">
      <c r="A551" s="178" t="s">
        <v>1342</v>
      </c>
      <c r="B551" s="178" t="s">
        <v>1754</v>
      </c>
      <c r="C551" s="178" t="s">
        <v>776</v>
      </c>
      <c r="D551" s="178" t="s">
        <v>57</v>
      </c>
      <c r="E551">
        <v>18881.099999999999</v>
      </c>
      <c r="F551">
        <v>2832.17</v>
      </c>
      <c r="G551">
        <v>21713.27</v>
      </c>
    </row>
    <row r="552" spans="1:7" x14ac:dyDescent="0.35">
      <c r="A552" s="178" t="s">
        <v>1755</v>
      </c>
      <c r="B552" s="178" t="s">
        <v>1756</v>
      </c>
      <c r="C552" s="178" t="s">
        <v>776</v>
      </c>
      <c r="D552" s="178" t="s">
        <v>57</v>
      </c>
      <c r="E552">
        <v>8857.5</v>
      </c>
      <c r="F552">
        <v>1328.63</v>
      </c>
      <c r="G552">
        <v>10186.129999999999</v>
      </c>
    </row>
    <row r="553" spans="1:7" x14ac:dyDescent="0.35">
      <c r="A553" s="178" t="s">
        <v>1391</v>
      </c>
      <c r="B553" s="178" t="s">
        <v>1757</v>
      </c>
      <c r="C553" s="178" t="s">
        <v>776</v>
      </c>
      <c r="D553" s="178" t="s">
        <v>57</v>
      </c>
      <c r="E553">
        <v>700</v>
      </c>
      <c r="F553">
        <v>105</v>
      </c>
      <c r="G553">
        <v>805</v>
      </c>
    </row>
    <row r="554" spans="1:7" x14ac:dyDescent="0.35">
      <c r="A554" s="178" t="s">
        <v>1650</v>
      </c>
      <c r="B554" s="178" t="s">
        <v>1758</v>
      </c>
      <c r="C554" s="178" t="s">
        <v>776</v>
      </c>
      <c r="D554" s="178" t="s">
        <v>57</v>
      </c>
      <c r="E554">
        <v>733.05</v>
      </c>
      <c r="F554">
        <v>109.96</v>
      </c>
      <c r="G554">
        <v>843.01</v>
      </c>
    </row>
    <row r="555" spans="1:7" x14ac:dyDescent="0.35">
      <c r="A555" s="178" t="s">
        <v>720</v>
      </c>
      <c r="B555" s="178" t="s">
        <v>1759</v>
      </c>
      <c r="C555" s="178" t="s">
        <v>776</v>
      </c>
      <c r="D555" s="178" t="s">
        <v>57</v>
      </c>
      <c r="E555">
        <v>1228.5</v>
      </c>
      <c r="F555">
        <v>184.28</v>
      </c>
      <c r="G555">
        <v>1412.78</v>
      </c>
    </row>
    <row r="556" spans="1:7" x14ac:dyDescent="0.35">
      <c r="A556" s="178" t="s">
        <v>781</v>
      </c>
      <c r="B556" s="178" t="s">
        <v>1760</v>
      </c>
      <c r="C556" s="178" t="s">
        <v>776</v>
      </c>
      <c r="D556" s="178" t="s">
        <v>57</v>
      </c>
      <c r="E556">
        <v>10771.9</v>
      </c>
      <c r="F556">
        <v>1615.79</v>
      </c>
      <c r="G556">
        <v>12387.69</v>
      </c>
    </row>
    <row r="557" spans="1:7" x14ac:dyDescent="0.35">
      <c r="A557" s="178" t="s">
        <v>789</v>
      </c>
      <c r="B557" s="178" t="s">
        <v>1761</v>
      </c>
      <c r="C557" s="178" t="s">
        <v>776</v>
      </c>
      <c r="D557" s="178" t="s">
        <v>57</v>
      </c>
      <c r="E557">
        <v>11179.8</v>
      </c>
      <c r="F557">
        <v>1676.97</v>
      </c>
      <c r="G557">
        <v>12856.77</v>
      </c>
    </row>
    <row r="558" spans="1:7" x14ac:dyDescent="0.35">
      <c r="A558" s="178" t="s">
        <v>774</v>
      </c>
      <c r="B558" s="178" t="s">
        <v>1762</v>
      </c>
      <c r="C558" s="178" t="s">
        <v>776</v>
      </c>
      <c r="D558" s="178" t="s">
        <v>57</v>
      </c>
      <c r="E558">
        <v>1591</v>
      </c>
      <c r="F558">
        <v>238.65</v>
      </c>
      <c r="G558">
        <v>1829.65</v>
      </c>
    </row>
    <row r="559" spans="1:7" x14ac:dyDescent="0.35">
      <c r="A559" s="178" t="s">
        <v>1075</v>
      </c>
      <c r="B559" s="178" t="s">
        <v>1763</v>
      </c>
      <c r="C559" s="178" t="s">
        <v>776</v>
      </c>
      <c r="D559" s="178" t="s">
        <v>57</v>
      </c>
      <c r="E559">
        <v>3071.55</v>
      </c>
      <c r="F559">
        <v>460.73</v>
      </c>
      <c r="G559">
        <v>3532.28</v>
      </c>
    </row>
    <row r="560" spans="1:7" x14ac:dyDescent="0.35">
      <c r="A560" s="178" t="s">
        <v>1764</v>
      </c>
      <c r="B560" s="178" t="s">
        <v>1765</v>
      </c>
      <c r="C560" s="178" t="s">
        <v>776</v>
      </c>
      <c r="D560" s="178" t="s">
        <v>57</v>
      </c>
      <c r="E560">
        <v>1152</v>
      </c>
      <c r="F560">
        <v>172.8</v>
      </c>
      <c r="G560">
        <v>1324.8</v>
      </c>
    </row>
    <row r="561" spans="1:7" x14ac:dyDescent="0.35">
      <c r="A561" s="178" t="s">
        <v>1766</v>
      </c>
      <c r="B561" s="178" t="s">
        <v>1767</v>
      </c>
      <c r="C561" s="178" t="s">
        <v>776</v>
      </c>
      <c r="D561" s="178" t="s">
        <v>57</v>
      </c>
      <c r="E561">
        <v>180</v>
      </c>
      <c r="F561">
        <v>27</v>
      </c>
      <c r="G561">
        <v>207</v>
      </c>
    </row>
    <row r="562" spans="1:7" x14ac:dyDescent="0.35">
      <c r="A562" s="178" t="s">
        <v>1768</v>
      </c>
      <c r="B562" s="178" t="s">
        <v>1769</v>
      </c>
      <c r="C562" s="178" t="s">
        <v>776</v>
      </c>
      <c r="D562" s="178" t="s">
        <v>57</v>
      </c>
      <c r="E562">
        <v>9235.2000000000007</v>
      </c>
      <c r="F562">
        <v>1385.28</v>
      </c>
      <c r="G562">
        <v>10620.48</v>
      </c>
    </row>
    <row r="563" spans="1:7" x14ac:dyDescent="0.35">
      <c r="A563" s="178" t="s">
        <v>1770</v>
      </c>
      <c r="B563" s="178" t="s">
        <v>1771</v>
      </c>
      <c r="C563" s="178" t="s">
        <v>776</v>
      </c>
      <c r="D563" s="178" t="s">
        <v>57</v>
      </c>
      <c r="E563">
        <v>1346.5</v>
      </c>
      <c r="F563">
        <v>201.98</v>
      </c>
      <c r="G563">
        <v>1548.48</v>
      </c>
    </row>
    <row r="564" spans="1:7" x14ac:dyDescent="0.35">
      <c r="A564" s="178" t="s">
        <v>1643</v>
      </c>
      <c r="B564" s="178" t="s">
        <v>1772</v>
      </c>
      <c r="C564" s="178" t="s">
        <v>776</v>
      </c>
      <c r="D564" s="178" t="s">
        <v>1645</v>
      </c>
      <c r="E564">
        <v>669.9</v>
      </c>
      <c r="F564">
        <v>100.49</v>
      </c>
      <c r="G564">
        <v>770.39</v>
      </c>
    </row>
    <row r="565" spans="1:7" x14ac:dyDescent="0.35">
      <c r="A565" s="178" t="s">
        <v>741</v>
      </c>
      <c r="B565" s="178" t="s">
        <v>1773</v>
      </c>
      <c r="C565" s="178" t="s">
        <v>776</v>
      </c>
      <c r="D565" s="178" t="s">
        <v>57</v>
      </c>
      <c r="E565">
        <v>3913.65</v>
      </c>
      <c r="F565">
        <v>587.04</v>
      </c>
      <c r="G565">
        <v>4500.6899999999996</v>
      </c>
    </row>
    <row r="566" spans="1:7" x14ac:dyDescent="0.35">
      <c r="A566" s="178" t="s">
        <v>1774</v>
      </c>
      <c r="B566" s="178" t="s">
        <v>1775</v>
      </c>
      <c r="C566" s="178" t="s">
        <v>776</v>
      </c>
      <c r="D566" s="178" t="s">
        <v>57</v>
      </c>
      <c r="E566">
        <v>7876.4</v>
      </c>
      <c r="F566">
        <v>1181.46</v>
      </c>
      <c r="G566">
        <v>9057.86</v>
      </c>
    </row>
    <row r="567" spans="1:7" x14ac:dyDescent="0.35">
      <c r="A567" s="178" t="s">
        <v>1359</v>
      </c>
      <c r="B567" s="178" t="s">
        <v>1776</v>
      </c>
      <c r="C567" s="178" t="s">
        <v>776</v>
      </c>
      <c r="D567" s="178" t="s">
        <v>1777</v>
      </c>
      <c r="E567">
        <v>1741.95</v>
      </c>
      <c r="F567">
        <v>261.29000000000002</v>
      </c>
      <c r="G567">
        <v>2003.24</v>
      </c>
    </row>
    <row r="568" spans="1:7" x14ac:dyDescent="0.35">
      <c r="A568" s="178" t="s">
        <v>1778</v>
      </c>
      <c r="B568" s="178" t="s">
        <v>1779</v>
      </c>
      <c r="C568" s="178" t="s">
        <v>776</v>
      </c>
      <c r="D568" s="178" t="s">
        <v>1780</v>
      </c>
      <c r="E568">
        <v>515</v>
      </c>
      <c r="F568">
        <v>77.25</v>
      </c>
      <c r="G568">
        <v>592.25</v>
      </c>
    </row>
    <row r="569" spans="1:7" x14ac:dyDescent="0.35">
      <c r="A569" s="178" t="s">
        <v>1236</v>
      </c>
      <c r="B569" s="178" t="s">
        <v>1781</v>
      </c>
      <c r="C569" s="178" t="s">
        <v>776</v>
      </c>
      <c r="D569" s="178" t="s">
        <v>57</v>
      </c>
      <c r="E569">
        <v>1586.7</v>
      </c>
      <c r="F569">
        <v>238.01</v>
      </c>
      <c r="G569">
        <v>1824.71</v>
      </c>
    </row>
    <row r="570" spans="1:7" x14ac:dyDescent="0.35">
      <c r="A570" s="178" t="s">
        <v>1782</v>
      </c>
      <c r="B570" s="178" t="s">
        <v>1783</v>
      </c>
      <c r="C570" s="178" t="s">
        <v>776</v>
      </c>
      <c r="D570" s="178" t="s">
        <v>1784</v>
      </c>
      <c r="E570">
        <v>2445</v>
      </c>
      <c r="F570">
        <v>366.75</v>
      </c>
      <c r="G570">
        <v>2811.75</v>
      </c>
    </row>
    <row r="571" spans="1:7" x14ac:dyDescent="0.35">
      <c r="A571" s="178" t="s">
        <v>860</v>
      </c>
      <c r="B571" s="178" t="s">
        <v>1785</v>
      </c>
      <c r="C571" s="178" t="s">
        <v>776</v>
      </c>
      <c r="D571" s="178" t="s">
        <v>57</v>
      </c>
      <c r="E571">
        <v>91162.65</v>
      </c>
      <c r="F571">
        <v>13674.4</v>
      </c>
      <c r="G571">
        <v>104837.05</v>
      </c>
    </row>
    <row r="572" spans="1:7" x14ac:dyDescent="0.35">
      <c r="A572" s="178" t="s">
        <v>1786</v>
      </c>
      <c r="B572" s="178" t="s">
        <v>1787</v>
      </c>
      <c r="C572" s="178" t="s">
        <v>776</v>
      </c>
      <c r="D572" s="178" t="s">
        <v>1788</v>
      </c>
      <c r="E572">
        <v>2484</v>
      </c>
      <c r="F572">
        <v>372.6</v>
      </c>
      <c r="G572">
        <v>2856.6</v>
      </c>
    </row>
    <row r="573" spans="1:7" x14ac:dyDescent="0.35">
      <c r="A573" s="178" t="s">
        <v>988</v>
      </c>
      <c r="B573" s="178" t="s">
        <v>1789</v>
      </c>
      <c r="C573" s="178" t="s">
        <v>776</v>
      </c>
      <c r="D573" s="178" t="s">
        <v>57</v>
      </c>
      <c r="E573">
        <v>3749.75</v>
      </c>
      <c r="F573">
        <v>562.46</v>
      </c>
      <c r="G573">
        <v>4312.21</v>
      </c>
    </row>
    <row r="574" spans="1:7" x14ac:dyDescent="0.35">
      <c r="A574" s="178" t="s">
        <v>1325</v>
      </c>
      <c r="B574" s="178" t="s">
        <v>1790</v>
      </c>
      <c r="C574" s="178" t="s">
        <v>776</v>
      </c>
      <c r="D574" s="178" t="s">
        <v>1327</v>
      </c>
      <c r="E574">
        <v>6195</v>
      </c>
      <c r="F574">
        <v>929.25</v>
      </c>
      <c r="G574">
        <v>7124.25</v>
      </c>
    </row>
    <row r="575" spans="1:7" x14ac:dyDescent="0.35">
      <c r="A575" s="178" t="s">
        <v>1254</v>
      </c>
      <c r="B575" s="178" t="s">
        <v>1791</v>
      </c>
      <c r="C575" s="178" t="s">
        <v>776</v>
      </c>
      <c r="D575" s="178" t="s">
        <v>57</v>
      </c>
      <c r="E575">
        <v>2737</v>
      </c>
      <c r="F575">
        <v>410.55</v>
      </c>
      <c r="G575">
        <v>3147.55</v>
      </c>
    </row>
    <row r="576" spans="1:7" x14ac:dyDescent="0.35">
      <c r="A576" s="178" t="s">
        <v>1792</v>
      </c>
      <c r="B576" s="178" t="s">
        <v>1793</v>
      </c>
      <c r="C576" s="178" t="s">
        <v>776</v>
      </c>
      <c r="D576" s="178" t="s">
        <v>57</v>
      </c>
      <c r="E576">
        <v>3087.3</v>
      </c>
      <c r="F576">
        <v>463.1</v>
      </c>
      <c r="G576">
        <v>3550.4</v>
      </c>
    </row>
    <row r="577" spans="1:7" x14ac:dyDescent="0.35">
      <c r="A577" s="178" t="s">
        <v>1133</v>
      </c>
      <c r="B577" s="178" t="s">
        <v>1794</v>
      </c>
      <c r="C577" s="178" t="s">
        <v>776</v>
      </c>
      <c r="D577" s="178" t="s">
        <v>57</v>
      </c>
      <c r="E577">
        <v>14172.6</v>
      </c>
      <c r="F577">
        <v>2125.89</v>
      </c>
      <c r="G577">
        <v>16298.49</v>
      </c>
    </row>
    <row r="578" spans="1:7" x14ac:dyDescent="0.35">
      <c r="A578" s="178" t="s">
        <v>1194</v>
      </c>
      <c r="B578" s="178" t="s">
        <v>1795</v>
      </c>
      <c r="C578" s="178" t="s">
        <v>776</v>
      </c>
      <c r="D578" s="178" t="s">
        <v>57</v>
      </c>
      <c r="E578">
        <v>2558.65</v>
      </c>
      <c r="F578">
        <v>383.8</v>
      </c>
      <c r="G578">
        <v>2942.45</v>
      </c>
    </row>
    <row r="579" spans="1:7" x14ac:dyDescent="0.35">
      <c r="A579" s="178" t="s">
        <v>1796</v>
      </c>
      <c r="B579" s="178" t="s">
        <v>1797</v>
      </c>
      <c r="C579" s="178" t="s">
        <v>776</v>
      </c>
      <c r="D579" s="178" t="s">
        <v>57</v>
      </c>
      <c r="E579">
        <v>3450</v>
      </c>
      <c r="F579">
        <v>517.5</v>
      </c>
      <c r="G579">
        <v>3967.5</v>
      </c>
    </row>
    <row r="580" spans="1:7" x14ac:dyDescent="0.35">
      <c r="A580" s="178" t="s">
        <v>1798</v>
      </c>
      <c r="B580" s="178" t="s">
        <v>1799</v>
      </c>
      <c r="C580" s="178" t="s">
        <v>776</v>
      </c>
      <c r="D580" s="178" t="s">
        <v>57</v>
      </c>
      <c r="E580">
        <v>5206</v>
      </c>
      <c r="F580">
        <v>780.9</v>
      </c>
      <c r="G580">
        <v>5986.9</v>
      </c>
    </row>
    <row r="581" spans="1:7" x14ac:dyDescent="0.35">
      <c r="A581" s="178" t="s">
        <v>1432</v>
      </c>
      <c r="B581" s="178" t="s">
        <v>1800</v>
      </c>
      <c r="C581" s="178" t="s">
        <v>776</v>
      </c>
      <c r="D581" s="178" t="s">
        <v>57</v>
      </c>
      <c r="E581">
        <v>5548.95</v>
      </c>
      <c r="F581">
        <v>832.35</v>
      </c>
      <c r="G581">
        <v>6381.3</v>
      </c>
    </row>
    <row r="582" spans="1:7" x14ac:dyDescent="0.35">
      <c r="A582" s="178" t="s">
        <v>1559</v>
      </c>
      <c r="B582" s="178" t="s">
        <v>1801</v>
      </c>
      <c r="C582" s="178" t="s">
        <v>776</v>
      </c>
      <c r="D582" s="178" t="s">
        <v>1561</v>
      </c>
      <c r="E582">
        <v>2992.5</v>
      </c>
      <c r="F582">
        <v>448.88</v>
      </c>
      <c r="G582">
        <v>3441.38</v>
      </c>
    </row>
    <row r="583" spans="1:7" x14ac:dyDescent="0.35">
      <c r="A583" s="178" t="s">
        <v>818</v>
      </c>
      <c r="B583" s="178" t="s">
        <v>1802</v>
      </c>
      <c r="C583" s="178" t="s">
        <v>776</v>
      </c>
      <c r="D583" s="178" t="s">
        <v>57</v>
      </c>
      <c r="E583">
        <v>137.4</v>
      </c>
      <c r="F583">
        <v>20.61</v>
      </c>
      <c r="G583">
        <v>158.01</v>
      </c>
    </row>
    <row r="584" spans="1:7" x14ac:dyDescent="0.35">
      <c r="A584" s="178" t="s">
        <v>786</v>
      </c>
      <c r="B584" s="178" t="s">
        <v>1803</v>
      </c>
      <c r="C584" s="178" t="s">
        <v>776</v>
      </c>
      <c r="D584" s="178" t="s">
        <v>57</v>
      </c>
      <c r="E584">
        <v>4333.5</v>
      </c>
      <c r="F584">
        <v>650.03</v>
      </c>
      <c r="G584">
        <v>4983.53</v>
      </c>
    </row>
    <row r="585" spans="1:7" x14ac:dyDescent="0.35">
      <c r="A585" s="178" t="s">
        <v>1804</v>
      </c>
      <c r="B585" s="178" t="s">
        <v>1805</v>
      </c>
      <c r="C585" s="178" t="s">
        <v>776</v>
      </c>
      <c r="D585" s="178" t="s">
        <v>57</v>
      </c>
      <c r="E585">
        <v>2344.75</v>
      </c>
      <c r="F585">
        <v>351.72</v>
      </c>
      <c r="G585">
        <v>2696.47</v>
      </c>
    </row>
    <row r="586" spans="1:7" x14ac:dyDescent="0.35">
      <c r="A586" s="178" t="s">
        <v>778</v>
      </c>
      <c r="B586" s="178" t="s">
        <v>1806</v>
      </c>
      <c r="C586" s="178" t="s">
        <v>776</v>
      </c>
      <c r="D586" s="178" t="s">
        <v>57</v>
      </c>
      <c r="E586">
        <v>11359.93</v>
      </c>
      <c r="F586">
        <v>1704</v>
      </c>
      <c r="G586">
        <v>13063.93</v>
      </c>
    </row>
    <row r="587" spans="1:7" x14ac:dyDescent="0.35">
      <c r="A587" s="178" t="s">
        <v>1807</v>
      </c>
      <c r="B587" s="178" t="s">
        <v>1808</v>
      </c>
      <c r="C587" s="178" t="s">
        <v>776</v>
      </c>
      <c r="D587" s="178" t="s">
        <v>57</v>
      </c>
      <c r="E587">
        <v>1655.5</v>
      </c>
      <c r="F587">
        <v>248.33</v>
      </c>
      <c r="G587">
        <v>1903.83</v>
      </c>
    </row>
    <row r="588" spans="1:7" x14ac:dyDescent="0.35">
      <c r="A588" s="178" t="s">
        <v>1809</v>
      </c>
      <c r="B588" s="178" t="s">
        <v>1810</v>
      </c>
      <c r="C588" s="178" t="s">
        <v>776</v>
      </c>
      <c r="D588" s="178" t="s">
        <v>57</v>
      </c>
      <c r="E588">
        <v>5106.5</v>
      </c>
      <c r="F588">
        <v>765.98</v>
      </c>
      <c r="G588">
        <v>5872.48</v>
      </c>
    </row>
    <row r="589" spans="1:7" x14ac:dyDescent="0.35">
      <c r="A589" s="178" t="s">
        <v>1066</v>
      </c>
      <c r="B589" s="178" t="s">
        <v>1811</v>
      </c>
      <c r="C589" s="178" t="s">
        <v>776</v>
      </c>
      <c r="D589" s="178" t="s">
        <v>57</v>
      </c>
      <c r="E589">
        <v>801.5</v>
      </c>
      <c r="F589">
        <v>120.23</v>
      </c>
      <c r="G589">
        <v>921.73</v>
      </c>
    </row>
    <row r="590" spans="1:7" x14ac:dyDescent="0.35">
      <c r="A590" s="178" t="s">
        <v>1265</v>
      </c>
      <c r="B590" s="178" t="s">
        <v>1812</v>
      </c>
      <c r="C590" s="178" t="s">
        <v>776</v>
      </c>
      <c r="D590" s="178" t="s">
        <v>1813</v>
      </c>
      <c r="E590">
        <v>1917.3</v>
      </c>
      <c r="F590">
        <v>287.58999999999997</v>
      </c>
      <c r="G590">
        <v>2204.89</v>
      </c>
    </row>
    <row r="591" spans="1:7" x14ac:dyDescent="0.35">
      <c r="A591" s="178" t="s">
        <v>1814</v>
      </c>
      <c r="B591" s="178" t="s">
        <v>1815</v>
      </c>
      <c r="C591" s="178" t="s">
        <v>776</v>
      </c>
      <c r="D591" s="178" t="s">
        <v>57</v>
      </c>
      <c r="E591">
        <v>2892.7</v>
      </c>
      <c r="F591">
        <v>433.91</v>
      </c>
      <c r="G591">
        <v>3326.61</v>
      </c>
    </row>
    <row r="592" spans="1:7" x14ac:dyDescent="0.35">
      <c r="A592" s="178" t="s">
        <v>862</v>
      </c>
      <c r="B592" s="178" t="s">
        <v>1816</v>
      </c>
      <c r="C592" s="178" t="s">
        <v>776</v>
      </c>
      <c r="D592" s="178" t="s">
        <v>57</v>
      </c>
      <c r="E592">
        <v>3764.85</v>
      </c>
      <c r="F592">
        <v>564.74</v>
      </c>
      <c r="G592">
        <v>4329.59</v>
      </c>
    </row>
    <row r="593" spans="1:7" x14ac:dyDescent="0.35">
      <c r="A593" s="178" t="s">
        <v>793</v>
      </c>
      <c r="B593" s="178" t="s">
        <v>1817</v>
      </c>
      <c r="C593" s="178" t="s">
        <v>776</v>
      </c>
      <c r="D593">
        <v>38134</v>
      </c>
      <c r="E593">
        <v>8556</v>
      </c>
      <c r="F593">
        <v>1283.4000000000001</v>
      </c>
      <c r="G593">
        <v>9839.4</v>
      </c>
    </row>
    <row r="594" spans="1:7" x14ac:dyDescent="0.35">
      <c r="A594" s="178" t="s">
        <v>1818</v>
      </c>
      <c r="B594" s="178" t="s">
        <v>1819</v>
      </c>
      <c r="C594" s="178" t="s">
        <v>776</v>
      </c>
      <c r="D594" s="178" t="s">
        <v>57</v>
      </c>
      <c r="E594">
        <v>3325.75</v>
      </c>
      <c r="F594">
        <v>498.86</v>
      </c>
      <c r="G594">
        <v>3824.61</v>
      </c>
    </row>
    <row r="595" spans="1:7" x14ac:dyDescent="0.35">
      <c r="A595" s="178" t="s">
        <v>1820</v>
      </c>
      <c r="B595" s="178" t="s">
        <v>1821</v>
      </c>
      <c r="C595" s="178" t="s">
        <v>776</v>
      </c>
      <c r="D595" s="178" t="s">
        <v>57</v>
      </c>
      <c r="E595">
        <v>4808.6499999999996</v>
      </c>
      <c r="F595">
        <v>721.3</v>
      </c>
      <c r="G595">
        <v>5529.95</v>
      </c>
    </row>
    <row r="596" spans="1:7" x14ac:dyDescent="0.35">
      <c r="A596" s="178" t="s">
        <v>828</v>
      </c>
      <c r="B596" s="178" t="s">
        <v>1822</v>
      </c>
      <c r="C596" s="178" t="s">
        <v>776</v>
      </c>
      <c r="D596" s="178" t="s">
        <v>57</v>
      </c>
      <c r="E596">
        <v>1209.5999999999999</v>
      </c>
      <c r="F596">
        <v>181.44</v>
      </c>
      <c r="G596">
        <v>1391.04</v>
      </c>
    </row>
    <row r="597" spans="1:7" x14ac:dyDescent="0.35">
      <c r="A597" s="178" t="s">
        <v>705</v>
      </c>
      <c r="B597" s="178" t="s">
        <v>1823</v>
      </c>
      <c r="C597" s="178" t="s">
        <v>776</v>
      </c>
      <c r="D597" s="178" t="s">
        <v>57</v>
      </c>
      <c r="E597">
        <v>1263.5999999999999</v>
      </c>
      <c r="F597">
        <v>189.54</v>
      </c>
      <c r="G597">
        <v>1453.14</v>
      </c>
    </row>
    <row r="598" spans="1:7" x14ac:dyDescent="0.35">
      <c r="A598" s="178" t="s">
        <v>809</v>
      </c>
      <c r="B598" s="178" t="s">
        <v>1824</v>
      </c>
      <c r="C598" s="178" t="s">
        <v>776</v>
      </c>
      <c r="D598" s="178" t="s">
        <v>57</v>
      </c>
      <c r="E598">
        <v>843.15</v>
      </c>
      <c r="F598">
        <v>126.47</v>
      </c>
      <c r="G598">
        <v>969.62</v>
      </c>
    </row>
    <row r="599" spans="1:7" x14ac:dyDescent="0.35">
      <c r="A599" s="178" t="s">
        <v>1792</v>
      </c>
      <c r="B599" s="178" t="s">
        <v>1825</v>
      </c>
      <c r="C599" s="178" t="s">
        <v>915</v>
      </c>
      <c r="D599" s="178" t="s">
        <v>57</v>
      </c>
      <c r="E599">
        <v>908.85</v>
      </c>
      <c r="F599">
        <v>136.33000000000001</v>
      </c>
      <c r="G599">
        <v>1045.18</v>
      </c>
    </row>
    <row r="600" spans="1:7" x14ac:dyDescent="0.35">
      <c r="A600" s="178" t="s">
        <v>786</v>
      </c>
      <c r="B600" s="178" t="s">
        <v>1826</v>
      </c>
      <c r="C600" s="178" t="s">
        <v>776</v>
      </c>
      <c r="D600" s="178" t="s">
        <v>57</v>
      </c>
      <c r="E600">
        <v>3280.5</v>
      </c>
      <c r="F600">
        <v>492.08</v>
      </c>
      <c r="G600">
        <v>3772.58</v>
      </c>
    </row>
    <row r="601" spans="1:7" x14ac:dyDescent="0.35">
      <c r="A601" s="178" t="s">
        <v>793</v>
      </c>
      <c r="B601" s="178" t="s">
        <v>1827</v>
      </c>
      <c r="C601" s="178" t="s">
        <v>776</v>
      </c>
      <c r="D601">
        <v>38135</v>
      </c>
      <c r="E601">
        <v>2635.2</v>
      </c>
      <c r="F601">
        <v>395.28</v>
      </c>
      <c r="G601">
        <v>3030.48</v>
      </c>
    </row>
    <row r="602" spans="1:7" x14ac:dyDescent="0.35">
      <c r="A602" s="178" t="s">
        <v>793</v>
      </c>
      <c r="B602" s="178" t="s">
        <v>1828</v>
      </c>
      <c r="C602" s="178" t="s">
        <v>776</v>
      </c>
      <c r="D602">
        <v>38144</v>
      </c>
      <c r="E602">
        <v>9726.5</v>
      </c>
      <c r="F602">
        <v>1458.98</v>
      </c>
      <c r="G602">
        <v>11185.48</v>
      </c>
    </row>
    <row r="603" spans="1:7" x14ac:dyDescent="0.35">
      <c r="A603" s="178" t="s">
        <v>793</v>
      </c>
      <c r="B603" s="178" t="s">
        <v>1829</v>
      </c>
      <c r="C603" s="178" t="s">
        <v>776</v>
      </c>
      <c r="D603">
        <v>38143</v>
      </c>
      <c r="E603">
        <v>5608.8</v>
      </c>
      <c r="F603">
        <v>841.32</v>
      </c>
      <c r="G603">
        <v>6450.12</v>
      </c>
    </row>
    <row r="604" spans="1:7" x14ac:dyDescent="0.35">
      <c r="A604" s="178" t="s">
        <v>1830</v>
      </c>
      <c r="B604" s="178" t="s">
        <v>1831</v>
      </c>
      <c r="C604" s="178" t="s">
        <v>791</v>
      </c>
      <c r="D604" s="178" t="s">
        <v>1832</v>
      </c>
      <c r="E604">
        <v>679.4</v>
      </c>
      <c r="F604">
        <v>101.91</v>
      </c>
      <c r="G604">
        <v>781.31</v>
      </c>
    </row>
    <row r="605" spans="1:7" x14ac:dyDescent="0.35">
      <c r="A605" s="178" t="s">
        <v>842</v>
      </c>
      <c r="B605" s="178" t="s">
        <v>1833</v>
      </c>
      <c r="C605" s="178" t="s">
        <v>791</v>
      </c>
      <c r="D605" s="178" t="s">
        <v>1482</v>
      </c>
      <c r="E605">
        <v>2371.0500000000002</v>
      </c>
      <c r="F605">
        <v>355.66</v>
      </c>
      <c r="G605">
        <v>2726.71</v>
      </c>
    </row>
    <row r="606" spans="1:7" x14ac:dyDescent="0.35">
      <c r="A606" s="178" t="s">
        <v>1834</v>
      </c>
      <c r="B606" s="178" t="s">
        <v>1835</v>
      </c>
      <c r="C606" s="178" t="s">
        <v>791</v>
      </c>
      <c r="D606" s="178" t="s">
        <v>57</v>
      </c>
      <c r="E606">
        <v>1052.05</v>
      </c>
      <c r="F606">
        <v>157.81</v>
      </c>
      <c r="G606">
        <v>1209.8599999999999</v>
      </c>
    </row>
    <row r="607" spans="1:7" x14ac:dyDescent="0.35">
      <c r="A607" s="178" t="s">
        <v>1836</v>
      </c>
      <c r="B607" s="178" t="s">
        <v>1837</v>
      </c>
      <c r="C607" s="178" t="s">
        <v>791</v>
      </c>
      <c r="D607" s="178" t="s">
        <v>1838</v>
      </c>
      <c r="E607">
        <v>1620.9</v>
      </c>
      <c r="F607">
        <v>243.14</v>
      </c>
      <c r="G607">
        <v>1864.04</v>
      </c>
    </row>
    <row r="608" spans="1:7" x14ac:dyDescent="0.35">
      <c r="A608" s="178" t="s">
        <v>1620</v>
      </c>
      <c r="B608" s="178" t="s">
        <v>1839</v>
      </c>
      <c r="C608" s="178" t="s">
        <v>791</v>
      </c>
      <c r="D608" s="178" t="s">
        <v>57</v>
      </c>
      <c r="E608">
        <v>2874.9</v>
      </c>
      <c r="F608">
        <v>431.24</v>
      </c>
      <c r="G608">
        <v>3306.14</v>
      </c>
    </row>
    <row r="609" spans="1:7" x14ac:dyDescent="0.35">
      <c r="A609" s="178" t="s">
        <v>1840</v>
      </c>
      <c r="B609" s="178" t="s">
        <v>1841</v>
      </c>
      <c r="C609" s="178" t="s">
        <v>791</v>
      </c>
      <c r="D609" s="178" t="s">
        <v>57</v>
      </c>
      <c r="E609">
        <v>4406.95</v>
      </c>
      <c r="F609">
        <v>661.04</v>
      </c>
      <c r="G609">
        <v>5067.99</v>
      </c>
    </row>
    <row r="610" spans="1:7" x14ac:dyDescent="0.35">
      <c r="A610" s="178" t="s">
        <v>1000</v>
      </c>
      <c r="B610" s="178" t="s">
        <v>1842</v>
      </c>
      <c r="C610" s="178" t="s">
        <v>791</v>
      </c>
      <c r="D610" s="178" t="s">
        <v>1002</v>
      </c>
      <c r="E610">
        <v>29121</v>
      </c>
      <c r="F610">
        <v>4368.1499999999996</v>
      </c>
      <c r="G610">
        <v>33489.15</v>
      </c>
    </row>
    <row r="611" spans="1:7" x14ac:dyDescent="0.35">
      <c r="A611" s="178" t="s">
        <v>1283</v>
      </c>
      <c r="B611" s="178" t="s">
        <v>1843</v>
      </c>
      <c r="C611" s="178" t="s">
        <v>791</v>
      </c>
      <c r="D611" s="178" t="s">
        <v>57</v>
      </c>
      <c r="E611">
        <v>1498.5</v>
      </c>
      <c r="F611">
        <v>224.78</v>
      </c>
      <c r="G611">
        <v>1723.28</v>
      </c>
    </row>
    <row r="612" spans="1:7" x14ac:dyDescent="0.35">
      <c r="A612" s="178" t="s">
        <v>750</v>
      </c>
      <c r="B612" s="178" t="s">
        <v>1844</v>
      </c>
      <c r="C612" s="178" t="s">
        <v>791</v>
      </c>
      <c r="D612" s="178" t="s">
        <v>1845</v>
      </c>
      <c r="E612">
        <v>950</v>
      </c>
      <c r="F612">
        <v>142.5</v>
      </c>
      <c r="G612">
        <v>1092.5</v>
      </c>
    </row>
    <row r="613" spans="1:7" x14ac:dyDescent="0.35">
      <c r="A613" s="178" t="s">
        <v>1023</v>
      </c>
      <c r="B613" s="178" t="s">
        <v>1846</v>
      </c>
      <c r="C613" s="178" t="s">
        <v>791</v>
      </c>
      <c r="D613" s="178" t="s">
        <v>1025</v>
      </c>
      <c r="E613">
        <v>1458</v>
      </c>
      <c r="F613">
        <v>218.7</v>
      </c>
      <c r="G613">
        <v>1676.7</v>
      </c>
    </row>
    <row r="614" spans="1:7" x14ac:dyDescent="0.35">
      <c r="A614" s="178" t="s">
        <v>1847</v>
      </c>
      <c r="B614" s="178" t="s">
        <v>1848</v>
      </c>
      <c r="C614" s="178" t="s">
        <v>791</v>
      </c>
      <c r="D614" s="178" t="s">
        <v>1849</v>
      </c>
      <c r="E614">
        <v>49598.400000000001</v>
      </c>
      <c r="F614">
        <v>7439.76</v>
      </c>
      <c r="G614">
        <v>57038.16</v>
      </c>
    </row>
    <row r="615" spans="1:7" x14ac:dyDescent="0.35">
      <c r="A615" s="178" t="s">
        <v>1850</v>
      </c>
      <c r="B615" s="178" t="s">
        <v>1851</v>
      </c>
      <c r="C615" s="178" t="s">
        <v>823</v>
      </c>
      <c r="D615" s="178" t="s">
        <v>1852</v>
      </c>
      <c r="E615">
        <v>5027.5</v>
      </c>
      <c r="F615">
        <v>754.13</v>
      </c>
      <c r="G615">
        <v>5781.63</v>
      </c>
    </row>
    <row r="616" spans="1:7" x14ac:dyDescent="0.35">
      <c r="A616" s="178" t="s">
        <v>1181</v>
      </c>
      <c r="B616" s="178" t="s">
        <v>1853</v>
      </c>
      <c r="C616" s="178" t="s">
        <v>791</v>
      </c>
      <c r="D616" s="178" t="s">
        <v>57</v>
      </c>
      <c r="E616">
        <v>989</v>
      </c>
      <c r="F616">
        <v>148.35</v>
      </c>
      <c r="G616">
        <v>1137.3499999999999</v>
      </c>
    </row>
    <row r="617" spans="1:7" x14ac:dyDescent="0.35">
      <c r="A617" s="178" t="s">
        <v>1854</v>
      </c>
      <c r="B617" s="178" t="s">
        <v>1855</v>
      </c>
      <c r="C617" s="178" t="s">
        <v>791</v>
      </c>
      <c r="D617" s="178" t="s">
        <v>1856</v>
      </c>
      <c r="E617">
        <v>15790</v>
      </c>
      <c r="F617">
        <v>2368.5</v>
      </c>
      <c r="G617">
        <v>18158.5</v>
      </c>
    </row>
    <row r="618" spans="1:7" x14ac:dyDescent="0.35">
      <c r="A618" s="178" t="s">
        <v>746</v>
      </c>
      <c r="B618" s="178" t="s">
        <v>1857</v>
      </c>
      <c r="C618" s="178" t="s">
        <v>791</v>
      </c>
      <c r="D618" s="178" t="s">
        <v>57</v>
      </c>
      <c r="E618">
        <v>3029.1</v>
      </c>
      <c r="F618">
        <v>454.37</v>
      </c>
      <c r="G618">
        <v>3483.47</v>
      </c>
    </row>
    <row r="619" spans="1:7" x14ac:dyDescent="0.35">
      <c r="A619" s="178" t="s">
        <v>1598</v>
      </c>
      <c r="B619" s="178" t="s">
        <v>1858</v>
      </c>
      <c r="C619" s="178" t="s">
        <v>791</v>
      </c>
      <c r="D619" s="178" t="s">
        <v>57</v>
      </c>
      <c r="E619">
        <v>3675</v>
      </c>
      <c r="F619">
        <v>551.25</v>
      </c>
      <c r="G619">
        <v>4226.25</v>
      </c>
    </row>
    <row r="620" spans="1:7" x14ac:dyDescent="0.35">
      <c r="A620" s="178" t="s">
        <v>821</v>
      </c>
      <c r="B620" s="178" t="s">
        <v>1859</v>
      </c>
      <c r="C620" s="178" t="s">
        <v>791</v>
      </c>
      <c r="D620" s="178" t="s">
        <v>57</v>
      </c>
      <c r="E620">
        <v>18638.400000000001</v>
      </c>
      <c r="F620">
        <v>2795.76</v>
      </c>
      <c r="G620">
        <v>21434.16</v>
      </c>
    </row>
    <row r="621" spans="1:7" x14ac:dyDescent="0.35">
      <c r="A621" s="178" t="s">
        <v>1434</v>
      </c>
      <c r="B621" s="178" t="s">
        <v>1860</v>
      </c>
      <c r="C621" s="178" t="s">
        <v>791</v>
      </c>
      <c r="D621" s="178" t="s">
        <v>1861</v>
      </c>
      <c r="E621">
        <v>27833</v>
      </c>
      <c r="F621">
        <v>4174.95</v>
      </c>
      <c r="G621">
        <v>32007.95</v>
      </c>
    </row>
    <row r="622" spans="1:7" x14ac:dyDescent="0.35">
      <c r="A622" s="178" t="s">
        <v>1862</v>
      </c>
      <c r="B622" s="178" t="s">
        <v>1863</v>
      </c>
      <c r="C622" s="178" t="s">
        <v>791</v>
      </c>
      <c r="D622" s="178" t="s">
        <v>1864</v>
      </c>
      <c r="E622">
        <v>4121.7</v>
      </c>
      <c r="F622">
        <v>618.26</v>
      </c>
      <c r="G622">
        <v>4739.96</v>
      </c>
    </row>
    <row r="623" spans="1:7" x14ac:dyDescent="0.35">
      <c r="A623" s="178" t="s">
        <v>1865</v>
      </c>
      <c r="B623" s="178" t="s">
        <v>1866</v>
      </c>
      <c r="C623" s="178" t="s">
        <v>791</v>
      </c>
      <c r="D623" s="178" t="s">
        <v>57</v>
      </c>
      <c r="E623">
        <v>659.6</v>
      </c>
      <c r="F623">
        <v>98.94</v>
      </c>
      <c r="G623">
        <v>758.54</v>
      </c>
    </row>
    <row r="624" spans="1:7" x14ac:dyDescent="0.35">
      <c r="A624" s="178" t="s">
        <v>1168</v>
      </c>
      <c r="B624" s="178" t="s">
        <v>1867</v>
      </c>
      <c r="C624" s="178" t="s">
        <v>791</v>
      </c>
      <c r="D624" s="178" t="s">
        <v>57</v>
      </c>
      <c r="E624">
        <v>2562.5</v>
      </c>
      <c r="F624">
        <v>384.38</v>
      </c>
      <c r="G624">
        <v>2946.88</v>
      </c>
    </row>
    <row r="625" spans="1:7" x14ac:dyDescent="0.35">
      <c r="A625" s="178" t="s">
        <v>1133</v>
      </c>
      <c r="B625" s="178" t="s">
        <v>1868</v>
      </c>
      <c r="C625" s="178" t="s">
        <v>791</v>
      </c>
      <c r="D625" s="178" t="s">
        <v>57</v>
      </c>
      <c r="E625">
        <v>7876.8</v>
      </c>
      <c r="F625">
        <v>1181.52</v>
      </c>
      <c r="G625">
        <v>9058.32</v>
      </c>
    </row>
    <row r="626" spans="1:7" x14ac:dyDescent="0.35">
      <c r="A626" s="178" t="s">
        <v>793</v>
      </c>
      <c r="B626" s="178" t="s">
        <v>1869</v>
      </c>
      <c r="C626" s="178" t="s">
        <v>791</v>
      </c>
      <c r="D626">
        <v>38038</v>
      </c>
      <c r="E626">
        <v>2164.8000000000002</v>
      </c>
      <c r="F626">
        <v>324.72000000000003</v>
      </c>
      <c r="G626">
        <v>2489.52</v>
      </c>
    </row>
    <row r="627" spans="1:7" x14ac:dyDescent="0.35">
      <c r="A627" s="178" t="s">
        <v>1543</v>
      </c>
      <c r="B627" s="178" t="s">
        <v>1870</v>
      </c>
      <c r="C627" s="178" t="s">
        <v>791</v>
      </c>
      <c r="D627" s="178" t="s">
        <v>57</v>
      </c>
      <c r="E627">
        <v>4345.2</v>
      </c>
      <c r="F627">
        <v>651.78</v>
      </c>
      <c r="G627">
        <v>4996.9799999999996</v>
      </c>
    </row>
    <row r="628" spans="1:7" x14ac:dyDescent="0.35">
      <c r="A628" s="178" t="s">
        <v>781</v>
      </c>
      <c r="B628" s="178" t="s">
        <v>1871</v>
      </c>
      <c r="C628" s="178" t="s">
        <v>791</v>
      </c>
      <c r="D628" s="178" t="s">
        <v>57</v>
      </c>
      <c r="E628">
        <v>1371.6</v>
      </c>
      <c r="F628">
        <v>205.74</v>
      </c>
      <c r="G628">
        <v>1577.34</v>
      </c>
    </row>
    <row r="629" spans="1:7" x14ac:dyDescent="0.35">
      <c r="A629" s="178" t="s">
        <v>799</v>
      </c>
      <c r="B629" s="178" t="s">
        <v>1872</v>
      </c>
      <c r="C629" s="178" t="s">
        <v>791</v>
      </c>
      <c r="D629" s="178" t="s">
        <v>57</v>
      </c>
      <c r="E629">
        <v>2210</v>
      </c>
      <c r="F629">
        <v>331.5</v>
      </c>
      <c r="G629">
        <v>2541.5</v>
      </c>
    </row>
    <row r="630" spans="1:7" x14ac:dyDescent="0.35">
      <c r="A630" s="178" t="s">
        <v>1312</v>
      </c>
      <c r="B630" s="178" t="s">
        <v>1873</v>
      </c>
      <c r="C630" s="178" t="s">
        <v>791</v>
      </c>
      <c r="D630" s="178" t="s">
        <v>57</v>
      </c>
      <c r="E630">
        <v>13484.9</v>
      </c>
      <c r="F630">
        <v>2022.74</v>
      </c>
      <c r="G630">
        <v>15507.64</v>
      </c>
    </row>
    <row r="631" spans="1:7" x14ac:dyDescent="0.35">
      <c r="A631" s="178" t="s">
        <v>1874</v>
      </c>
      <c r="B631" s="178" t="s">
        <v>1875</v>
      </c>
      <c r="C631" s="178" t="s">
        <v>791</v>
      </c>
      <c r="D631" s="178" t="s">
        <v>1876</v>
      </c>
      <c r="E631">
        <v>10828.8</v>
      </c>
      <c r="F631">
        <v>1624.32</v>
      </c>
      <c r="G631">
        <v>12453.12</v>
      </c>
    </row>
    <row r="632" spans="1:7" x14ac:dyDescent="0.35">
      <c r="A632" s="178" t="s">
        <v>1877</v>
      </c>
      <c r="B632" s="178" t="s">
        <v>1878</v>
      </c>
      <c r="C632" s="178" t="s">
        <v>791</v>
      </c>
      <c r="D632" s="178" t="s">
        <v>57</v>
      </c>
      <c r="E632">
        <v>15517.05</v>
      </c>
      <c r="F632">
        <v>2327.56</v>
      </c>
      <c r="G632">
        <v>17844.61</v>
      </c>
    </row>
    <row r="633" spans="1:7" x14ac:dyDescent="0.35">
      <c r="A633" s="178" t="s">
        <v>1265</v>
      </c>
      <c r="B633" s="178" t="s">
        <v>1879</v>
      </c>
      <c r="C633" s="178" t="s">
        <v>791</v>
      </c>
      <c r="D633" s="178" t="s">
        <v>57</v>
      </c>
      <c r="E633">
        <v>4460.05</v>
      </c>
      <c r="F633">
        <v>669.02</v>
      </c>
      <c r="G633">
        <v>5129.07</v>
      </c>
    </row>
    <row r="634" spans="1:7" x14ac:dyDescent="0.35">
      <c r="A634" s="178" t="s">
        <v>1880</v>
      </c>
      <c r="B634" s="178" t="s">
        <v>1881</v>
      </c>
      <c r="C634" s="178" t="s">
        <v>791</v>
      </c>
      <c r="D634" s="178" t="s">
        <v>1882</v>
      </c>
      <c r="E634">
        <v>40508.44</v>
      </c>
      <c r="F634">
        <v>6076.27</v>
      </c>
      <c r="G634">
        <v>46584.71</v>
      </c>
    </row>
    <row r="635" spans="1:7" x14ac:dyDescent="0.35">
      <c r="A635" s="178" t="s">
        <v>1883</v>
      </c>
      <c r="B635" s="178" t="s">
        <v>1884</v>
      </c>
      <c r="C635" s="178" t="s">
        <v>791</v>
      </c>
      <c r="D635" s="178" t="s">
        <v>57</v>
      </c>
      <c r="E635">
        <v>2784.65</v>
      </c>
      <c r="F635">
        <v>417.7</v>
      </c>
      <c r="G635">
        <v>3202.35</v>
      </c>
    </row>
    <row r="636" spans="1:7" x14ac:dyDescent="0.35">
      <c r="A636" s="178" t="s">
        <v>1885</v>
      </c>
      <c r="B636" s="178" t="s">
        <v>1886</v>
      </c>
      <c r="C636" s="178" t="s">
        <v>791</v>
      </c>
      <c r="D636" s="178" t="s">
        <v>57</v>
      </c>
      <c r="E636">
        <v>11048.55</v>
      </c>
      <c r="F636">
        <v>1657.29</v>
      </c>
      <c r="G636">
        <v>12705.84</v>
      </c>
    </row>
    <row r="637" spans="1:7" x14ac:dyDescent="0.35">
      <c r="A637" s="178" t="s">
        <v>793</v>
      </c>
      <c r="B637" s="178" t="s">
        <v>1887</v>
      </c>
      <c r="C637" s="178" t="s">
        <v>791</v>
      </c>
      <c r="D637">
        <v>38151</v>
      </c>
      <c r="E637">
        <v>5148</v>
      </c>
      <c r="F637">
        <v>772.2</v>
      </c>
      <c r="G637">
        <v>5920.2</v>
      </c>
    </row>
    <row r="638" spans="1:7" x14ac:dyDescent="0.35">
      <c r="A638" s="178" t="s">
        <v>795</v>
      </c>
      <c r="B638" s="178" t="s">
        <v>1888</v>
      </c>
      <c r="C638" s="178" t="s">
        <v>791</v>
      </c>
      <c r="D638">
        <v>49355</v>
      </c>
      <c r="E638">
        <v>3008</v>
      </c>
      <c r="F638">
        <v>451.2</v>
      </c>
      <c r="G638">
        <v>3459.2</v>
      </c>
    </row>
    <row r="639" spans="1:7" x14ac:dyDescent="0.35">
      <c r="A639" s="178" t="s">
        <v>1889</v>
      </c>
      <c r="B639" s="178" t="s">
        <v>1890</v>
      </c>
      <c r="C639" s="178" t="s">
        <v>791</v>
      </c>
      <c r="D639" s="178" t="s">
        <v>57</v>
      </c>
      <c r="E639">
        <v>1266.3</v>
      </c>
      <c r="F639">
        <v>189.95</v>
      </c>
      <c r="G639">
        <v>1456.25</v>
      </c>
    </row>
    <row r="640" spans="1:7" x14ac:dyDescent="0.35">
      <c r="A640" s="178" t="s">
        <v>795</v>
      </c>
      <c r="B640" s="178" t="s">
        <v>1891</v>
      </c>
      <c r="C640" s="178" t="s">
        <v>791</v>
      </c>
      <c r="D640" s="178" t="s">
        <v>57</v>
      </c>
      <c r="E640">
        <v>1431.75</v>
      </c>
      <c r="F640">
        <v>214.76</v>
      </c>
      <c r="G640">
        <v>1646.51</v>
      </c>
    </row>
    <row r="641" spans="1:7" x14ac:dyDescent="0.35">
      <c r="A641" s="178" t="s">
        <v>885</v>
      </c>
      <c r="B641" s="178" t="s">
        <v>1892</v>
      </c>
      <c r="C641" s="178" t="s">
        <v>791</v>
      </c>
      <c r="D641" s="178" t="s">
        <v>57</v>
      </c>
      <c r="E641">
        <v>10334.1</v>
      </c>
      <c r="F641">
        <v>1550.12</v>
      </c>
      <c r="G641">
        <v>11884.22</v>
      </c>
    </row>
    <row r="642" spans="1:7" x14ac:dyDescent="0.35">
      <c r="A642" s="178" t="s">
        <v>1893</v>
      </c>
      <c r="B642" s="178" t="s">
        <v>1894</v>
      </c>
      <c r="C642" s="178" t="s">
        <v>791</v>
      </c>
      <c r="D642" s="178" t="s">
        <v>57</v>
      </c>
      <c r="E642">
        <v>9409.7000000000007</v>
      </c>
      <c r="F642">
        <v>1411.46</v>
      </c>
      <c r="G642">
        <v>10821.16</v>
      </c>
    </row>
    <row r="643" spans="1:7" x14ac:dyDescent="0.35">
      <c r="A643" s="178" t="s">
        <v>1893</v>
      </c>
      <c r="B643" s="178" t="s">
        <v>1895</v>
      </c>
      <c r="C643" s="178" t="s">
        <v>791</v>
      </c>
      <c r="D643" s="178" t="s">
        <v>57</v>
      </c>
      <c r="E643">
        <v>12112.7</v>
      </c>
      <c r="F643">
        <v>1816.91</v>
      </c>
      <c r="G643">
        <v>13929.61</v>
      </c>
    </row>
    <row r="644" spans="1:7" x14ac:dyDescent="0.35">
      <c r="A644" s="178" t="s">
        <v>1346</v>
      </c>
      <c r="B644" s="178" t="s">
        <v>1896</v>
      </c>
      <c r="C644" s="178" t="s">
        <v>791</v>
      </c>
      <c r="D644" s="178" t="s">
        <v>57</v>
      </c>
      <c r="E644">
        <v>1771.6</v>
      </c>
      <c r="F644">
        <v>265.74</v>
      </c>
      <c r="G644">
        <v>2037.34</v>
      </c>
    </row>
    <row r="645" spans="1:7" x14ac:dyDescent="0.35">
      <c r="A645" s="178" t="s">
        <v>1897</v>
      </c>
      <c r="B645" s="178" t="s">
        <v>1898</v>
      </c>
      <c r="C645" s="178" t="s">
        <v>791</v>
      </c>
      <c r="D645" s="178" t="s">
        <v>57</v>
      </c>
      <c r="E645">
        <v>2523.4</v>
      </c>
      <c r="F645">
        <v>378.51</v>
      </c>
      <c r="G645">
        <v>2901.91</v>
      </c>
    </row>
    <row r="646" spans="1:7" x14ac:dyDescent="0.35">
      <c r="A646" s="178" t="s">
        <v>1899</v>
      </c>
      <c r="B646" s="178" t="s">
        <v>1900</v>
      </c>
      <c r="C646" s="178" t="s">
        <v>791</v>
      </c>
      <c r="D646" s="178" t="s">
        <v>57</v>
      </c>
      <c r="E646">
        <v>1576.75</v>
      </c>
      <c r="F646">
        <v>236.51</v>
      </c>
      <c r="G646">
        <v>1813.26</v>
      </c>
    </row>
    <row r="647" spans="1:7" x14ac:dyDescent="0.35">
      <c r="A647" s="178" t="s">
        <v>1901</v>
      </c>
      <c r="B647" s="178" t="s">
        <v>1902</v>
      </c>
      <c r="C647" s="178" t="s">
        <v>791</v>
      </c>
      <c r="D647" s="178" t="s">
        <v>57</v>
      </c>
      <c r="E647">
        <v>2781.3</v>
      </c>
      <c r="F647">
        <v>417.2</v>
      </c>
      <c r="G647">
        <v>3198.5</v>
      </c>
    </row>
    <row r="648" spans="1:7" x14ac:dyDescent="0.35">
      <c r="A648" s="178" t="s">
        <v>802</v>
      </c>
      <c r="B648" s="178" t="s">
        <v>1903</v>
      </c>
      <c r="C648" s="178" t="s">
        <v>791</v>
      </c>
      <c r="D648" s="178" t="s">
        <v>57</v>
      </c>
      <c r="E648">
        <v>5397.5</v>
      </c>
      <c r="F648">
        <v>809.63</v>
      </c>
      <c r="G648">
        <v>6207.13</v>
      </c>
    </row>
    <row r="649" spans="1:7" x14ac:dyDescent="0.35">
      <c r="A649" s="178" t="s">
        <v>1904</v>
      </c>
      <c r="B649" s="178" t="s">
        <v>1905</v>
      </c>
      <c r="C649" s="178" t="s">
        <v>791</v>
      </c>
      <c r="D649" s="178" t="s">
        <v>57</v>
      </c>
      <c r="E649">
        <v>7799.3</v>
      </c>
      <c r="F649">
        <v>1169.9000000000001</v>
      </c>
      <c r="G649">
        <v>8969.2000000000007</v>
      </c>
    </row>
    <row r="650" spans="1:7" x14ac:dyDescent="0.35">
      <c r="A650" s="178" t="s">
        <v>988</v>
      </c>
      <c r="B650" s="178" t="s">
        <v>1906</v>
      </c>
      <c r="C650" s="178" t="s">
        <v>791</v>
      </c>
      <c r="D650" s="178" t="s">
        <v>57</v>
      </c>
      <c r="E650">
        <v>5975.2</v>
      </c>
      <c r="F650">
        <v>896.28</v>
      </c>
      <c r="G650">
        <v>6871.48</v>
      </c>
    </row>
    <row r="651" spans="1:7" x14ac:dyDescent="0.35">
      <c r="A651" s="178" t="s">
        <v>1085</v>
      </c>
      <c r="B651" s="178" t="s">
        <v>1907</v>
      </c>
      <c r="C651" s="178" t="s">
        <v>791</v>
      </c>
      <c r="D651" s="178" t="s">
        <v>57</v>
      </c>
      <c r="E651">
        <v>12431.65</v>
      </c>
      <c r="F651">
        <v>1864.75</v>
      </c>
      <c r="G651">
        <v>14296.4</v>
      </c>
    </row>
    <row r="652" spans="1:7" x14ac:dyDescent="0.35">
      <c r="A652" s="178" t="s">
        <v>1908</v>
      </c>
      <c r="B652" s="178" t="s">
        <v>1909</v>
      </c>
      <c r="C652" s="178" t="s">
        <v>791</v>
      </c>
      <c r="D652" s="178" t="s">
        <v>57</v>
      </c>
      <c r="E652">
        <v>1197.2</v>
      </c>
      <c r="F652">
        <v>179.58</v>
      </c>
      <c r="G652">
        <v>1376.78</v>
      </c>
    </row>
    <row r="653" spans="1:7" x14ac:dyDescent="0.35">
      <c r="A653" s="178" t="s">
        <v>1910</v>
      </c>
      <c r="B653" s="178" t="s">
        <v>1911</v>
      </c>
      <c r="C653" s="178" t="s">
        <v>791</v>
      </c>
      <c r="D653" s="178" t="s">
        <v>57</v>
      </c>
      <c r="E653">
        <v>1456.35</v>
      </c>
      <c r="F653">
        <v>218.45</v>
      </c>
      <c r="G653">
        <v>1674.8</v>
      </c>
    </row>
    <row r="654" spans="1:7" x14ac:dyDescent="0.35">
      <c r="A654" s="178" t="s">
        <v>1912</v>
      </c>
      <c r="B654" s="178" t="s">
        <v>1913</v>
      </c>
      <c r="C654" s="178" t="s">
        <v>791</v>
      </c>
      <c r="D654" s="178" t="s">
        <v>57</v>
      </c>
      <c r="E654">
        <v>1436.5</v>
      </c>
      <c r="F654">
        <v>215.48</v>
      </c>
      <c r="G654">
        <v>1651.98</v>
      </c>
    </row>
    <row r="655" spans="1:7" x14ac:dyDescent="0.35">
      <c r="A655" s="178" t="s">
        <v>988</v>
      </c>
      <c r="B655" s="178" t="s">
        <v>1914</v>
      </c>
      <c r="C655" s="178" t="s">
        <v>791</v>
      </c>
      <c r="D655" s="178" t="s">
        <v>57</v>
      </c>
      <c r="E655">
        <v>760.5</v>
      </c>
      <c r="F655">
        <v>114.08</v>
      </c>
      <c r="G655">
        <v>874.58</v>
      </c>
    </row>
    <row r="656" spans="1:7" x14ac:dyDescent="0.35">
      <c r="A656" s="178" t="s">
        <v>1915</v>
      </c>
      <c r="B656" s="178" t="s">
        <v>1916</v>
      </c>
      <c r="C656" s="178" t="s">
        <v>791</v>
      </c>
      <c r="D656" s="178" t="s">
        <v>57</v>
      </c>
      <c r="E656">
        <v>3652.8</v>
      </c>
      <c r="F656">
        <v>547.91999999999996</v>
      </c>
      <c r="G656">
        <v>4200.72</v>
      </c>
    </row>
    <row r="657" spans="1:7" x14ac:dyDescent="0.35">
      <c r="A657" s="178" t="s">
        <v>1917</v>
      </c>
      <c r="B657" s="178" t="s">
        <v>1918</v>
      </c>
      <c r="C657" s="178" t="s">
        <v>791</v>
      </c>
      <c r="D657" s="178" t="s">
        <v>57</v>
      </c>
      <c r="E657">
        <v>1771.6</v>
      </c>
      <c r="F657">
        <v>265.74</v>
      </c>
      <c r="G657">
        <v>2037.34</v>
      </c>
    </row>
    <row r="658" spans="1:7" x14ac:dyDescent="0.35">
      <c r="A658" s="178" t="s">
        <v>1919</v>
      </c>
      <c r="B658" s="178" t="s">
        <v>1920</v>
      </c>
      <c r="C658" s="178" t="s">
        <v>791</v>
      </c>
      <c r="D658" s="178" t="s">
        <v>1921</v>
      </c>
      <c r="E658">
        <v>1682.7</v>
      </c>
      <c r="F658">
        <v>252.41</v>
      </c>
      <c r="G658">
        <v>1935.11</v>
      </c>
    </row>
    <row r="659" spans="1:7" x14ac:dyDescent="0.35">
      <c r="A659" s="178" t="s">
        <v>1922</v>
      </c>
      <c r="B659" s="178" t="s">
        <v>1923</v>
      </c>
      <c r="C659" s="178" t="s">
        <v>791</v>
      </c>
      <c r="D659" s="178" t="s">
        <v>57</v>
      </c>
      <c r="E659">
        <v>5733</v>
      </c>
      <c r="F659">
        <v>859.95</v>
      </c>
      <c r="G659">
        <v>6592.95</v>
      </c>
    </row>
    <row r="660" spans="1:7" x14ac:dyDescent="0.35">
      <c r="A660" s="178" t="s">
        <v>1924</v>
      </c>
      <c r="B660" s="178" t="s">
        <v>1925</v>
      </c>
      <c r="C660" s="178" t="s">
        <v>791</v>
      </c>
      <c r="D660" s="178" t="s">
        <v>57</v>
      </c>
      <c r="E660">
        <v>2580</v>
      </c>
      <c r="F660">
        <v>387.01</v>
      </c>
      <c r="G660">
        <v>2967.01</v>
      </c>
    </row>
    <row r="661" spans="1:7" x14ac:dyDescent="0.35">
      <c r="A661" s="178" t="s">
        <v>988</v>
      </c>
      <c r="B661" s="178" t="s">
        <v>1926</v>
      </c>
      <c r="C661" s="178" t="s">
        <v>791</v>
      </c>
      <c r="D661" s="178" t="s">
        <v>57</v>
      </c>
      <c r="E661">
        <v>868.6</v>
      </c>
      <c r="F661">
        <v>130.29</v>
      </c>
      <c r="G661">
        <v>998.89</v>
      </c>
    </row>
    <row r="662" spans="1:7" x14ac:dyDescent="0.35">
      <c r="A662" s="178" t="s">
        <v>793</v>
      </c>
      <c r="B662" s="178" t="s">
        <v>1927</v>
      </c>
      <c r="C662" s="178" t="s">
        <v>791</v>
      </c>
      <c r="D662">
        <v>38162</v>
      </c>
      <c r="E662">
        <v>69948</v>
      </c>
      <c r="F662">
        <v>10492.2</v>
      </c>
      <c r="G662">
        <v>80440.2</v>
      </c>
    </row>
    <row r="663" spans="1:7" x14ac:dyDescent="0.35">
      <c r="A663" s="178" t="s">
        <v>1928</v>
      </c>
      <c r="B663" s="178" t="s">
        <v>1929</v>
      </c>
      <c r="C663" s="178" t="s">
        <v>791</v>
      </c>
      <c r="D663" s="178" t="s">
        <v>57</v>
      </c>
      <c r="E663">
        <v>1602</v>
      </c>
      <c r="F663">
        <v>240.3</v>
      </c>
      <c r="G663">
        <v>1842.3</v>
      </c>
    </row>
    <row r="664" spans="1:7" x14ac:dyDescent="0.35">
      <c r="A664" s="178" t="s">
        <v>1930</v>
      </c>
      <c r="B664" s="178" t="s">
        <v>1931</v>
      </c>
      <c r="C664" s="178" t="s">
        <v>791</v>
      </c>
      <c r="D664" s="178" t="s">
        <v>57</v>
      </c>
      <c r="E664">
        <v>908.85</v>
      </c>
      <c r="F664">
        <v>136.33000000000001</v>
      </c>
      <c r="G664">
        <v>1045.18</v>
      </c>
    </row>
    <row r="665" spans="1:7" x14ac:dyDescent="0.35">
      <c r="A665" s="178" t="s">
        <v>990</v>
      </c>
      <c r="B665" s="178" t="s">
        <v>1932</v>
      </c>
      <c r="C665" s="178" t="s">
        <v>791</v>
      </c>
      <c r="D665" s="178" t="s">
        <v>1933</v>
      </c>
      <c r="E665">
        <v>4809.8500000000004</v>
      </c>
      <c r="F665">
        <v>721.47</v>
      </c>
      <c r="G665">
        <v>5531.32</v>
      </c>
    </row>
    <row r="666" spans="1:7" x14ac:dyDescent="0.35">
      <c r="A666" s="178" t="s">
        <v>1120</v>
      </c>
      <c r="B666" s="178" t="s">
        <v>1934</v>
      </c>
      <c r="C666" s="178" t="s">
        <v>791</v>
      </c>
      <c r="D666" s="178" t="s">
        <v>57</v>
      </c>
      <c r="E666">
        <v>16477.5</v>
      </c>
      <c r="F666">
        <v>2471.63</v>
      </c>
      <c r="G666">
        <v>18949.13</v>
      </c>
    </row>
    <row r="667" spans="1:7" x14ac:dyDescent="0.35">
      <c r="A667" s="178" t="s">
        <v>1120</v>
      </c>
      <c r="B667" s="178" t="s">
        <v>1935</v>
      </c>
      <c r="C667" s="178" t="s">
        <v>791</v>
      </c>
      <c r="D667" s="178" t="s">
        <v>1936</v>
      </c>
      <c r="E667">
        <v>2950</v>
      </c>
      <c r="F667">
        <v>442.5</v>
      </c>
      <c r="G667">
        <v>3392.5</v>
      </c>
    </row>
    <row r="668" spans="1:7" x14ac:dyDescent="0.35">
      <c r="A668" s="178" t="s">
        <v>988</v>
      </c>
      <c r="B668" s="178" t="s">
        <v>1937</v>
      </c>
      <c r="C668" s="178" t="s">
        <v>791</v>
      </c>
      <c r="D668" s="178" t="s">
        <v>57</v>
      </c>
      <c r="E668">
        <v>1646.4</v>
      </c>
      <c r="F668">
        <v>246.96</v>
      </c>
      <c r="G668">
        <v>1893.36</v>
      </c>
    </row>
    <row r="669" spans="1:7" x14ac:dyDescent="0.35">
      <c r="A669" s="178" t="s">
        <v>988</v>
      </c>
      <c r="B669" s="178" t="s">
        <v>1938</v>
      </c>
      <c r="C669" s="178" t="s">
        <v>791</v>
      </c>
      <c r="D669" s="178" t="s">
        <v>57</v>
      </c>
      <c r="E669">
        <v>3420.5</v>
      </c>
      <c r="F669">
        <v>513.08000000000004</v>
      </c>
      <c r="G669">
        <v>3933.58</v>
      </c>
    </row>
    <row r="670" spans="1:7" x14ac:dyDescent="0.35">
      <c r="A670" s="178" t="s">
        <v>774</v>
      </c>
      <c r="B670" s="178" t="s">
        <v>1939</v>
      </c>
      <c r="C670" s="178" t="s">
        <v>791</v>
      </c>
      <c r="D670" s="178" t="s">
        <v>57</v>
      </c>
      <c r="E670">
        <v>3588.15</v>
      </c>
      <c r="F670">
        <v>538.22</v>
      </c>
      <c r="G670">
        <v>4126.37</v>
      </c>
    </row>
    <row r="671" spans="1:7" x14ac:dyDescent="0.35">
      <c r="A671" s="178" t="s">
        <v>1940</v>
      </c>
      <c r="B671" s="178" t="s">
        <v>1941</v>
      </c>
      <c r="C671" s="178" t="s">
        <v>791</v>
      </c>
      <c r="D671" s="178" t="s">
        <v>57</v>
      </c>
      <c r="E671">
        <v>5289.6</v>
      </c>
      <c r="F671">
        <v>793.44</v>
      </c>
      <c r="G671">
        <v>6083.04</v>
      </c>
    </row>
    <row r="672" spans="1:7" x14ac:dyDescent="0.35">
      <c r="A672" s="178" t="s">
        <v>1942</v>
      </c>
      <c r="B672" s="178" t="s">
        <v>1943</v>
      </c>
      <c r="C672" s="178" t="s">
        <v>791</v>
      </c>
      <c r="D672" s="178" t="s">
        <v>57</v>
      </c>
      <c r="E672" s="178" t="s">
        <v>57</v>
      </c>
      <c r="F672" s="178" t="s">
        <v>57</v>
      </c>
    </row>
    <row r="673" spans="1:7" x14ac:dyDescent="0.35">
      <c r="A673" s="178" t="s">
        <v>1066</v>
      </c>
      <c r="B673" s="178" t="s">
        <v>1944</v>
      </c>
      <c r="C673" s="178" t="s">
        <v>791</v>
      </c>
      <c r="D673" s="178" t="s">
        <v>57</v>
      </c>
      <c r="E673">
        <v>1860.61</v>
      </c>
      <c r="F673">
        <v>279.10000000000002</v>
      </c>
      <c r="G673">
        <v>2139.71</v>
      </c>
    </row>
    <row r="674" spans="1:7" x14ac:dyDescent="0.35">
      <c r="A674" s="178" t="s">
        <v>1135</v>
      </c>
      <c r="B674" s="178" t="s">
        <v>1945</v>
      </c>
      <c r="C674" s="178" t="s">
        <v>791</v>
      </c>
      <c r="D674" s="178" t="s">
        <v>57</v>
      </c>
      <c r="E674">
        <v>1246.0999999999999</v>
      </c>
      <c r="F674">
        <v>186.92</v>
      </c>
      <c r="G674">
        <v>1433.02</v>
      </c>
    </row>
    <row r="675" spans="1:7" x14ac:dyDescent="0.35">
      <c r="A675" s="178" t="s">
        <v>1070</v>
      </c>
      <c r="B675" s="178" t="s">
        <v>1946</v>
      </c>
      <c r="C675" s="178" t="s">
        <v>791</v>
      </c>
      <c r="D675" s="178" t="s">
        <v>57</v>
      </c>
      <c r="E675">
        <v>813.4</v>
      </c>
      <c r="F675">
        <v>122.01</v>
      </c>
      <c r="G675">
        <v>935.41</v>
      </c>
    </row>
    <row r="676" spans="1:7" x14ac:dyDescent="0.35">
      <c r="A676" s="178" t="s">
        <v>1591</v>
      </c>
      <c r="B676" s="178" t="s">
        <v>1947</v>
      </c>
      <c r="C676" s="178" t="s">
        <v>791</v>
      </c>
      <c r="D676" s="178" t="s">
        <v>57</v>
      </c>
      <c r="E676">
        <v>3416.7</v>
      </c>
      <c r="F676">
        <v>512.51</v>
      </c>
      <c r="G676">
        <v>3929.21</v>
      </c>
    </row>
    <row r="677" spans="1:7" x14ac:dyDescent="0.35">
      <c r="A677" s="178" t="s">
        <v>1948</v>
      </c>
      <c r="B677" s="178" t="s">
        <v>1949</v>
      </c>
      <c r="C677" s="178" t="s">
        <v>791</v>
      </c>
      <c r="D677" s="178" t="s">
        <v>57</v>
      </c>
      <c r="E677">
        <v>1335</v>
      </c>
      <c r="F677">
        <v>200.25</v>
      </c>
      <c r="G677">
        <v>1535.25</v>
      </c>
    </row>
    <row r="678" spans="1:7" x14ac:dyDescent="0.35">
      <c r="A678" s="178" t="s">
        <v>988</v>
      </c>
      <c r="B678" s="178" t="s">
        <v>1950</v>
      </c>
      <c r="C678" s="178" t="s">
        <v>791</v>
      </c>
      <c r="D678" s="178" t="s">
        <v>57</v>
      </c>
      <c r="E678">
        <v>1280.4000000000001</v>
      </c>
      <c r="F678">
        <v>192.06</v>
      </c>
      <c r="G678">
        <v>1472.46</v>
      </c>
    </row>
    <row r="679" spans="1:7" x14ac:dyDescent="0.35">
      <c r="A679" s="178" t="s">
        <v>1951</v>
      </c>
      <c r="B679" s="178" t="s">
        <v>1952</v>
      </c>
      <c r="C679" s="178" t="s">
        <v>791</v>
      </c>
      <c r="D679" s="178" t="s">
        <v>57</v>
      </c>
      <c r="E679">
        <v>1030.4000000000001</v>
      </c>
      <c r="F679">
        <v>154.56</v>
      </c>
      <c r="G679">
        <v>1184.96</v>
      </c>
    </row>
    <row r="680" spans="1:7" x14ac:dyDescent="0.35">
      <c r="A680" s="178" t="s">
        <v>1039</v>
      </c>
      <c r="B680" s="178" t="s">
        <v>1953</v>
      </c>
      <c r="C680" s="178" t="s">
        <v>807</v>
      </c>
      <c r="D680" s="178" t="s">
        <v>57</v>
      </c>
      <c r="E680">
        <v>15219</v>
      </c>
      <c r="F680">
        <v>2282.85</v>
      </c>
      <c r="G680">
        <v>17501.849999999999</v>
      </c>
    </row>
    <row r="681" spans="1:7" x14ac:dyDescent="0.35">
      <c r="A681" s="178" t="s">
        <v>1954</v>
      </c>
      <c r="B681" s="178" t="s">
        <v>1955</v>
      </c>
      <c r="C681" s="178" t="s">
        <v>807</v>
      </c>
      <c r="D681" s="178" t="s">
        <v>1956</v>
      </c>
      <c r="E681">
        <v>3142.8</v>
      </c>
      <c r="F681">
        <v>471.42</v>
      </c>
      <c r="G681">
        <v>3614.22</v>
      </c>
    </row>
    <row r="682" spans="1:7" x14ac:dyDescent="0.35">
      <c r="A682" s="178" t="s">
        <v>1954</v>
      </c>
      <c r="B682" s="178" t="s">
        <v>1957</v>
      </c>
      <c r="C682" s="178" t="s">
        <v>807</v>
      </c>
      <c r="D682" s="178" t="s">
        <v>57</v>
      </c>
      <c r="E682">
        <v>6004.25</v>
      </c>
      <c r="F682">
        <v>900.64</v>
      </c>
      <c r="G682">
        <v>6904.89</v>
      </c>
    </row>
    <row r="683" spans="1:7" x14ac:dyDescent="0.35">
      <c r="A683" s="178" t="s">
        <v>1958</v>
      </c>
      <c r="B683" s="178" t="s">
        <v>1959</v>
      </c>
      <c r="C683" s="178" t="s">
        <v>807</v>
      </c>
      <c r="D683" s="178" t="s">
        <v>57</v>
      </c>
      <c r="E683">
        <v>1400.8</v>
      </c>
      <c r="F683">
        <v>210.12</v>
      </c>
      <c r="G683">
        <v>1610.92</v>
      </c>
    </row>
    <row r="684" spans="1:7" x14ac:dyDescent="0.35">
      <c r="A684" s="178" t="s">
        <v>988</v>
      </c>
      <c r="B684" s="178" t="s">
        <v>1960</v>
      </c>
      <c r="C684" s="178" t="s">
        <v>807</v>
      </c>
      <c r="D684" s="178" t="s">
        <v>57</v>
      </c>
      <c r="E684">
        <v>150</v>
      </c>
      <c r="F684">
        <v>22.5</v>
      </c>
      <c r="G684">
        <v>172.5</v>
      </c>
    </row>
    <row r="685" spans="1:7" x14ac:dyDescent="0.35">
      <c r="A685" s="178" t="s">
        <v>1274</v>
      </c>
      <c r="B685" s="178" t="s">
        <v>1961</v>
      </c>
      <c r="C685" s="178" t="s">
        <v>807</v>
      </c>
      <c r="D685" s="178" t="s">
        <v>1962</v>
      </c>
      <c r="E685">
        <v>2567</v>
      </c>
      <c r="F685">
        <v>385.05</v>
      </c>
      <c r="G685">
        <v>2952.05</v>
      </c>
    </row>
    <row r="686" spans="1:7" x14ac:dyDescent="0.35">
      <c r="A686" s="178" t="s">
        <v>1274</v>
      </c>
      <c r="B686" s="178" t="s">
        <v>1963</v>
      </c>
      <c r="C686" s="178" t="s">
        <v>807</v>
      </c>
      <c r="D686" s="178" t="s">
        <v>1282</v>
      </c>
      <c r="E686">
        <v>1683</v>
      </c>
      <c r="F686">
        <v>252.45</v>
      </c>
      <c r="G686">
        <v>1935.45</v>
      </c>
    </row>
    <row r="687" spans="1:7" x14ac:dyDescent="0.35">
      <c r="A687" s="178" t="s">
        <v>1037</v>
      </c>
      <c r="B687" s="178" t="s">
        <v>1964</v>
      </c>
      <c r="C687" s="178" t="s">
        <v>807</v>
      </c>
      <c r="D687" s="178" t="s">
        <v>1965</v>
      </c>
      <c r="E687">
        <v>9022.5</v>
      </c>
      <c r="F687">
        <v>1353.38</v>
      </c>
      <c r="G687">
        <v>10375.879999999999</v>
      </c>
    </row>
    <row r="688" spans="1:7" x14ac:dyDescent="0.35">
      <c r="A688" s="178" t="s">
        <v>1006</v>
      </c>
      <c r="B688" s="178" t="s">
        <v>1966</v>
      </c>
      <c r="C688" s="178" t="s">
        <v>807</v>
      </c>
      <c r="D688" s="178" t="s">
        <v>57</v>
      </c>
      <c r="E688">
        <v>799.3</v>
      </c>
      <c r="F688">
        <v>119.9</v>
      </c>
      <c r="G688">
        <v>919.2</v>
      </c>
    </row>
    <row r="689" spans="1:7" x14ac:dyDescent="0.35">
      <c r="A689" s="178" t="s">
        <v>975</v>
      </c>
      <c r="B689" s="178" t="s">
        <v>1967</v>
      </c>
      <c r="C689" s="178" t="s">
        <v>807</v>
      </c>
      <c r="D689" s="178" t="s">
        <v>57</v>
      </c>
      <c r="E689">
        <v>8316</v>
      </c>
      <c r="F689">
        <v>1247.4000000000001</v>
      </c>
      <c r="G689">
        <v>9563.4</v>
      </c>
    </row>
    <row r="690" spans="1:7" x14ac:dyDescent="0.35">
      <c r="A690" s="178" t="s">
        <v>1968</v>
      </c>
      <c r="B690" s="178" t="s">
        <v>1969</v>
      </c>
      <c r="C690" s="178" t="s">
        <v>807</v>
      </c>
      <c r="D690" s="178" t="s">
        <v>1970</v>
      </c>
      <c r="E690">
        <v>18152.2</v>
      </c>
      <c r="F690" s="178" t="s">
        <v>57</v>
      </c>
      <c r="G690">
        <v>18152.2</v>
      </c>
    </row>
    <row r="691" spans="1:7" x14ac:dyDescent="0.35">
      <c r="A691" s="178" t="s">
        <v>741</v>
      </c>
      <c r="B691" s="178" t="s">
        <v>1971</v>
      </c>
      <c r="C691" s="178" t="s">
        <v>807</v>
      </c>
      <c r="D691" s="178" t="s">
        <v>57</v>
      </c>
      <c r="E691">
        <v>2507.5</v>
      </c>
      <c r="F691">
        <v>376.13</v>
      </c>
      <c r="G691">
        <v>2883.63</v>
      </c>
    </row>
    <row r="692" spans="1:7" x14ac:dyDescent="0.35">
      <c r="A692" s="178" t="s">
        <v>821</v>
      </c>
      <c r="B692" s="178" t="s">
        <v>1972</v>
      </c>
      <c r="C692" s="178" t="s">
        <v>807</v>
      </c>
      <c r="D692" s="178" t="s">
        <v>57</v>
      </c>
      <c r="E692">
        <v>4368.3999999999996</v>
      </c>
      <c r="F692">
        <v>655.26</v>
      </c>
      <c r="G692">
        <v>5023.66</v>
      </c>
    </row>
    <row r="693" spans="1:7" x14ac:dyDescent="0.35">
      <c r="A693" s="178" t="s">
        <v>1274</v>
      </c>
      <c r="B693" s="178" t="s">
        <v>1973</v>
      </c>
      <c r="C693" s="178" t="s">
        <v>807</v>
      </c>
      <c r="D693" s="178" t="s">
        <v>1974</v>
      </c>
      <c r="E693">
        <v>3404.25</v>
      </c>
      <c r="F693">
        <v>510.64</v>
      </c>
      <c r="G693">
        <v>3914.89</v>
      </c>
    </row>
    <row r="694" spans="1:7" x14ac:dyDescent="0.35">
      <c r="A694" s="178" t="s">
        <v>741</v>
      </c>
      <c r="B694" s="178" t="s">
        <v>1975</v>
      </c>
      <c r="C694" s="178" t="s">
        <v>807</v>
      </c>
      <c r="D694" s="178" t="s">
        <v>57</v>
      </c>
      <c r="E694">
        <v>6651.25</v>
      </c>
      <c r="F694">
        <v>997.69</v>
      </c>
      <c r="G694">
        <v>7648.94</v>
      </c>
    </row>
    <row r="695" spans="1:7" x14ac:dyDescent="0.35">
      <c r="A695" s="178" t="s">
        <v>1976</v>
      </c>
      <c r="B695" s="178" t="s">
        <v>1977</v>
      </c>
      <c r="C695" s="178" t="s">
        <v>807</v>
      </c>
      <c r="D695" s="178" t="s">
        <v>57</v>
      </c>
      <c r="E695">
        <v>847.1</v>
      </c>
      <c r="F695">
        <v>127.07</v>
      </c>
      <c r="G695">
        <v>974.17</v>
      </c>
    </row>
    <row r="696" spans="1:7" x14ac:dyDescent="0.35">
      <c r="A696" s="178" t="s">
        <v>1543</v>
      </c>
      <c r="B696" s="178" t="s">
        <v>1978</v>
      </c>
      <c r="C696" s="178" t="s">
        <v>807</v>
      </c>
      <c r="D696" s="178" t="s">
        <v>57</v>
      </c>
      <c r="E696">
        <v>20165.400000000001</v>
      </c>
      <c r="F696">
        <v>3024.81</v>
      </c>
      <c r="G696">
        <v>23190.21</v>
      </c>
    </row>
    <row r="697" spans="1:7" x14ac:dyDescent="0.35">
      <c r="A697" s="178" t="s">
        <v>1979</v>
      </c>
      <c r="B697" s="178" t="s">
        <v>1980</v>
      </c>
      <c r="C697" s="178" t="s">
        <v>807</v>
      </c>
      <c r="D697" s="178" t="s">
        <v>57</v>
      </c>
      <c r="E697">
        <v>2500.4</v>
      </c>
      <c r="F697">
        <v>375.06</v>
      </c>
      <c r="G697">
        <v>2875.46</v>
      </c>
    </row>
    <row r="698" spans="1:7" x14ac:dyDescent="0.35">
      <c r="A698" s="178" t="s">
        <v>1981</v>
      </c>
      <c r="B698" s="178" t="s">
        <v>1982</v>
      </c>
      <c r="C698" s="178" t="s">
        <v>807</v>
      </c>
      <c r="D698" s="178" t="s">
        <v>57</v>
      </c>
      <c r="E698">
        <v>756.5</v>
      </c>
      <c r="F698">
        <v>113.48</v>
      </c>
      <c r="G698">
        <v>869.98</v>
      </c>
    </row>
    <row r="699" spans="1:7" x14ac:dyDescent="0.35">
      <c r="A699" s="178" t="s">
        <v>1983</v>
      </c>
      <c r="B699" s="178" t="s">
        <v>1984</v>
      </c>
      <c r="C699" s="178" t="s">
        <v>807</v>
      </c>
      <c r="D699" s="178" t="s">
        <v>1985</v>
      </c>
      <c r="E699">
        <v>2390.4</v>
      </c>
      <c r="F699">
        <v>358.56</v>
      </c>
      <c r="G699">
        <v>2748.96</v>
      </c>
    </row>
    <row r="700" spans="1:7" x14ac:dyDescent="0.35">
      <c r="A700" s="178" t="s">
        <v>1183</v>
      </c>
      <c r="B700" s="178" t="s">
        <v>1986</v>
      </c>
      <c r="C700" s="178" t="s">
        <v>807</v>
      </c>
      <c r="D700" s="178" t="s">
        <v>57</v>
      </c>
      <c r="E700">
        <v>752.5</v>
      </c>
      <c r="F700">
        <v>112.88</v>
      </c>
      <c r="G700">
        <v>865.38</v>
      </c>
    </row>
    <row r="701" spans="1:7" x14ac:dyDescent="0.35">
      <c r="A701" s="178" t="s">
        <v>1170</v>
      </c>
      <c r="B701" s="178" t="s">
        <v>1987</v>
      </c>
      <c r="C701" s="178" t="s">
        <v>807</v>
      </c>
      <c r="D701" s="178" t="s">
        <v>57</v>
      </c>
      <c r="E701">
        <v>2485.4</v>
      </c>
      <c r="F701">
        <v>372.81</v>
      </c>
      <c r="G701">
        <v>2858.21</v>
      </c>
    </row>
    <row r="702" spans="1:7" x14ac:dyDescent="0.35">
      <c r="A702" s="178" t="s">
        <v>1075</v>
      </c>
      <c r="B702" s="178" t="s">
        <v>1988</v>
      </c>
      <c r="C702" s="178" t="s">
        <v>807</v>
      </c>
      <c r="D702" s="178" t="s">
        <v>57</v>
      </c>
      <c r="E702">
        <v>12121.2</v>
      </c>
      <c r="F702">
        <v>1818.18</v>
      </c>
      <c r="G702">
        <v>13939.38</v>
      </c>
    </row>
    <row r="703" spans="1:7" x14ac:dyDescent="0.35">
      <c r="A703" s="178" t="s">
        <v>939</v>
      </c>
      <c r="B703" s="178" t="s">
        <v>1989</v>
      </c>
      <c r="C703" s="178" t="s">
        <v>807</v>
      </c>
      <c r="D703" s="178" t="s">
        <v>57</v>
      </c>
      <c r="E703">
        <v>4223.1000000000004</v>
      </c>
      <c r="F703">
        <v>633.47</v>
      </c>
      <c r="G703">
        <v>4856.57</v>
      </c>
    </row>
    <row r="704" spans="1:7" x14ac:dyDescent="0.35">
      <c r="A704" s="178" t="s">
        <v>1159</v>
      </c>
      <c r="B704" s="178" t="s">
        <v>1990</v>
      </c>
      <c r="C704" s="178" t="s">
        <v>807</v>
      </c>
      <c r="D704" s="178" t="s">
        <v>57</v>
      </c>
      <c r="E704">
        <v>1709.4</v>
      </c>
      <c r="F704">
        <v>256.41000000000003</v>
      </c>
      <c r="G704">
        <v>1965.81</v>
      </c>
    </row>
    <row r="705" spans="1:7" x14ac:dyDescent="0.35">
      <c r="A705" s="178" t="s">
        <v>799</v>
      </c>
      <c r="B705" s="178" t="s">
        <v>1991</v>
      </c>
      <c r="C705" s="178" t="s">
        <v>807</v>
      </c>
      <c r="D705" s="178" t="s">
        <v>57</v>
      </c>
      <c r="E705">
        <v>3383</v>
      </c>
      <c r="F705">
        <v>507.45</v>
      </c>
      <c r="G705">
        <v>3890.45</v>
      </c>
    </row>
    <row r="706" spans="1:7" x14ac:dyDescent="0.35">
      <c r="A706" s="178" t="s">
        <v>1070</v>
      </c>
      <c r="B706" s="178" t="s">
        <v>1992</v>
      </c>
      <c r="C706" s="178" t="s">
        <v>807</v>
      </c>
      <c r="D706" s="178" t="s">
        <v>57</v>
      </c>
      <c r="E706">
        <v>1443.2</v>
      </c>
      <c r="F706">
        <v>216.48</v>
      </c>
      <c r="G706">
        <v>1659.68</v>
      </c>
    </row>
    <row r="707" spans="1:7" x14ac:dyDescent="0.35">
      <c r="A707" s="178" t="s">
        <v>1836</v>
      </c>
      <c r="B707" s="178" t="s">
        <v>1993</v>
      </c>
      <c r="C707" s="178" t="s">
        <v>807</v>
      </c>
      <c r="D707" s="178" t="s">
        <v>1994</v>
      </c>
      <c r="E707">
        <v>4350</v>
      </c>
      <c r="F707">
        <v>652.5</v>
      </c>
      <c r="G707">
        <v>5002.5</v>
      </c>
    </row>
    <row r="708" spans="1:7" x14ac:dyDescent="0.35">
      <c r="A708" s="178" t="s">
        <v>961</v>
      </c>
      <c r="B708" s="178" t="s">
        <v>1995</v>
      </c>
      <c r="C708" s="178" t="s">
        <v>807</v>
      </c>
      <c r="D708" s="178" t="s">
        <v>57</v>
      </c>
      <c r="E708">
        <v>4818.3999999999996</v>
      </c>
      <c r="F708">
        <v>722.76</v>
      </c>
      <c r="G708">
        <v>5541.16</v>
      </c>
    </row>
    <row r="709" spans="1:7" x14ac:dyDescent="0.35">
      <c r="A709" s="178" t="s">
        <v>825</v>
      </c>
      <c r="B709" s="178" t="s">
        <v>1996</v>
      </c>
      <c r="C709" s="178" t="s">
        <v>807</v>
      </c>
      <c r="D709" s="178" t="s">
        <v>1997</v>
      </c>
      <c r="E709">
        <v>2777.8</v>
      </c>
      <c r="F709">
        <v>416.67</v>
      </c>
      <c r="G709">
        <v>3194.47</v>
      </c>
    </row>
    <row r="710" spans="1:7" x14ac:dyDescent="0.35">
      <c r="A710" s="178" t="s">
        <v>913</v>
      </c>
      <c r="B710" s="178" t="s">
        <v>1998</v>
      </c>
      <c r="C710" s="178" t="s">
        <v>807</v>
      </c>
      <c r="D710" s="178" t="s">
        <v>57</v>
      </c>
      <c r="E710">
        <v>1797.4</v>
      </c>
      <c r="F710">
        <v>269.61</v>
      </c>
      <c r="G710">
        <v>2067.0100000000002</v>
      </c>
    </row>
    <row r="711" spans="1:7" x14ac:dyDescent="0.35">
      <c r="A711" s="178" t="s">
        <v>825</v>
      </c>
      <c r="B711" s="178" t="s">
        <v>1999</v>
      </c>
      <c r="C711" s="178" t="s">
        <v>807</v>
      </c>
      <c r="D711" s="178" t="s">
        <v>57</v>
      </c>
      <c r="E711">
        <v>6752.4</v>
      </c>
      <c r="F711">
        <v>1012.86</v>
      </c>
      <c r="G711">
        <v>7765.26</v>
      </c>
    </row>
    <row r="712" spans="1:7" x14ac:dyDescent="0.35">
      <c r="A712" s="178" t="s">
        <v>802</v>
      </c>
      <c r="B712" s="178" t="s">
        <v>2000</v>
      </c>
      <c r="C712" s="178" t="s">
        <v>807</v>
      </c>
      <c r="D712" s="178" t="s">
        <v>57</v>
      </c>
      <c r="E712">
        <v>6684.85</v>
      </c>
      <c r="F712">
        <v>1002.73</v>
      </c>
      <c r="G712">
        <v>7687.58</v>
      </c>
    </row>
    <row r="713" spans="1:7" x14ac:dyDescent="0.35">
      <c r="A713" s="178" t="s">
        <v>2001</v>
      </c>
      <c r="B713" s="178" t="s">
        <v>2002</v>
      </c>
      <c r="C713" s="178" t="s">
        <v>807</v>
      </c>
      <c r="D713" s="178" t="s">
        <v>57</v>
      </c>
      <c r="E713">
        <v>1546.8</v>
      </c>
      <c r="F713">
        <v>232.02</v>
      </c>
      <c r="G713">
        <v>1778.82</v>
      </c>
    </row>
    <row r="714" spans="1:7" x14ac:dyDescent="0.35">
      <c r="A714" s="178" t="s">
        <v>1093</v>
      </c>
      <c r="B714" s="178" t="s">
        <v>2003</v>
      </c>
      <c r="C714" s="178" t="s">
        <v>807</v>
      </c>
      <c r="D714" s="178" t="s">
        <v>57</v>
      </c>
      <c r="E714">
        <v>1165.3</v>
      </c>
      <c r="F714">
        <v>174.8</v>
      </c>
      <c r="G714">
        <v>1340.1</v>
      </c>
    </row>
    <row r="715" spans="1:7" x14ac:dyDescent="0.35">
      <c r="A715" s="178" t="s">
        <v>2004</v>
      </c>
      <c r="B715" s="178" t="s">
        <v>2005</v>
      </c>
      <c r="C715" s="178" t="s">
        <v>807</v>
      </c>
      <c r="D715" s="178" t="s">
        <v>57</v>
      </c>
      <c r="E715">
        <v>42911.75</v>
      </c>
      <c r="F715">
        <v>6436.76</v>
      </c>
      <c r="G715">
        <v>49348.51</v>
      </c>
    </row>
    <row r="716" spans="1:7" x14ac:dyDescent="0.35">
      <c r="A716" s="178" t="s">
        <v>1070</v>
      </c>
      <c r="B716" s="178" t="s">
        <v>2006</v>
      </c>
      <c r="C716" s="178" t="s">
        <v>807</v>
      </c>
      <c r="D716" s="178" t="s">
        <v>57</v>
      </c>
      <c r="E716">
        <v>3047.7</v>
      </c>
      <c r="F716">
        <v>457.16</v>
      </c>
      <c r="G716">
        <v>3504.86</v>
      </c>
    </row>
    <row r="717" spans="1:7" x14ac:dyDescent="0.35">
      <c r="A717" s="178" t="s">
        <v>1265</v>
      </c>
      <c r="B717" s="178" t="s">
        <v>2007</v>
      </c>
      <c r="C717" s="178" t="s">
        <v>807</v>
      </c>
      <c r="D717" s="178" t="s">
        <v>2008</v>
      </c>
      <c r="E717">
        <v>676.45</v>
      </c>
      <c r="F717">
        <v>101.47</v>
      </c>
      <c r="G717">
        <v>777.92</v>
      </c>
    </row>
    <row r="718" spans="1:7" x14ac:dyDescent="0.35">
      <c r="A718" s="178" t="s">
        <v>1104</v>
      </c>
      <c r="B718" s="178" t="s">
        <v>2009</v>
      </c>
      <c r="C718" s="178" t="s">
        <v>807</v>
      </c>
      <c r="D718" s="178" t="s">
        <v>57</v>
      </c>
      <c r="E718">
        <v>4483.6000000000004</v>
      </c>
      <c r="F718">
        <v>672.54</v>
      </c>
      <c r="G718">
        <v>5156.1400000000003</v>
      </c>
    </row>
    <row r="719" spans="1:7" x14ac:dyDescent="0.35">
      <c r="A719" s="178" t="s">
        <v>2010</v>
      </c>
      <c r="B719" s="178" t="s">
        <v>2011</v>
      </c>
      <c r="C719" s="178" t="s">
        <v>807</v>
      </c>
      <c r="D719" s="178" t="s">
        <v>57</v>
      </c>
      <c r="E719">
        <v>1577.2</v>
      </c>
      <c r="F719">
        <v>236.58</v>
      </c>
      <c r="G719">
        <v>1813.78</v>
      </c>
    </row>
    <row r="720" spans="1:7" x14ac:dyDescent="0.35">
      <c r="A720" s="178" t="s">
        <v>1217</v>
      </c>
      <c r="B720" s="178" t="s">
        <v>2012</v>
      </c>
      <c r="C720" s="178" t="s">
        <v>807</v>
      </c>
      <c r="D720" s="178" t="s">
        <v>57</v>
      </c>
      <c r="E720">
        <v>3623.95</v>
      </c>
      <c r="F720">
        <v>543.6</v>
      </c>
      <c r="G720">
        <v>4167.55</v>
      </c>
    </row>
    <row r="721" spans="1:7" x14ac:dyDescent="0.35">
      <c r="A721" s="178" t="s">
        <v>1391</v>
      </c>
      <c r="B721" s="178" t="s">
        <v>2013</v>
      </c>
      <c r="C721" s="178" t="s">
        <v>807</v>
      </c>
      <c r="D721" s="178" t="s">
        <v>57</v>
      </c>
      <c r="E721">
        <v>29414.85</v>
      </c>
      <c r="F721">
        <v>4412.2299999999996</v>
      </c>
      <c r="G721">
        <v>33827.08</v>
      </c>
    </row>
    <row r="722" spans="1:7" x14ac:dyDescent="0.35">
      <c r="A722" s="178" t="s">
        <v>2014</v>
      </c>
      <c r="B722" s="178" t="s">
        <v>2015</v>
      </c>
      <c r="C722" s="178" t="s">
        <v>807</v>
      </c>
      <c r="D722" s="178" t="s">
        <v>2016</v>
      </c>
      <c r="E722">
        <v>1150</v>
      </c>
      <c r="F722">
        <v>172.5</v>
      </c>
      <c r="G722">
        <v>1322.5</v>
      </c>
    </row>
    <row r="723" spans="1:7" x14ac:dyDescent="0.35">
      <c r="A723" s="178" t="s">
        <v>2017</v>
      </c>
      <c r="B723" s="178" t="s">
        <v>2018</v>
      </c>
      <c r="C723" s="178" t="s">
        <v>807</v>
      </c>
      <c r="D723" s="178" t="s">
        <v>2019</v>
      </c>
      <c r="E723">
        <v>9464</v>
      </c>
      <c r="F723">
        <v>1419.6</v>
      </c>
      <c r="G723">
        <v>10883.6</v>
      </c>
    </row>
    <row r="724" spans="1:7" x14ac:dyDescent="0.35">
      <c r="A724" s="178" t="s">
        <v>1416</v>
      </c>
      <c r="B724" s="178" t="s">
        <v>2020</v>
      </c>
      <c r="C724" s="178" t="s">
        <v>807</v>
      </c>
      <c r="D724" s="178" t="s">
        <v>57</v>
      </c>
      <c r="E724">
        <v>399.5</v>
      </c>
      <c r="F724">
        <v>59.93</v>
      </c>
      <c r="G724">
        <v>459.43</v>
      </c>
    </row>
    <row r="725" spans="1:7" x14ac:dyDescent="0.35">
      <c r="A725" s="178" t="s">
        <v>1140</v>
      </c>
      <c r="B725" s="178" t="s">
        <v>2021</v>
      </c>
      <c r="C725" s="178" t="s">
        <v>807</v>
      </c>
      <c r="D725" s="178" t="s">
        <v>57</v>
      </c>
      <c r="E725">
        <v>9577.7000000000007</v>
      </c>
      <c r="F725">
        <v>1436.66</v>
      </c>
      <c r="G725">
        <v>11014.36</v>
      </c>
    </row>
    <row r="726" spans="1:7" x14ac:dyDescent="0.35">
      <c r="A726" s="178" t="s">
        <v>793</v>
      </c>
      <c r="B726" s="178" t="s">
        <v>2022</v>
      </c>
      <c r="C726" s="178" t="s">
        <v>807</v>
      </c>
      <c r="D726">
        <v>38201</v>
      </c>
      <c r="E726">
        <v>10248</v>
      </c>
      <c r="F726">
        <v>1537.2</v>
      </c>
      <c r="G726">
        <v>11785.2</v>
      </c>
    </row>
    <row r="727" spans="1:7" x14ac:dyDescent="0.35">
      <c r="A727" s="178" t="s">
        <v>1612</v>
      </c>
      <c r="B727" s="178" t="s">
        <v>2023</v>
      </c>
      <c r="C727" s="178" t="s">
        <v>807</v>
      </c>
      <c r="D727" s="178" t="s">
        <v>57</v>
      </c>
      <c r="E727">
        <v>3309.5</v>
      </c>
      <c r="F727">
        <v>496.42</v>
      </c>
      <c r="G727">
        <v>3805.92</v>
      </c>
    </row>
    <row r="728" spans="1:7" x14ac:dyDescent="0.35">
      <c r="A728" s="178" t="s">
        <v>1194</v>
      </c>
      <c r="B728" s="178" t="s">
        <v>2024</v>
      </c>
      <c r="C728" s="178" t="s">
        <v>807</v>
      </c>
      <c r="D728" s="178" t="s">
        <v>57</v>
      </c>
      <c r="E728">
        <v>1405.25</v>
      </c>
      <c r="F728">
        <v>210.79</v>
      </c>
      <c r="G728">
        <v>1616.04</v>
      </c>
    </row>
    <row r="729" spans="1:7" x14ac:dyDescent="0.35">
      <c r="A729" s="178" t="s">
        <v>741</v>
      </c>
      <c r="B729" s="178" t="s">
        <v>2025</v>
      </c>
      <c r="C729" s="178" t="s">
        <v>807</v>
      </c>
      <c r="D729" s="178" t="s">
        <v>57</v>
      </c>
      <c r="E729">
        <v>9545.5</v>
      </c>
      <c r="F729">
        <v>1431.83</v>
      </c>
      <c r="G729">
        <v>10977.33</v>
      </c>
    </row>
    <row r="730" spans="1:7" x14ac:dyDescent="0.35">
      <c r="A730" s="178" t="s">
        <v>2026</v>
      </c>
      <c r="B730" s="178" t="s">
        <v>2027</v>
      </c>
      <c r="C730" s="178" t="s">
        <v>807</v>
      </c>
      <c r="D730" s="178" t="s">
        <v>57</v>
      </c>
      <c r="E730">
        <v>6175.6</v>
      </c>
      <c r="F730">
        <v>926.35</v>
      </c>
      <c r="G730">
        <v>7101.95</v>
      </c>
    </row>
    <row r="731" spans="1:7" x14ac:dyDescent="0.35">
      <c r="A731" s="178" t="s">
        <v>1912</v>
      </c>
      <c r="B731" s="178" t="s">
        <v>2028</v>
      </c>
      <c r="C731" s="178" t="s">
        <v>807</v>
      </c>
      <c r="D731" s="178" t="s">
        <v>57</v>
      </c>
      <c r="E731">
        <v>1338.45</v>
      </c>
      <c r="F731">
        <v>200.77</v>
      </c>
      <c r="G731">
        <v>1539.22</v>
      </c>
    </row>
    <row r="732" spans="1:7" x14ac:dyDescent="0.35">
      <c r="A732" s="178" t="s">
        <v>818</v>
      </c>
      <c r="B732" s="178" t="s">
        <v>2029</v>
      </c>
      <c r="C732" s="178" t="s">
        <v>807</v>
      </c>
      <c r="D732" s="178" t="s">
        <v>57</v>
      </c>
      <c r="E732">
        <v>6272.8</v>
      </c>
      <c r="F732">
        <v>940.92</v>
      </c>
      <c r="G732">
        <v>7213.72</v>
      </c>
    </row>
    <row r="733" spans="1:7" x14ac:dyDescent="0.35">
      <c r="A733" s="178" t="s">
        <v>2030</v>
      </c>
      <c r="B733" s="178" t="s">
        <v>2031</v>
      </c>
      <c r="C733" s="178" t="s">
        <v>807</v>
      </c>
      <c r="D733" s="178" t="s">
        <v>2032</v>
      </c>
      <c r="E733">
        <v>2595.1</v>
      </c>
      <c r="F733">
        <v>389.27</v>
      </c>
      <c r="G733">
        <v>2984.37</v>
      </c>
    </row>
    <row r="734" spans="1:7" x14ac:dyDescent="0.35">
      <c r="A734" s="178" t="s">
        <v>750</v>
      </c>
      <c r="B734" s="178" t="s">
        <v>2033</v>
      </c>
      <c r="C734" s="178" t="s">
        <v>807</v>
      </c>
      <c r="D734" s="178" t="s">
        <v>2034</v>
      </c>
      <c r="E734">
        <v>34535.97</v>
      </c>
      <c r="F734" s="178" t="s">
        <v>57</v>
      </c>
      <c r="G734">
        <v>34535.97</v>
      </c>
    </row>
    <row r="735" spans="1:7" x14ac:dyDescent="0.35">
      <c r="A735" s="178" t="s">
        <v>1070</v>
      </c>
      <c r="B735" s="178" t="s">
        <v>2035</v>
      </c>
      <c r="C735" s="178" t="s">
        <v>807</v>
      </c>
      <c r="D735" s="178" t="s">
        <v>57</v>
      </c>
      <c r="E735">
        <v>1369</v>
      </c>
      <c r="F735">
        <v>205.35</v>
      </c>
      <c r="G735">
        <v>1574.35</v>
      </c>
    </row>
    <row r="736" spans="1:7" x14ac:dyDescent="0.35">
      <c r="A736" s="178" t="s">
        <v>1334</v>
      </c>
      <c r="B736" s="178" t="s">
        <v>2036</v>
      </c>
      <c r="C736" s="178" t="s">
        <v>807</v>
      </c>
      <c r="D736" s="178" t="s">
        <v>57</v>
      </c>
      <c r="E736">
        <v>1832.84</v>
      </c>
      <c r="F736">
        <v>274.94</v>
      </c>
      <c r="G736">
        <v>2107.7800000000002</v>
      </c>
    </row>
    <row r="737" spans="1:7" x14ac:dyDescent="0.35">
      <c r="A737" s="178" t="s">
        <v>795</v>
      </c>
      <c r="B737" s="178" t="s">
        <v>2037</v>
      </c>
      <c r="C737" s="178" t="s">
        <v>807</v>
      </c>
      <c r="D737" s="178" t="s">
        <v>57</v>
      </c>
      <c r="E737">
        <v>4666.28</v>
      </c>
      <c r="F737">
        <v>699.95</v>
      </c>
      <c r="G737">
        <v>5366.23</v>
      </c>
    </row>
    <row r="738" spans="1:7" x14ac:dyDescent="0.35">
      <c r="A738" s="178" t="s">
        <v>1466</v>
      </c>
      <c r="B738" s="178" t="s">
        <v>2038</v>
      </c>
      <c r="C738" s="178" t="s">
        <v>807</v>
      </c>
      <c r="D738" s="178" t="s">
        <v>57</v>
      </c>
      <c r="E738">
        <v>2506</v>
      </c>
      <c r="F738">
        <v>375.9</v>
      </c>
      <c r="G738">
        <v>2881.9</v>
      </c>
    </row>
    <row r="739" spans="1:7" x14ac:dyDescent="0.35">
      <c r="A739" s="178" t="s">
        <v>821</v>
      </c>
      <c r="B739" s="178" t="s">
        <v>2039</v>
      </c>
      <c r="C739" s="178" t="s">
        <v>823</v>
      </c>
      <c r="D739" s="178" t="s">
        <v>57</v>
      </c>
      <c r="E739">
        <v>13960</v>
      </c>
      <c r="F739">
        <v>2094</v>
      </c>
      <c r="G739">
        <v>16054</v>
      </c>
    </row>
    <row r="740" spans="1:7" x14ac:dyDescent="0.35">
      <c r="A740" s="178" t="s">
        <v>1510</v>
      </c>
      <c r="B740" s="178" t="s">
        <v>2040</v>
      </c>
      <c r="C740" s="178" t="s">
        <v>807</v>
      </c>
      <c r="D740" s="178" t="s">
        <v>57</v>
      </c>
      <c r="E740">
        <v>81603.45</v>
      </c>
      <c r="F740">
        <v>12240.52</v>
      </c>
      <c r="G740">
        <v>93843.97</v>
      </c>
    </row>
    <row r="741" spans="1:7" x14ac:dyDescent="0.35">
      <c r="A741" s="178" t="s">
        <v>1204</v>
      </c>
      <c r="B741" s="178" t="s">
        <v>2041</v>
      </c>
      <c r="C741" s="178" t="s">
        <v>823</v>
      </c>
      <c r="D741" s="178" t="s">
        <v>57</v>
      </c>
      <c r="E741">
        <v>2447.1999999999998</v>
      </c>
      <c r="F741">
        <v>367.08</v>
      </c>
      <c r="G741">
        <v>2814.28</v>
      </c>
    </row>
    <row r="742" spans="1:7" x14ac:dyDescent="0.35">
      <c r="A742" s="178" t="s">
        <v>932</v>
      </c>
      <c r="B742" s="178" t="s">
        <v>2042</v>
      </c>
      <c r="C742" s="178" t="s">
        <v>823</v>
      </c>
      <c r="D742" s="178" t="s">
        <v>57</v>
      </c>
      <c r="E742">
        <v>32124.6</v>
      </c>
      <c r="F742">
        <v>4818.6899999999996</v>
      </c>
      <c r="G742">
        <v>36943.29</v>
      </c>
    </row>
    <row r="743" spans="1:7" x14ac:dyDescent="0.35">
      <c r="A743" s="178" t="s">
        <v>802</v>
      </c>
      <c r="B743" s="178" t="s">
        <v>2043</v>
      </c>
      <c r="C743" s="178" t="s">
        <v>823</v>
      </c>
      <c r="D743" s="178" t="s">
        <v>57</v>
      </c>
      <c r="E743">
        <v>5138.25</v>
      </c>
      <c r="F743">
        <v>770.74</v>
      </c>
      <c r="G743">
        <v>5908.99</v>
      </c>
    </row>
    <row r="744" spans="1:7" x14ac:dyDescent="0.35">
      <c r="A744" s="178" t="s">
        <v>904</v>
      </c>
      <c r="B744" s="178" t="s">
        <v>2044</v>
      </c>
      <c r="C744" s="178" t="s">
        <v>823</v>
      </c>
      <c r="D744" s="178" t="s">
        <v>57</v>
      </c>
      <c r="E744">
        <v>1489.8</v>
      </c>
      <c r="F744">
        <v>223.47</v>
      </c>
      <c r="G744">
        <v>1713.27</v>
      </c>
    </row>
    <row r="745" spans="1:7" x14ac:dyDescent="0.35">
      <c r="A745" s="178" t="s">
        <v>828</v>
      </c>
      <c r="B745" s="178" t="s">
        <v>2045</v>
      </c>
      <c r="C745" s="178" t="s">
        <v>823</v>
      </c>
      <c r="D745" s="178" t="s">
        <v>57</v>
      </c>
      <c r="E745">
        <v>1101.5999999999999</v>
      </c>
      <c r="F745">
        <v>165.24</v>
      </c>
      <c r="G745">
        <v>1266.8399999999999</v>
      </c>
    </row>
    <row r="746" spans="1:7" x14ac:dyDescent="0.35">
      <c r="A746" s="178" t="s">
        <v>741</v>
      </c>
      <c r="B746" s="178" t="s">
        <v>2046</v>
      </c>
      <c r="C746" s="178" t="s">
        <v>823</v>
      </c>
      <c r="D746" s="178" t="s">
        <v>57</v>
      </c>
      <c r="E746">
        <v>3264</v>
      </c>
      <c r="F746">
        <v>489.6</v>
      </c>
      <c r="G746">
        <v>3753.6</v>
      </c>
    </row>
    <row r="747" spans="1:7" x14ac:dyDescent="0.35">
      <c r="A747" s="178" t="s">
        <v>988</v>
      </c>
      <c r="B747" s="178" t="s">
        <v>2047</v>
      </c>
      <c r="C747" s="178" t="s">
        <v>823</v>
      </c>
      <c r="D747" s="178" t="s">
        <v>57</v>
      </c>
      <c r="E747">
        <v>1075.9000000000001</v>
      </c>
      <c r="F747">
        <v>161.38999999999999</v>
      </c>
      <c r="G747">
        <v>1237.29</v>
      </c>
    </row>
    <row r="748" spans="1:7" x14ac:dyDescent="0.35">
      <c r="A748" s="178" t="s">
        <v>839</v>
      </c>
      <c r="B748" s="178" t="s">
        <v>2048</v>
      </c>
      <c r="C748" s="178" t="s">
        <v>823</v>
      </c>
      <c r="D748" s="178" t="s">
        <v>1741</v>
      </c>
      <c r="E748">
        <v>16226</v>
      </c>
      <c r="F748">
        <v>2433.9</v>
      </c>
      <c r="G748">
        <v>18659.900000000001</v>
      </c>
    </row>
    <row r="749" spans="1:7" x14ac:dyDescent="0.35">
      <c r="A749" s="178" t="s">
        <v>2049</v>
      </c>
      <c r="B749" s="178" t="s">
        <v>2050</v>
      </c>
      <c r="C749" s="178" t="s">
        <v>823</v>
      </c>
      <c r="D749" s="178" t="s">
        <v>57</v>
      </c>
      <c r="E749">
        <v>1938</v>
      </c>
      <c r="F749">
        <v>290.7</v>
      </c>
      <c r="G749">
        <v>2228.6999999999998</v>
      </c>
    </row>
    <row r="750" spans="1:7" x14ac:dyDescent="0.35">
      <c r="A750" s="178" t="s">
        <v>1792</v>
      </c>
      <c r="B750" s="178" t="s">
        <v>2051</v>
      </c>
      <c r="C750" s="178" t="s">
        <v>823</v>
      </c>
      <c r="D750" s="178" t="s">
        <v>57</v>
      </c>
      <c r="E750">
        <v>3411</v>
      </c>
      <c r="F750">
        <v>511.65</v>
      </c>
      <c r="G750">
        <v>3922.65</v>
      </c>
    </row>
    <row r="751" spans="1:7" x14ac:dyDescent="0.35">
      <c r="A751" s="178" t="s">
        <v>1206</v>
      </c>
      <c r="B751" s="178" t="s">
        <v>2052</v>
      </c>
      <c r="C751" s="178" t="s">
        <v>823</v>
      </c>
      <c r="D751" s="178" t="s">
        <v>57</v>
      </c>
      <c r="E751">
        <v>2616.4</v>
      </c>
      <c r="F751">
        <v>392.46</v>
      </c>
      <c r="G751">
        <v>3008.86</v>
      </c>
    </row>
    <row r="752" spans="1:7" x14ac:dyDescent="0.35">
      <c r="A752" s="178" t="s">
        <v>2053</v>
      </c>
      <c r="B752" s="178" t="s">
        <v>2054</v>
      </c>
      <c r="C752" s="178" t="s">
        <v>823</v>
      </c>
      <c r="D752" s="178" t="s">
        <v>57</v>
      </c>
      <c r="E752">
        <v>1393.2</v>
      </c>
      <c r="F752">
        <v>208.98</v>
      </c>
      <c r="G752">
        <v>1602.18</v>
      </c>
    </row>
    <row r="753" spans="1:7" x14ac:dyDescent="0.35">
      <c r="A753" s="178" t="s">
        <v>1179</v>
      </c>
      <c r="B753" s="178" t="s">
        <v>2055</v>
      </c>
      <c r="C753" s="178" t="s">
        <v>791</v>
      </c>
      <c r="D753" s="178" t="s">
        <v>2056</v>
      </c>
      <c r="E753">
        <v>971.8</v>
      </c>
      <c r="F753">
        <v>145.77000000000001</v>
      </c>
      <c r="G753">
        <v>1117.57</v>
      </c>
    </row>
    <row r="754" spans="1:7" x14ac:dyDescent="0.35">
      <c r="A754" s="178" t="s">
        <v>781</v>
      </c>
      <c r="B754" s="178" t="s">
        <v>2057</v>
      </c>
      <c r="C754" s="178" t="s">
        <v>823</v>
      </c>
      <c r="D754" s="178" t="s">
        <v>57</v>
      </c>
      <c r="E754">
        <v>5805.2</v>
      </c>
      <c r="F754">
        <v>870.78</v>
      </c>
      <c r="G754">
        <v>6675.98</v>
      </c>
    </row>
    <row r="755" spans="1:7" x14ac:dyDescent="0.35">
      <c r="A755" s="178" t="s">
        <v>793</v>
      </c>
      <c r="B755" s="178" t="s">
        <v>2058</v>
      </c>
      <c r="C755" s="178" t="s">
        <v>823</v>
      </c>
      <c r="D755" s="178" t="s">
        <v>2059</v>
      </c>
      <c r="E755">
        <v>1164</v>
      </c>
      <c r="F755">
        <v>174.6</v>
      </c>
      <c r="G755">
        <v>1338.6</v>
      </c>
    </row>
    <row r="756" spans="1:7" x14ac:dyDescent="0.35">
      <c r="A756" s="178" t="s">
        <v>2060</v>
      </c>
      <c r="B756" s="178" t="s">
        <v>2061</v>
      </c>
      <c r="C756" s="178" t="s">
        <v>823</v>
      </c>
      <c r="D756" s="178" t="s">
        <v>1309</v>
      </c>
      <c r="E756">
        <v>1429.65</v>
      </c>
      <c r="F756">
        <v>214.45</v>
      </c>
      <c r="G756">
        <v>1644.1</v>
      </c>
    </row>
    <row r="757" spans="1:7" x14ac:dyDescent="0.35">
      <c r="A757" s="178" t="s">
        <v>852</v>
      </c>
      <c r="B757" s="178" t="s">
        <v>2062</v>
      </c>
      <c r="C757" s="178" t="s">
        <v>823</v>
      </c>
      <c r="D757" s="178" t="s">
        <v>2063</v>
      </c>
      <c r="E757">
        <v>1564.2</v>
      </c>
      <c r="F757">
        <v>234.63</v>
      </c>
      <c r="G757">
        <v>1798.83</v>
      </c>
    </row>
    <row r="758" spans="1:7" x14ac:dyDescent="0.35">
      <c r="A758" s="178" t="s">
        <v>741</v>
      </c>
      <c r="B758" s="178" t="s">
        <v>2064</v>
      </c>
      <c r="C758" s="178" t="s">
        <v>791</v>
      </c>
      <c r="D758" s="178" t="s">
        <v>2065</v>
      </c>
      <c r="E758">
        <v>8528.2000000000007</v>
      </c>
      <c r="F758">
        <v>1279.23</v>
      </c>
      <c r="G758">
        <v>9807.43</v>
      </c>
    </row>
    <row r="759" spans="1:7" x14ac:dyDescent="0.35">
      <c r="A759" s="178" t="s">
        <v>1162</v>
      </c>
      <c r="B759" s="178" t="s">
        <v>2066</v>
      </c>
      <c r="C759" s="178" t="s">
        <v>776</v>
      </c>
      <c r="D759" s="178" t="s">
        <v>2067</v>
      </c>
      <c r="E759">
        <v>2799.5</v>
      </c>
      <c r="F759">
        <v>419.94</v>
      </c>
      <c r="G759">
        <v>3219.44</v>
      </c>
    </row>
    <row r="760" spans="1:7" x14ac:dyDescent="0.35">
      <c r="A760" s="178" t="s">
        <v>1629</v>
      </c>
      <c r="B760" s="178" t="s">
        <v>2068</v>
      </c>
      <c r="C760" s="178" t="s">
        <v>823</v>
      </c>
      <c r="D760" s="178" t="s">
        <v>2069</v>
      </c>
      <c r="E760">
        <v>24766.5</v>
      </c>
      <c r="F760">
        <v>3714.98</v>
      </c>
      <c r="G760">
        <v>28481.48</v>
      </c>
    </row>
    <row r="761" spans="1:7" x14ac:dyDescent="0.35">
      <c r="A761" s="178" t="s">
        <v>1629</v>
      </c>
      <c r="B761" s="178" t="s">
        <v>2070</v>
      </c>
      <c r="C761" s="178" t="s">
        <v>823</v>
      </c>
      <c r="D761" s="178" t="s">
        <v>2069</v>
      </c>
      <c r="E761">
        <v>13163.8</v>
      </c>
      <c r="F761">
        <v>1974.57</v>
      </c>
      <c r="G761">
        <v>15138.37</v>
      </c>
    </row>
    <row r="762" spans="1:7" x14ac:dyDescent="0.35">
      <c r="A762" s="178" t="s">
        <v>741</v>
      </c>
      <c r="B762" s="178" t="s">
        <v>2071</v>
      </c>
      <c r="C762" s="178" t="s">
        <v>823</v>
      </c>
      <c r="D762" s="178" t="s">
        <v>57</v>
      </c>
      <c r="E762">
        <v>6979.3</v>
      </c>
      <c r="F762">
        <v>1046.9000000000001</v>
      </c>
      <c r="G762">
        <v>8026.2</v>
      </c>
    </row>
    <row r="763" spans="1:7" x14ac:dyDescent="0.35">
      <c r="A763" s="178" t="s">
        <v>2072</v>
      </c>
      <c r="B763" s="178" t="s">
        <v>2073</v>
      </c>
      <c r="C763" s="178" t="s">
        <v>823</v>
      </c>
      <c r="D763" s="178" t="s">
        <v>57</v>
      </c>
      <c r="E763">
        <v>6474.4</v>
      </c>
      <c r="F763">
        <v>971.16</v>
      </c>
      <c r="G763">
        <v>7445.56</v>
      </c>
    </row>
    <row r="764" spans="1:7" x14ac:dyDescent="0.35">
      <c r="A764" s="178" t="s">
        <v>1222</v>
      </c>
      <c r="B764" s="178" t="s">
        <v>2074</v>
      </c>
      <c r="C764" s="178" t="s">
        <v>823</v>
      </c>
      <c r="D764" s="178" t="s">
        <v>1224</v>
      </c>
      <c r="E764">
        <v>2982.25</v>
      </c>
      <c r="F764">
        <v>447.34</v>
      </c>
      <c r="G764">
        <v>3429.59</v>
      </c>
    </row>
    <row r="765" spans="1:7" x14ac:dyDescent="0.35">
      <c r="A765" s="178" t="s">
        <v>2075</v>
      </c>
      <c r="B765" s="178" t="s">
        <v>2076</v>
      </c>
      <c r="C765" s="178" t="s">
        <v>823</v>
      </c>
      <c r="D765" s="178" t="s">
        <v>1921</v>
      </c>
      <c r="E765">
        <v>3020.6</v>
      </c>
      <c r="F765">
        <v>453.09</v>
      </c>
      <c r="G765">
        <v>3473.69</v>
      </c>
    </row>
    <row r="766" spans="1:7" x14ac:dyDescent="0.35">
      <c r="A766" s="178" t="s">
        <v>2077</v>
      </c>
      <c r="B766" s="178" t="s">
        <v>2078</v>
      </c>
      <c r="C766" s="178" t="s">
        <v>823</v>
      </c>
      <c r="D766" s="178" t="s">
        <v>57</v>
      </c>
      <c r="E766">
        <v>3015.5</v>
      </c>
      <c r="F766">
        <v>452.33</v>
      </c>
      <c r="G766">
        <v>3467.83</v>
      </c>
    </row>
    <row r="767" spans="1:7" x14ac:dyDescent="0.35">
      <c r="A767" s="178" t="s">
        <v>750</v>
      </c>
      <c r="B767" s="178" t="s">
        <v>2079</v>
      </c>
      <c r="C767" s="178" t="s">
        <v>823</v>
      </c>
      <c r="D767" s="178" t="s">
        <v>1549</v>
      </c>
      <c r="E767">
        <v>1070</v>
      </c>
      <c r="F767">
        <v>160.5</v>
      </c>
      <c r="G767">
        <v>1230.5</v>
      </c>
    </row>
    <row r="768" spans="1:7" x14ac:dyDescent="0.35">
      <c r="A768" s="178" t="s">
        <v>1070</v>
      </c>
      <c r="B768" s="178" t="s">
        <v>2080</v>
      </c>
      <c r="C768" s="178" t="s">
        <v>823</v>
      </c>
      <c r="D768" s="178" t="s">
        <v>57</v>
      </c>
      <c r="E768">
        <v>1623.6</v>
      </c>
      <c r="F768">
        <v>243.54</v>
      </c>
      <c r="G768">
        <v>1867.14</v>
      </c>
    </row>
    <row r="769" spans="1:7" x14ac:dyDescent="0.35">
      <c r="A769" s="178" t="s">
        <v>2081</v>
      </c>
      <c r="B769" s="178" t="s">
        <v>2082</v>
      </c>
      <c r="C769" s="178" t="s">
        <v>823</v>
      </c>
      <c r="D769">
        <v>4821</v>
      </c>
      <c r="E769">
        <v>3739.15</v>
      </c>
      <c r="F769">
        <v>560.87</v>
      </c>
      <c r="G769">
        <v>4300.0200000000004</v>
      </c>
    </row>
    <row r="770" spans="1:7" x14ac:dyDescent="0.35">
      <c r="A770" s="178" t="s">
        <v>2083</v>
      </c>
      <c r="B770" s="178" t="s">
        <v>2084</v>
      </c>
      <c r="C770" s="178" t="s">
        <v>823</v>
      </c>
      <c r="D770" s="178" t="s">
        <v>57</v>
      </c>
      <c r="E770">
        <v>3266.75</v>
      </c>
      <c r="F770">
        <v>490.01</v>
      </c>
      <c r="G770">
        <v>3756.76</v>
      </c>
    </row>
    <row r="771" spans="1:7" x14ac:dyDescent="0.35">
      <c r="A771" s="178" t="s">
        <v>1847</v>
      </c>
      <c r="B771" s="178" t="s">
        <v>2085</v>
      </c>
      <c r="C771" s="178" t="s">
        <v>823</v>
      </c>
      <c r="D771" s="178" t="s">
        <v>57</v>
      </c>
      <c r="E771">
        <v>18302.7</v>
      </c>
      <c r="F771">
        <v>2745.41</v>
      </c>
      <c r="G771">
        <v>21048.11</v>
      </c>
    </row>
    <row r="772" spans="1:7" x14ac:dyDescent="0.35">
      <c r="A772" s="178" t="s">
        <v>2086</v>
      </c>
      <c r="B772" s="178" t="s">
        <v>2087</v>
      </c>
      <c r="C772" s="178" t="s">
        <v>823</v>
      </c>
      <c r="D772" s="178" t="s">
        <v>57</v>
      </c>
      <c r="E772">
        <v>3221.4</v>
      </c>
      <c r="F772">
        <v>483.21</v>
      </c>
      <c r="G772">
        <v>3704.61</v>
      </c>
    </row>
    <row r="773" spans="1:7" x14ac:dyDescent="0.35">
      <c r="A773" s="178" t="s">
        <v>731</v>
      </c>
      <c r="B773" s="178" t="s">
        <v>2088</v>
      </c>
      <c r="C773" s="178" t="s">
        <v>823</v>
      </c>
      <c r="D773" s="178" t="s">
        <v>57</v>
      </c>
      <c r="E773">
        <v>2902.2</v>
      </c>
      <c r="F773">
        <v>435.33</v>
      </c>
      <c r="G773">
        <v>3337.53</v>
      </c>
    </row>
    <row r="774" spans="1:7" x14ac:dyDescent="0.35">
      <c r="A774" s="178" t="s">
        <v>1792</v>
      </c>
      <c r="B774" s="178" t="s">
        <v>2089</v>
      </c>
      <c r="C774" s="178" t="s">
        <v>823</v>
      </c>
      <c r="D774" s="178" t="s">
        <v>57</v>
      </c>
      <c r="E774">
        <v>722.1</v>
      </c>
      <c r="F774">
        <v>108.32</v>
      </c>
      <c r="G774">
        <v>830.42</v>
      </c>
    </row>
    <row r="775" spans="1:7" x14ac:dyDescent="0.35">
      <c r="A775" s="178" t="s">
        <v>961</v>
      </c>
      <c r="B775" s="178" t="s">
        <v>2090</v>
      </c>
      <c r="C775" s="178" t="s">
        <v>823</v>
      </c>
      <c r="D775" s="178" t="s">
        <v>2091</v>
      </c>
      <c r="E775">
        <v>3359.2</v>
      </c>
      <c r="F775">
        <v>503.88</v>
      </c>
      <c r="G775">
        <v>3863.08</v>
      </c>
    </row>
    <row r="776" spans="1:7" x14ac:dyDescent="0.35">
      <c r="A776" s="178" t="s">
        <v>741</v>
      </c>
      <c r="B776" s="178" t="s">
        <v>2092</v>
      </c>
      <c r="C776" s="178" t="s">
        <v>823</v>
      </c>
      <c r="D776" s="178" t="s">
        <v>57</v>
      </c>
      <c r="E776">
        <v>8525.5</v>
      </c>
      <c r="F776">
        <v>1278.83</v>
      </c>
      <c r="G776">
        <v>9804.33</v>
      </c>
    </row>
    <row r="777" spans="1:7" x14ac:dyDescent="0.35">
      <c r="A777" s="178" t="s">
        <v>849</v>
      </c>
      <c r="B777" s="178" t="s">
        <v>2093</v>
      </c>
      <c r="C777" s="178" t="s">
        <v>823</v>
      </c>
      <c r="D777" s="178" t="s">
        <v>2094</v>
      </c>
      <c r="E777">
        <v>2494.6</v>
      </c>
      <c r="F777">
        <v>374.19</v>
      </c>
      <c r="G777">
        <v>2868.79</v>
      </c>
    </row>
    <row r="778" spans="1:7" x14ac:dyDescent="0.35">
      <c r="A778" s="178" t="s">
        <v>750</v>
      </c>
      <c r="B778" s="178" t="s">
        <v>2095</v>
      </c>
      <c r="C778" s="178" t="s">
        <v>823</v>
      </c>
      <c r="D778" s="178" t="s">
        <v>2096</v>
      </c>
      <c r="E778">
        <v>1877.75</v>
      </c>
      <c r="F778">
        <v>281.67</v>
      </c>
      <c r="G778">
        <v>2159.42</v>
      </c>
    </row>
    <row r="779" spans="1:7" x14ac:dyDescent="0.35">
      <c r="A779" s="178" t="s">
        <v>1312</v>
      </c>
      <c r="B779" s="178" t="s">
        <v>2097</v>
      </c>
      <c r="C779" s="178" t="s">
        <v>823</v>
      </c>
      <c r="D779" s="178" t="s">
        <v>57</v>
      </c>
      <c r="E779">
        <v>3130.3</v>
      </c>
      <c r="F779">
        <v>469.55</v>
      </c>
      <c r="G779">
        <v>3599.85</v>
      </c>
    </row>
    <row r="780" spans="1:7" x14ac:dyDescent="0.35">
      <c r="A780" s="178" t="s">
        <v>1099</v>
      </c>
      <c r="B780" s="178" t="s">
        <v>2098</v>
      </c>
      <c r="C780" s="178" t="s">
        <v>823</v>
      </c>
      <c r="D780" s="178" t="s">
        <v>2099</v>
      </c>
      <c r="E780">
        <v>803.25</v>
      </c>
      <c r="F780">
        <v>120.49</v>
      </c>
      <c r="G780">
        <v>923.74</v>
      </c>
    </row>
    <row r="781" spans="1:7" x14ac:dyDescent="0.35">
      <c r="A781" s="178" t="s">
        <v>793</v>
      </c>
      <c r="B781" s="178" t="s">
        <v>2100</v>
      </c>
      <c r="C781" s="178" t="s">
        <v>823</v>
      </c>
      <c r="D781">
        <v>38261</v>
      </c>
      <c r="E781">
        <v>8866.5499999999993</v>
      </c>
      <c r="F781">
        <v>1329.98</v>
      </c>
      <c r="G781">
        <v>10196.530000000001</v>
      </c>
    </row>
    <row r="782" spans="1:7" x14ac:dyDescent="0.35">
      <c r="A782" s="178" t="s">
        <v>2101</v>
      </c>
      <c r="B782" s="178" t="s">
        <v>2102</v>
      </c>
      <c r="C782" s="178" t="s">
        <v>823</v>
      </c>
      <c r="D782" s="178" t="s">
        <v>57</v>
      </c>
      <c r="E782">
        <v>1607.8</v>
      </c>
      <c r="F782">
        <v>241.17</v>
      </c>
      <c r="G782">
        <v>1848.97</v>
      </c>
    </row>
    <row r="783" spans="1:7" x14ac:dyDescent="0.35">
      <c r="A783" s="178" t="s">
        <v>1120</v>
      </c>
      <c r="B783" s="178" t="s">
        <v>2103</v>
      </c>
      <c r="C783" s="178" t="s">
        <v>823</v>
      </c>
      <c r="D783" s="178" t="s">
        <v>57</v>
      </c>
      <c r="E783">
        <v>13201.6</v>
      </c>
      <c r="F783">
        <v>1980.25</v>
      </c>
      <c r="G783">
        <v>15181.85</v>
      </c>
    </row>
    <row r="784" spans="1:7" x14ac:dyDescent="0.35">
      <c r="A784" s="178" t="s">
        <v>988</v>
      </c>
      <c r="B784" s="178" t="s">
        <v>2104</v>
      </c>
      <c r="C784" s="178" t="s">
        <v>823</v>
      </c>
      <c r="D784" s="178" t="s">
        <v>57</v>
      </c>
      <c r="E784">
        <v>5083</v>
      </c>
      <c r="F784">
        <v>762.45</v>
      </c>
      <c r="G784">
        <v>5845.45</v>
      </c>
    </row>
    <row r="785" spans="1:7" x14ac:dyDescent="0.35">
      <c r="A785" s="178" t="s">
        <v>750</v>
      </c>
      <c r="B785" s="178" t="s">
        <v>2105</v>
      </c>
      <c r="C785" s="178" t="s">
        <v>823</v>
      </c>
      <c r="D785" s="178" t="s">
        <v>1594</v>
      </c>
      <c r="E785">
        <v>614.9</v>
      </c>
      <c r="F785">
        <v>92.24</v>
      </c>
      <c r="G785">
        <v>707.14</v>
      </c>
    </row>
    <row r="786" spans="1:7" x14ac:dyDescent="0.35">
      <c r="A786" s="178" t="s">
        <v>1120</v>
      </c>
      <c r="B786" s="178" t="s">
        <v>2106</v>
      </c>
      <c r="C786" s="178" t="s">
        <v>823</v>
      </c>
      <c r="D786" s="178" t="s">
        <v>2107</v>
      </c>
      <c r="E786">
        <v>8875</v>
      </c>
      <c r="F786">
        <v>1331.25</v>
      </c>
      <c r="G786">
        <v>10206.25</v>
      </c>
    </row>
    <row r="787" spans="1:7" x14ac:dyDescent="0.35">
      <c r="A787" s="178" t="s">
        <v>1258</v>
      </c>
      <c r="B787" s="178" t="s">
        <v>2108</v>
      </c>
      <c r="C787" s="178" t="s">
        <v>823</v>
      </c>
      <c r="D787" s="178" t="s">
        <v>57</v>
      </c>
      <c r="E787">
        <v>7527.3</v>
      </c>
      <c r="F787">
        <v>1129.0999999999999</v>
      </c>
      <c r="G787">
        <v>8656.4</v>
      </c>
    </row>
    <row r="788" spans="1:7" x14ac:dyDescent="0.35">
      <c r="A788" s="178" t="s">
        <v>857</v>
      </c>
      <c r="B788" s="178" t="s">
        <v>2109</v>
      </c>
      <c r="C788" s="178" t="s">
        <v>823</v>
      </c>
      <c r="D788" s="178" t="s">
        <v>57</v>
      </c>
      <c r="E788">
        <v>2946.7</v>
      </c>
      <c r="F788">
        <v>442.01</v>
      </c>
      <c r="G788">
        <v>3388.71</v>
      </c>
    </row>
    <row r="789" spans="1:7" x14ac:dyDescent="0.35">
      <c r="A789" s="178" t="s">
        <v>830</v>
      </c>
      <c r="B789" s="178" t="s">
        <v>2110</v>
      </c>
      <c r="C789" s="178" t="s">
        <v>823</v>
      </c>
      <c r="D789" s="178" t="s">
        <v>57</v>
      </c>
      <c r="E789">
        <v>635.5</v>
      </c>
      <c r="F789">
        <v>95.33</v>
      </c>
      <c r="G789">
        <v>730.83</v>
      </c>
    </row>
    <row r="790" spans="1:7" x14ac:dyDescent="0.35">
      <c r="A790" s="178" t="s">
        <v>1475</v>
      </c>
      <c r="B790" s="178" t="s">
        <v>2111</v>
      </c>
      <c r="C790" s="178" t="s">
        <v>823</v>
      </c>
      <c r="D790" s="178" t="s">
        <v>57</v>
      </c>
      <c r="E790">
        <v>2821.05</v>
      </c>
      <c r="F790">
        <v>423.16</v>
      </c>
      <c r="G790">
        <v>3244.21</v>
      </c>
    </row>
    <row r="791" spans="1:7" x14ac:dyDescent="0.35">
      <c r="A791" s="178" t="s">
        <v>1332</v>
      </c>
      <c r="B791" s="178" t="s">
        <v>2112</v>
      </c>
      <c r="C791" s="178" t="s">
        <v>823</v>
      </c>
      <c r="D791" s="178" t="s">
        <v>57</v>
      </c>
      <c r="E791">
        <v>5918.4</v>
      </c>
      <c r="F791">
        <v>887.76</v>
      </c>
      <c r="G791">
        <v>6806.16</v>
      </c>
    </row>
    <row r="792" spans="1:7" x14ac:dyDescent="0.35">
      <c r="A792" s="178" t="s">
        <v>1650</v>
      </c>
      <c r="B792" s="178" t="s">
        <v>2113</v>
      </c>
      <c r="C792" s="178" t="s">
        <v>823</v>
      </c>
      <c r="D792" s="178" t="s">
        <v>57</v>
      </c>
      <c r="E792">
        <v>688.5</v>
      </c>
      <c r="F792">
        <v>103.28</v>
      </c>
      <c r="G792">
        <v>791.78</v>
      </c>
    </row>
    <row r="793" spans="1:7" x14ac:dyDescent="0.35">
      <c r="A793" s="178" t="s">
        <v>1653</v>
      </c>
      <c r="B793" s="178" t="s">
        <v>2114</v>
      </c>
      <c r="C793" s="178" t="s">
        <v>823</v>
      </c>
      <c r="D793" s="178" t="s">
        <v>57</v>
      </c>
      <c r="E793">
        <v>731.3</v>
      </c>
      <c r="F793">
        <v>109.7</v>
      </c>
      <c r="G793">
        <v>841</v>
      </c>
    </row>
    <row r="794" spans="1:7" x14ac:dyDescent="0.35">
      <c r="A794" s="178" t="s">
        <v>1106</v>
      </c>
      <c r="B794" s="178" t="s">
        <v>2115</v>
      </c>
      <c r="C794" s="178" t="s">
        <v>823</v>
      </c>
      <c r="D794" s="178" t="s">
        <v>2116</v>
      </c>
      <c r="E794">
        <v>4481.2</v>
      </c>
      <c r="F794">
        <v>672.18</v>
      </c>
      <c r="G794">
        <v>5153.38</v>
      </c>
    </row>
    <row r="795" spans="1:7" x14ac:dyDescent="0.35">
      <c r="A795" s="178" t="s">
        <v>1106</v>
      </c>
      <c r="B795" s="178" t="s">
        <v>2117</v>
      </c>
      <c r="C795" s="178" t="s">
        <v>823</v>
      </c>
      <c r="D795">
        <v>105921</v>
      </c>
      <c r="E795">
        <v>8690.4</v>
      </c>
      <c r="F795">
        <v>1303.56</v>
      </c>
      <c r="G795">
        <v>9993.9599999999991</v>
      </c>
    </row>
    <row r="796" spans="1:7" x14ac:dyDescent="0.35">
      <c r="A796" s="178" t="s">
        <v>2118</v>
      </c>
      <c r="B796" s="178" t="s">
        <v>2119</v>
      </c>
      <c r="C796" s="178" t="s">
        <v>823</v>
      </c>
      <c r="D796" s="178" t="s">
        <v>57</v>
      </c>
      <c r="E796">
        <v>8766.9</v>
      </c>
      <c r="F796">
        <v>1315.04</v>
      </c>
      <c r="G796">
        <v>10081.94</v>
      </c>
    </row>
    <row r="797" spans="1:7" x14ac:dyDescent="0.35">
      <c r="A797" s="178" t="s">
        <v>1796</v>
      </c>
      <c r="B797" s="178" t="s">
        <v>2120</v>
      </c>
      <c r="C797" s="178" t="s">
        <v>823</v>
      </c>
      <c r="D797" s="178" t="s">
        <v>57</v>
      </c>
      <c r="E797">
        <v>568</v>
      </c>
      <c r="F797">
        <v>85.2</v>
      </c>
      <c r="G797">
        <v>653.20000000000005</v>
      </c>
    </row>
    <row r="798" spans="1:7" x14ac:dyDescent="0.35">
      <c r="A798" s="178" t="s">
        <v>2121</v>
      </c>
      <c r="B798" s="178" t="s">
        <v>2122</v>
      </c>
      <c r="C798" s="178" t="s">
        <v>847</v>
      </c>
      <c r="D798" s="178" t="s">
        <v>57</v>
      </c>
      <c r="E798">
        <v>3290</v>
      </c>
      <c r="F798">
        <v>493.5</v>
      </c>
      <c r="G798">
        <v>3783.5</v>
      </c>
    </row>
    <row r="799" spans="1:7" x14ac:dyDescent="0.35">
      <c r="A799" s="178" t="s">
        <v>2123</v>
      </c>
      <c r="B799" s="178" t="s">
        <v>2124</v>
      </c>
      <c r="C799" s="178" t="s">
        <v>847</v>
      </c>
      <c r="D799" s="178" t="s">
        <v>57</v>
      </c>
      <c r="E799">
        <v>1136.8499999999999</v>
      </c>
      <c r="F799">
        <v>170.53</v>
      </c>
      <c r="G799">
        <v>1307.3800000000001</v>
      </c>
    </row>
    <row r="800" spans="1:7" x14ac:dyDescent="0.35">
      <c r="A800" s="178" t="s">
        <v>2125</v>
      </c>
      <c r="B800" s="178" t="s">
        <v>2126</v>
      </c>
      <c r="C800" s="178" t="s">
        <v>847</v>
      </c>
      <c r="D800" s="178" t="s">
        <v>57</v>
      </c>
      <c r="E800">
        <v>1270.9000000000001</v>
      </c>
      <c r="F800">
        <v>190.64</v>
      </c>
      <c r="G800">
        <v>1461.54</v>
      </c>
    </row>
    <row r="801" spans="1:7" x14ac:dyDescent="0.35">
      <c r="A801" s="178" t="s">
        <v>1265</v>
      </c>
      <c r="B801" s="178" t="s">
        <v>2127</v>
      </c>
      <c r="C801" s="178" t="s">
        <v>847</v>
      </c>
      <c r="D801" s="178" t="s">
        <v>2128</v>
      </c>
      <c r="E801">
        <v>947.75</v>
      </c>
      <c r="F801">
        <v>142.16</v>
      </c>
      <c r="G801">
        <v>1089.9100000000001</v>
      </c>
    </row>
    <row r="802" spans="1:7" x14ac:dyDescent="0.35">
      <c r="A802" s="178" t="s">
        <v>1068</v>
      </c>
      <c r="B802" s="178" t="s">
        <v>2129</v>
      </c>
      <c r="C802" s="178" t="s">
        <v>847</v>
      </c>
      <c r="D802" s="178" t="s">
        <v>57</v>
      </c>
      <c r="E802">
        <v>3274.05</v>
      </c>
      <c r="F802">
        <v>491.11</v>
      </c>
      <c r="G802">
        <v>3765.16</v>
      </c>
    </row>
    <row r="803" spans="1:7" x14ac:dyDescent="0.35">
      <c r="A803" s="178" t="s">
        <v>1543</v>
      </c>
      <c r="B803" s="178" t="s">
        <v>2130</v>
      </c>
      <c r="C803" s="178" t="s">
        <v>847</v>
      </c>
      <c r="D803" s="178" t="s">
        <v>57</v>
      </c>
      <c r="E803">
        <v>4313.25</v>
      </c>
      <c r="F803">
        <v>646.99</v>
      </c>
      <c r="G803">
        <v>4960.24</v>
      </c>
    </row>
    <row r="804" spans="1:7" x14ac:dyDescent="0.35">
      <c r="A804" s="178" t="s">
        <v>1045</v>
      </c>
      <c r="B804" s="178" t="s">
        <v>2131</v>
      </c>
      <c r="C804" s="178" t="s">
        <v>847</v>
      </c>
      <c r="D804" s="178" t="s">
        <v>1677</v>
      </c>
      <c r="E804">
        <v>6807.75</v>
      </c>
      <c r="F804">
        <v>1021.16</v>
      </c>
      <c r="G804">
        <v>7828.91</v>
      </c>
    </row>
    <row r="805" spans="1:7" x14ac:dyDescent="0.35">
      <c r="A805" s="178" t="s">
        <v>961</v>
      </c>
      <c r="B805" s="178" t="s">
        <v>2132</v>
      </c>
      <c r="C805" s="178" t="s">
        <v>847</v>
      </c>
      <c r="D805" s="178" t="s">
        <v>57</v>
      </c>
      <c r="E805">
        <v>1447.2</v>
      </c>
      <c r="F805">
        <v>217.08</v>
      </c>
      <c r="G805">
        <v>1664.28</v>
      </c>
    </row>
    <row r="806" spans="1:7" x14ac:dyDescent="0.35">
      <c r="A806" s="178" t="s">
        <v>1045</v>
      </c>
      <c r="B806" s="178" t="s">
        <v>2133</v>
      </c>
      <c r="C806" s="178" t="s">
        <v>847</v>
      </c>
      <c r="D806" s="178" t="s">
        <v>57</v>
      </c>
      <c r="E806">
        <v>22144.400000000001</v>
      </c>
      <c r="F806">
        <v>3321.66</v>
      </c>
      <c r="G806">
        <v>25466.06</v>
      </c>
    </row>
    <row r="807" spans="1:7" x14ac:dyDescent="0.35">
      <c r="A807" s="178" t="s">
        <v>2134</v>
      </c>
      <c r="B807" s="178" t="s">
        <v>2135</v>
      </c>
      <c r="C807" s="178" t="s">
        <v>847</v>
      </c>
      <c r="D807" s="178" t="s">
        <v>2136</v>
      </c>
      <c r="E807">
        <v>5423.6</v>
      </c>
      <c r="F807">
        <v>813.54</v>
      </c>
      <c r="G807">
        <v>6237.14</v>
      </c>
    </row>
    <row r="808" spans="1:7" x14ac:dyDescent="0.35">
      <c r="A808" s="178" t="s">
        <v>746</v>
      </c>
      <c r="B808" s="178" t="s">
        <v>2137</v>
      </c>
      <c r="C808" s="178" t="s">
        <v>847</v>
      </c>
      <c r="D808" s="178" t="s">
        <v>57</v>
      </c>
      <c r="E808">
        <v>71208</v>
      </c>
      <c r="F808">
        <v>10681.2</v>
      </c>
      <c r="G808">
        <v>81889.2</v>
      </c>
    </row>
    <row r="809" spans="1:7" x14ac:dyDescent="0.35">
      <c r="A809" s="178" t="s">
        <v>1434</v>
      </c>
      <c r="B809" s="178" t="s">
        <v>2138</v>
      </c>
      <c r="C809" s="178" t="s">
        <v>847</v>
      </c>
      <c r="D809" s="178" t="s">
        <v>2139</v>
      </c>
      <c r="E809">
        <v>29324.7</v>
      </c>
      <c r="F809">
        <v>4398.71</v>
      </c>
      <c r="G809">
        <v>33723.410000000003</v>
      </c>
    </row>
    <row r="810" spans="1:7" x14ac:dyDescent="0.35">
      <c r="A810" s="178" t="s">
        <v>741</v>
      </c>
      <c r="B810" s="178" t="s">
        <v>2140</v>
      </c>
      <c r="C810" s="178" t="s">
        <v>847</v>
      </c>
      <c r="D810" s="178" t="s">
        <v>57</v>
      </c>
      <c r="E810">
        <v>2116.5</v>
      </c>
      <c r="F810">
        <v>317.48</v>
      </c>
      <c r="G810">
        <v>2433.98</v>
      </c>
    </row>
    <row r="811" spans="1:7" x14ac:dyDescent="0.35">
      <c r="A811" s="178" t="s">
        <v>867</v>
      </c>
      <c r="B811" s="178" t="s">
        <v>2141</v>
      </c>
      <c r="C811" s="178" t="s">
        <v>847</v>
      </c>
      <c r="D811" s="178" t="s">
        <v>2142</v>
      </c>
      <c r="E811">
        <v>1088.55</v>
      </c>
      <c r="F811">
        <v>163.28</v>
      </c>
      <c r="G811">
        <v>1251.83</v>
      </c>
    </row>
    <row r="812" spans="1:7" x14ac:dyDescent="0.35">
      <c r="A812" s="178" t="s">
        <v>1820</v>
      </c>
      <c r="B812" s="178" t="s">
        <v>2143</v>
      </c>
      <c r="C812" s="178" t="s">
        <v>847</v>
      </c>
      <c r="D812" s="178" t="s">
        <v>57</v>
      </c>
      <c r="E812">
        <v>1678.6</v>
      </c>
      <c r="F812">
        <v>251.79</v>
      </c>
      <c r="G812">
        <v>1930.39</v>
      </c>
    </row>
    <row r="813" spans="1:7" x14ac:dyDescent="0.35">
      <c r="A813" s="178" t="s">
        <v>1047</v>
      </c>
      <c r="B813" s="178" t="s">
        <v>2144</v>
      </c>
      <c r="C813" s="178" t="s">
        <v>847</v>
      </c>
      <c r="D813" s="178" t="s">
        <v>57</v>
      </c>
      <c r="E813">
        <v>13017.75</v>
      </c>
      <c r="F813">
        <v>1952.66</v>
      </c>
      <c r="G813">
        <v>14970.41</v>
      </c>
    </row>
    <row r="814" spans="1:7" x14ac:dyDescent="0.35">
      <c r="A814" s="178" t="s">
        <v>917</v>
      </c>
      <c r="B814" s="178" t="s">
        <v>2145</v>
      </c>
      <c r="C814" s="178" t="s">
        <v>847</v>
      </c>
      <c r="D814" s="178" t="s">
        <v>57</v>
      </c>
      <c r="E814">
        <v>4877.3999999999996</v>
      </c>
      <c r="F814">
        <v>731.61</v>
      </c>
      <c r="G814">
        <v>5609.01</v>
      </c>
    </row>
    <row r="815" spans="1:7" x14ac:dyDescent="0.35">
      <c r="A815" s="178" t="s">
        <v>917</v>
      </c>
      <c r="B815" s="178" t="s">
        <v>2146</v>
      </c>
      <c r="C815" s="178" t="s">
        <v>847</v>
      </c>
      <c r="D815" s="178" t="s">
        <v>57</v>
      </c>
      <c r="E815">
        <v>8174.1</v>
      </c>
      <c r="F815">
        <v>1226.1199999999999</v>
      </c>
      <c r="G815">
        <v>9400.2199999999993</v>
      </c>
    </row>
    <row r="816" spans="1:7" x14ac:dyDescent="0.35">
      <c r="A816" s="178" t="s">
        <v>2147</v>
      </c>
      <c r="B816" s="178" t="s">
        <v>2148</v>
      </c>
      <c r="C816" s="178" t="s">
        <v>847</v>
      </c>
      <c r="D816" s="178" t="s">
        <v>57</v>
      </c>
      <c r="E816">
        <v>20813.599999999999</v>
      </c>
      <c r="F816">
        <v>3122.04</v>
      </c>
      <c r="G816">
        <v>23935.64</v>
      </c>
    </row>
    <row r="817" spans="1:7" x14ac:dyDescent="0.35">
      <c r="A817" s="178" t="s">
        <v>2149</v>
      </c>
      <c r="B817" s="178" t="s">
        <v>2150</v>
      </c>
      <c r="C817" s="178" t="s">
        <v>847</v>
      </c>
      <c r="D817" s="178" t="s">
        <v>2151</v>
      </c>
      <c r="E817">
        <v>2691.55</v>
      </c>
      <c r="F817">
        <v>403.74</v>
      </c>
      <c r="G817">
        <v>3095.29</v>
      </c>
    </row>
    <row r="818" spans="1:7" x14ac:dyDescent="0.35">
      <c r="A818" s="178" t="s">
        <v>939</v>
      </c>
      <c r="B818" s="178" t="s">
        <v>2152</v>
      </c>
      <c r="C818" s="178" t="s">
        <v>847</v>
      </c>
      <c r="D818" s="178" t="s">
        <v>57</v>
      </c>
      <c r="E818">
        <v>2171.6999999999998</v>
      </c>
      <c r="F818">
        <v>325.76</v>
      </c>
      <c r="G818">
        <v>2497.46</v>
      </c>
    </row>
    <row r="819" spans="1:7" x14ac:dyDescent="0.35">
      <c r="A819" s="178" t="s">
        <v>1342</v>
      </c>
      <c r="B819" s="178" t="s">
        <v>2153</v>
      </c>
      <c r="C819" s="178" t="s">
        <v>847</v>
      </c>
      <c r="D819" s="178" t="s">
        <v>57</v>
      </c>
      <c r="E819">
        <v>10632.3</v>
      </c>
      <c r="F819">
        <v>1594.85</v>
      </c>
      <c r="G819">
        <v>12227.15</v>
      </c>
    </row>
    <row r="820" spans="1:7" x14ac:dyDescent="0.35">
      <c r="A820" s="178" t="s">
        <v>1070</v>
      </c>
      <c r="B820" s="178" t="s">
        <v>2154</v>
      </c>
      <c r="C820" s="178" t="s">
        <v>847</v>
      </c>
      <c r="D820" s="178" t="s">
        <v>57</v>
      </c>
      <c r="E820">
        <v>619.1</v>
      </c>
      <c r="F820">
        <v>92.87</v>
      </c>
      <c r="G820">
        <v>711.97</v>
      </c>
    </row>
    <row r="821" spans="1:7" x14ac:dyDescent="0.35">
      <c r="A821" s="178" t="s">
        <v>1231</v>
      </c>
      <c r="B821" s="178" t="s">
        <v>2155</v>
      </c>
      <c r="C821" s="178" t="s">
        <v>847</v>
      </c>
      <c r="D821" s="178" t="s">
        <v>1233</v>
      </c>
      <c r="E821">
        <v>2887.5</v>
      </c>
      <c r="F821">
        <v>433.13</v>
      </c>
      <c r="G821">
        <v>3320.63</v>
      </c>
    </row>
    <row r="822" spans="1:7" x14ac:dyDescent="0.35">
      <c r="A822" s="178" t="s">
        <v>990</v>
      </c>
      <c r="B822" s="178" t="s">
        <v>2156</v>
      </c>
      <c r="C822" s="178" t="s">
        <v>847</v>
      </c>
      <c r="D822" s="178" t="s">
        <v>992</v>
      </c>
      <c r="E822">
        <v>1980.25</v>
      </c>
      <c r="F822">
        <v>297.04000000000002</v>
      </c>
      <c r="G822">
        <v>2277.29</v>
      </c>
    </row>
    <row r="823" spans="1:7" x14ac:dyDescent="0.35">
      <c r="A823" s="178" t="s">
        <v>1653</v>
      </c>
      <c r="B823" s="178" t="s">
        <v>2157</v>
      </c>
      <c r="C823" s="178" t="s">
        <v>847</v>
      </c>
      <c r="D823" s="178" t="s">
        <v>57</v>
      </c>
      <c r="E823">
        <v>1459.05</v>
      </c>
      <c r="F823">
        <v>218.86</v>
      </c>
      <c r="G823">
        <v>1677.91</v>
      </c>
    </row>
    <row r="824" spans="1:7" x14ac:dyDescent="0.35">
      <c r="A824" s="178" t="s">
        <v>1070</v>
      </c>
      <c r="B824" s="178" t="s">
        <v>2158</v>
      </c>
      <c r="C824" s="178" t="s">
        <v>847</v>
      </c>
      <c r="D824" s="178" t="s">
        <v>57</v>
      </c>
      <c r="E824">
        <v>623.20000000000005</v>
      </c>
      <c r="F824">
        <v>93.48</v>
      </c>
      <c r="G824">
        <v>716.68</v>
      </c>
    </row>
    <row r="825" spans="1:7" x14ac:dyDescent="0.35">
      <c r="A825" s="178" t="s">
        <v>852</v>
      </c>
      <c r="B825" s="178" t="s">
        <v>2159</v>
      </c>
      <c r="C825" s="178" t="s">
        <v>847</v>
      </c>
      <c r="D825" s="178" t="s">
        <v>2160</v>
      </c>
      <c r="E825">
        <v>1465.2</v>
      </c>
      <c r="F825">
        <v>219.78</v>
      </c>
      <c r="G825">
        <v>1684.98</v>
      </c>
    </row>
    <row r="826" spans="1:7" x14ac:dyDescent="0.35">
      <c r="A826" s="178" t="s">
        <v>1126</v>
      </c>
      <c r="B826" s="178" t="s">
        <v>2161</v>
      </c>
      <c r="C826" s="178" t="s">
        <v>847</v>
      </c>
      <c r="D826" s="178" t="s">
        <v>57</v>
      </c>
      <c r="E826">
        <v>3007.5</v>
      </c>
      <c r="F826">
        <v>451.13</v>
      </c>
      <c r="G826">
        <v>3458.63</v>
      </c>
    </row>
    <row r="827" spans="1:7" x14ac:dyDescent="0.35">
      <c r="A827" s="178" t="s">
        <v>1662</v>
      </c>
      <c r="B827" s="178" t="s">
        <v>2162</v>
      </c>
      <c r="C827" s="178" t="s">
        <v>847</v>
      </c>
      <c r="D827" s="178" t="s">
        <v>57</v>
      </c>
      <c r="E827">
        <v>4439.3999999999996</v>
      </c>
      <c r="F827">
        <v>665.91</v>
      </c>
      <c r="G827">
        <v>5105.3100000000004</v>
      </c>
    </row>
    <row r="828" spans="1:7" x14ac:dyDescent="0.35">
      <c r="A828" s="178" t="s">
        <v>2163</v>
      </c>
      <c r="B828" s="178" t="s">
        <v>2164</v>
      </c>
      <c r="C828" s="178" t="s">
        <v>847</v>
      </c>
      <c r="D828" s="178" t="s">
        <v>57</v>
      </c>
      <c r="E828">
        <v>2081.7800000000002</v>
      </c>
      <c r="F828">
        <v>312.27</v>
      </c>
      <c r="G828">
        <v>2394.0500000000002</v>
      </c>
    </row>
    <row r="829" spans="1:7" x14ac:dyDescent="0.35">
      <c r="A829" s="178" t="s">
        <v>2165</v>
      </c>
      <c r="B829" s="178" t="s">
        <v>2166</v>
      </c>
      <c r="C829" s="178" t="s">
        <v>847</v>
      </c>
      <c r="D829" s="178" t="s">
        <v>2167</v>
      </c>
      <c r="E829">
        <v>14125.2</v>
      </c>
      <c r="F829" s="178" t="s">
        <v>57</v>
      </c>
      <c r="G829">
        <v>14125.2</v>
      </c>
    </row>
    <row r="830" spans="1:7" x14ac:dyDescent="0.35">
      <c r="A830" s="178" t="s">
        <v>1948</v>
      </c>
      <c r="B830" s="178" t="s">
        <v>2168</v>
      </c>
      <c r="C830" s="178" t="s">
        <v>847</v>
      </c>
      <c r="D830" s="178" t="s">
        <v>57</v>
      </c>
      <c r="E830">
        <v>3686.6</v>
      </c>
      <c r="F830">
        <v>552.99</v>
      </c>
      <c r="G830">
        <v>4239.59</v>
      </c>
    </row>
    <row r="831" spans="1:7" x14ac:dyDescent="0.35">
      <c r="A831" s="178" t="s">
        <v>2169</v>
      </c>
      <c r="B831" s="178" t="s">
        <v>2170</v>
      </c>
      <c r="C831" s="178" t="s">
        <v>847</v>
      </c>
      <c r="D831" s="178" t="s">
        <v>57</v>
      </c>
      <c r="E831">
        <v>990</v>
      </c>
      <c r="F831">
        <v>148.5</v>
      </c>
      <c r="G831">
        <v>1138.5</v>
      </c>
    </row>
    <row r="832" spans="1:7" x14ac:dyDescent="0.35">
      <c r="A832" s="178" t="s">
        <v>1032</v>
      </c>
      <c r="B832" s="178" t="s">
        <v>2171</v>
      </c>
      <c r="C832" s="178" t="s">
        <v>856</v>
      </c>
      <c r="D832" s="178" t="s">
        <v>57</v>
      </c>
      <c r="E832">
        <v>44800</v>
      </c>
      <c r="F832">
        <v>6720</v>
      </c>
      <c r="G832">
        <v>51520</v>
      </c>
    </row>
    <row r="833" spans="1:7" x14ac:dyDescent="0.35">
      <c r="A833" s="178" t="s">
        <v>1568</v>
      </c>
      <c r="B833" s="178" t="s">
        <v>2172</v>
      </c>
      <c r="C833" s="178" t="s">
        <v>847</v>
      </c>
      <c r="D833" s="178" t="s">
        <v>57</v>
      </c>
      <c r="E833">
        <v>1713.95</v>
      </c>
      <c r="F833">
        <v>257.08999999999997</v>
      </c>
      <c r="G833">
        <v>1971.04</v>
      </c>
    </row>
    <row r="834" spans="1:7" x14ac:dyDescent="0.35">
      <c r="A834" s="178" t="s">
        <v>2173</v>
      </c>
      <c r="B834" s="178" t="s">
        <v>2174</v>
      </c>
      <c r="C834" s="178" t="s">
        <v>856</v>
      </c>
      <c r="D834" s="178" t="s">
        <v>2175</v>
      </c>
      <c r="E834">
        <v>1274.05</v>
      </c>
      <c r="F834">
        <v>191.11</v>
      </c>
      <c r="G834">
        <v>1465.16</v>
      </c>
    </row>
    <row r="835" spans="1:7" x14ac:dyDescent="0.35">
      <c r="A835" s="178" t="s">
        <v>988</v>
      </c>
      <c r="B835" s="178" t="s">
        <v>2176</v>
      </c>
      <c r="C835" s="178" t="s">
        <v>847</v>
      </c>
      <c r="D835" s="178" t="s">
        <v>57</v>
      </c>
      <c r="E835">
        <v>812.7</v>
      </c>
      <c r="F835">
        <v>121.91</v>
      </c>
      <c r="G835">
        <v>934.61</v>
      </c>
    </row>
    <row r="836" spans="1:7" x14ac:dyDescent="0.35">
      <c r="A836" s="178" t="s">
        <v>1102</v>
      </c>
      <c r="B836" s="178" t="s">
        <v>2177</v>
      </c>
      <c r="C836" s="178" t="s">
        <v>847</v>
      </c>
      <c r="D836" s="178" t="s">
        <v>57</v>
      </c>
      <c r="E836">
        <v>11631.8</v>
      </c>
      <c r="F836">
        <v>1744.77</v>
      </c>
      <c r="G836">
        <v>13376.57</v>
      </c>
    </row>
    <row r="837" spans="1:7" x14ac:dyDescent="0.35">
      <c r="A837" s="178" t="s">
        <v>821</v>
      </c>
      <c r="B837" s="178" t="s">
        <v>2178</v>
      </c>
      <c r="C837" s="178" t="s">
        <v>847</v>
      </c>
      <c r="D837" s="178" t="s">
        <v>57</v>
      </c>
      <c r="E837">
        <v>4672.8</v>
      </c>
      <c r="F837">
        <v>700.92</v>
      </c>
      <c r="G837">
        <v>5373.72</v>
      </c>
    </row>
    <row r="838" spans="1:7" x14ac:dyDescent="0.35">
      <c r="A838" s="178" t="s">
        <v>1445</v>
      </c>
      <c r="B838" s="178" t="s">
        <v>2179</v>
      </c>
      <c r="C838" s="178" t="s">
        <v>847</v>
      </c>
      <c r="D838" s="178" t="s">
        <v>57</v>
      </c>
      <c r="E838">
        <v>783.7</v>
      </c>
      <c r="F838">
        <v>117.56</v>
      </c>
      <c r="G838">
        <v>901.26</v>
      </c>
    </row>
    <row r="839" spans="1:7" x14ac:dyDescent="0.35">
      <c r="A839" s="178" t="s">
        <v>2180</v>
      </c>
      <c r="B839" s="178" t="s">
        <v>2181</v>
      </c>
      <c r="C839" s="178" t="s">
        <v>847</v>
      </c>
      <c r="D839" s="178" t="s">
        <v>57</v>
      </c>
      <c r="E839">
        <v>2950</v>
      </c>
      <c r="F839">
        <v>442.5</v>
      </c>
      <c r="G839">
        <v>3392.5</v>
      </c>
    </row>
    <row r="840" spans="1:7" x14ac:dyDescent="0.35">
      <c r="A840" s="178" t="s">
        <v>2182</v>
      </c>
      <c r="B840" s="178" t="s">
        <v>2183</v>
      </c>
      <c r="C840" s="178" t="s">
        <v>847</v>
      </c>
      <c r="D840" s="178" t="s">
        <v>57</v>
      </c>
      <c r="E840">
        <v>2436.0500000000002</v>
      </c>
      <c r="F840">
        <v>365.41</v>
      </c>
      <c r="G840">
        <v>2801.46</v>
      </c>
    </row>
    <row r="841" spans="1:7" x14ac:dyDescent="0.35">
      <c r="A841" s="178" t="s">
        <v>920</v>
      </c>
      <c r="B841" s="178" t="s">
        <v>2184</v>
      </c>
      <c r="C841" s="178" t="s">
        <v>847</v>
      </c>
      <c r="D841" s="178" t="s">
        <v>57</v>
      </c>
      <c r="E841">
        <v>5421.6</v>
      </c>
      <c r="F841">
        <v>813.24</v>
      </c>
      <c r="G841">
        <v>6234.84</v>
      </c>
    </row>
    <row r="842" spans="1:7" x14ac:dyDescent="0.35">
      <c r="A842" s="178" t="s">
        <v>1312</v>
      </c>
      <c r="B842" s="178" t="s">
        <v>2185</v>
      </c>
      <c r="C842" s="178" t="s">
        <v>847</v>
      </c>
      <c r="D842" s="178" t="s">
        <v>57</v>
      </c>
      <c r="E842">
        <v>6486</v>
      </c>
      <c r="F842">
        <v>972.9</v>
      </c>
      <c r="G842">
        <v>7458.9</v>
      </c>
    </row>
    <row r="843" spans="1:7" x14ac:dyDescent="0.35">
      <c r="A843" s="178" t="s">
        <v>2186</v>
      </c>
      <c r="B843" s="178" t="s">
        <v>2187</v>
      </c>
      <c r="C843" s="178" t="s">
        <v>847</v>
      </c>
      <c r="D843" s="178" t="s">
        <v>57</v>
      </c>
      <c r="E843">
        <v>1316.85</v>
      </c>
      <c r="F843">
        <v>197.53</v>
      </c>
      <c r="G843">
        <v>1514.38</v>
      </c>
    </row>
    <row r="844" spans="1:7" x14ac:dyDescent="0.35">
      <c r="A844" s="178" t="s">
        <v>1312</v>
      </c>
      <c r="B844" s="178" t="s">
        <v>2188</v>
      </c>
      <c r="C844" s="178" t="s">
        <v>847</v>
      </c>
      <c r="D844" s="178" t="s">
        <v>57</v>
      </c>
      <c r="E844">
        <v>4305.6000000000004</v>
      </c>
      <c r="F844">
        <v>645.84</v>
      </c>
      <c r="G844">
        <v>4951.4399999999996</v>
      </c>
    </row>
    <row r="845" spans="1:7" x14ac:dyDescent="0.35">
      <c r="A845" s="178" t="s">
        <v>1312</v>
      </c>
      <c r="B845" s="178" t="s">
        <v>2189</v>
      </c>
      <c r="C845" s="178" t="s">
        <v>847</v>
      </c>
      <c r="D845" s="178" t="s">
        <v>57</v>
      </c>
      <c r="E845">
        <v>4303.3</v>
      </c>
      <c r="F845">
        <v>645.5</v>
      </c>
      <c r="G845">
        <v>4948.8</v>
      </c>
    </row>
    <row r="846" spans="1:7" x14ac:dyDescent="0.35">
      <c r="A846" s="178" t="s">
        <v>1908</v>
      </c>
      <c r="B846" s="178" t="s">
        <v>2190</v>
      </c>
      <c r="C846" s="178" t="s">
        <v>847</v>
      </c>
      <c r="D846" s="178" t="s">
        <v>57</v>
      </c>
      <c r="E846">
        <v>624.79999999999995</v>
      </c>
      <c r="F846">
        <v>93.72</v>
      </c>
      <c r="G846">
        <v>718.52</v>
      </c>
    </row>
    <row r="847" spans="1:7" x14ac:dyDescent="0.35">
      <c r="A847" s="178" t="s">
        <v>793</v>
      </c>
      <c r="B847" s="178" t="s">
        <v>2191</v>
      </c>
      <c r="C847" s="178" t="s">
        <v>847</v>
      </c>
      <c r="D847">
        <v>38300</v>
      </c>
      <c r="E847">
        <v>49356</v>
      </c>
      <c r="F847">
        <v>7403.4</v>
      </c>
      <c r="G847">
        <v>56759.4</v>
      </c>
    </row>
    <row r="848" spans="1:7" x14ac:dyDescent="0.35">
      <c r="A848" s="178" t="s">
        <v>2192</v>
      </c>
      <c r="B848" s="178" t="s">
        <v>2193</v>
      </c>
      <c r="C848" s="178" t="s">
        <v>847</v>
      </c>
      <c r="D848" s="178" t="s">
        <v>57</v>
      </c>
      <c r="E848">
        <v>4109.75</v>
      </c>
      <c r="F848">
        <v>616.47</v>
      </c>
      <c r="G848">
        <v>4726.22</v>
      </c>
    </row>
    <row r="849" spans="1:7" x14ac:dyDescent="0.35">
      <c r="A849" s="178" t="s">
        <v>793</v>
      </c>
      <c r="B849" s="178" t="s">
        <v>2194</v>
      </c>
      <c r="C849" s="178" t="s">
        <v>847</v>
      </c>
      <c r="D849">
        <v>38304</v>
      </c>
      <c r="E849">
        <v>11913.6</v>
      </c>
      <c r="F849">
        <v>1787.04</v>
      </c>
      <c r="G849">
        <v>13700.64</v>
      </c>
    </row>
    <row r="850" spans="1:7" x14ac:dyDescent="0.35">
      <c r="A850" s="178" t="s">
        <v>793</v>
      </c>
      <c r="B850" s="178" t="s">
        <v>2195</v>
      </c>
      <c r="C850" s="178" t="s">
        <v>847</v>
      </c>
      <c r="D850">
        <v>38306</v>
      </c>
      <c r="E850">
        <v>10905.6</v>
      </c>
      <c r="F850">
        <v>1635.84</v>
      </c>
      <c r="G850">
        <v>12541.44</v>
      </c>
    </row>
    <row r="851" spans="1:7" x14ac:dyDescent="0.35">
      <c r="A851" s="178" t="s">
        <v>2196</v>
      </c>
      <c r="B851" s="178" t="s">
        <v>2197</v>
      </c>
      <c r="C851" s="178" t="s">
        <v>847</v>
      </c>
      <c r="D851" s="178" t="s">
        <v>57</v>
      </c>
      <c r="E851">
        <v>764.4</v>
      </c>
      <c r="F851">
        <v>114.66</v>
      </c>
      <c r="G851">
        <v>879.06</v>
      </c>
    </row>
    <row r="852" spans="1:7" x14ac:dyDescent="0.35">
      <c r="A852" s="178" t="s">
        <v>2198</v>
      </c>
      <c r="B852" s="178" t="s">
        <v>2199</v>
      </c>
      <c r="C852" s="178" t="s">
        <v>847</v>
      </c>
      <c r="D852" s="178" t="s">
        <v>57</v>
      </c>
      <c r="E852">
        <v>2967</v>
      </c>
      <c r="F852">
        <v>445.05</v>
      </c>
      <c r="G852">
        <v>3412.05</v>
      </c>
    </row>
    <row r="853" spans="1:7" x14ac:dyDescent="0.35">
      <c r="A853" s="178" t="s">
        <v>879</v>
      </c>
      <c r="B853" s="178" t="s">
        <v>2200</v>
      </c>
      <c r="C853" s="178" t="s">
        <v>847</v>
      </c>
      <c r="D853" s="178" t="s">
        <v>57</v>
      </c>
      <c r="E853">
        <v>1165.6099999999999</v>
      </c>
      <c r="F853">
        <v>174.85</v>
      </c>
      <c r="G853">
        <v>1340.46</v>
      </c>
    </row>
    <row r="854" spans="1:7" x14ac:dyDescent="0.35">
      <c r="A854" s="178" t="s">
        <v>774</v>
      </c>
      <c r="B854" s="178" t="s">
        <v>2201</v>
      </c>
      <c r="C854" s="178" t="s">
        <v>847</v>
      </c>
      <c r="D854" s="178" t="s">
        <v>57</v>
      </c>
      <c r="E854">
        <v>5107.2</v>
      </c>
      <c r="F854">
        <v>766.08</v>
      </c>
      <c r="G854">
        <v>5873.28</v>
      </c>
    </row>
    <row r="855" spans="1:7" x14ac:dyDescent="0.35">
      <c r="A855" s="178" t="s">
        <v>1263</v>
      </c>
      <c r="B855" s="178" t="s">
        <v>2202</v>
      </c>
      <c r="C855" s="178" t="s">
        <v>847</v>
      </c>
      <c r="D855" s="178" t="s">
        <v>57</v>
      </c>
      <c r="E855">
        <v>2335.1999999999998</v>
      </c>
      <c r="F855">
        <v>350.28</v>
      </c>
      <c r="G855">
        <v>2685.48</v>
      </c>
    </row>
    <row r="856" spans="1:7" x14ac:dyDescent="0.35">
      <c r="A856" s="178" t="s">
        <v>2203</v>
      </c>
      <c r="B856" s="178" t="s">
        <v>2204</v>
      </c>
      <c r="C856" s="178" t="s">
        <v>847</v>
      </c>
      <c r="D856" s="178" t="s">
        <v>57</v>
      </c>
      <c r="E856">
        <v>6377.4</v>
      </c>
      <c r="F856">
        <v>956.61</v>
      </c>
      <c r="G856">
        <v>7334.01</v>
      </c>
    </row>
    <row r="857" spans="1:7" x14ac:dyDescent="0.35">
      <c r="A857" s="178" t="s">
        <v>1181</v>
      </c>
      <c r="B857" s="178" t="s">
        <v>2205</v>
      </c>
      <c r="C857" s="178" t="s">
        <v>847</v>
      </c>
      <c r="D857" s="178" t="s">
        <v>57</v>
      </c>
      <c r="E857">
        <v>840</v>
      </c>
      <c r="F857">
        <v>126</v>
      </c>
      <c r="G857">
        <v>966</v>
      </c>
    </row>
    <row r="858" spans="1:7" x14ac:dyDescent="0.35">
      <c r="A858" s="178" t="s">
        <v>1414</v>
      </c>
      <c r="B858" s="178" t="s">
        <v>2206</v>
      </c>
      <c r="C858" s="178" t="s">
        <v>847</v>
      </c>
      <c r="D858" s="178" t="s">
        <v>57</v>
      </c>
      <c r="E858">
        <v>1517</v>
      </c>
      <c r="F858">
        <v>227.55</v>
      </c>
      <c r="G858">
        <v>1744.55</v>
      </c>
    </row>
    <row r="859" spans="1:7" x14ac:dyDescent="0.35">
      <c r="A859" s="178" t="s">
        <v>1359</v>
      </c>
      <c r="B859" s="178" t="s">
        <v>2207</v>
      </c>
      <c r="C859" s="178" t="s">
        <v>847</v>
      </c>
      <c r="D859" s="178" t="s">
        <v>57</v>
      </c>
      <c r="E859">
        <v>9809</v>
      </c>
      <c r="F859">
        <v>1471.35</v>
      </c>
      <c r="G859">
        <v>11280.35</v>
      </c>
    </row>
    <row r="860" spans="1:7" x14ac:dyDescent="0.35">
      <c r="A860" s="178" t="s">
        <v>2208</v>
      </c>
      <c r="B860" s="178" t="s">
        <v>2209</v>
      </c>
      <c r="C860" s="178" t="s">
        <v>847</v>
      </c>
      <c r="D860" s="178" t="s">
        <v>57</v>
      </c>
      <c r="E860">
        <v>3270.4</v>
      </c>
      <c r="F860">
        <v>490.56</v>
      </c>
      <c r="G860">
        <v>3760.96</v>
      </c>
    </row>
    <row r="861" spans="1:7" x14ac:dyDescent="0.35">
      <c r="A861" s="178" t="s">
        <v>2210</v>
      </c>
      <c r="B861" s="178" t="s">
        <v>2211</v>
      </c>
      <c r="C861" s="178" t="s">
        <v>847</v>
      </c>
      <c r="D861" s="178" t="s">
        <v>57</v>
      </c>
      <c r="E861">
        <v>1639.25</v>
      </c>
      <c r="F861">
        <v>245.89</v>
      </c>
      <c r="G861">
        <v>1885.14</v>
      </c>
    </row>
    <row r="862" spans="1:7" x14ac:dyDescent="0.35">
      <c r="A862" s="178" t="s">
        <v>2212</v>
      </c>
      <c r="B862" s="178" t="s">
        <v>2213</v>
      </c>
      <c r="C862" s="178" t="s">
        <v>847</v>
      </c>
      <c r="D862" s="178" t="s">
        <v>57</v>
      </c>
      <c r="E862">
        <v>1368.25</v>
      </c>
      <c r="F862">
        <v>205.24</v>
      </c>
      <c r="G862">
        <v>1573.49</v>
      </c>
    </row>
    <row r="863" spans="1:7" x14ac:dyDescent="0.35">
      <c r="A863" s="178" t="s">
        <v>2214</v>
      </c>
      <c r="B863" s="178" t="s">
        <v>2215</v>
      </c>
      <c r="C863" s="178" t="s">
        <v>847</v>
      </c>
      <c r="D863" s="178" t="s">
        <v>57</v>
      </c>
      <c r="E863">
        <v>1735.15</v>
      </c>
      <c r="F863">
        <v>260.27999999999997</v>
      </c>
      <c r="G863">
        <v>1995.43</v>
      </c>
    </row>
    <row r="864" spans="1:7" x14ac:dyDescent="0.35">
      <c r="A864" s="178" t="s">
        <v>2216</v>
      </c>
      <c r="B864" s="178" t="s">
        <v>2217</v>
      </c>
      <c r="C864" s="178" t="s">
        <v>856</v>
      </c>
      <c r="D864" s="178" t="s">
        <v>57</v>
      </c>
      <c r="E864">
        <v>1626.3</v>
      </c>
      <c r="F864">
        <v>243.95</v>
      </c>
      <c r="G864">
        <v>1870.25</v>
      </c>
    </row>
    <row r="865" spans="1:7" x14ac:dyDescent="0.35">
      <c r="A865" s="178" t="s">
        <v>2218</v>
      </c>
      <c r="B865" s="178" t="s">
        <v>2219</v>
      </c>
      <c r="C865" s="178" t="s">
        <v>856</v>
      </c>
      <c r="D865" s="178" t="s">
        <v>2220</v>
      </c>
      <c r="E865">
        <v>2695.6</v>
      </c>
      <c r="F865">
        <v>404.34</v>
      </c>
      <c r="G865">
        <v>3099.94</v>
      </c>
    </row>
    <row r="866" spans="1:7" x14ac:dyDescent="0.35">
      <c r="A866" s="178" t="s">
        <v>2221</v>
      </c>
      <c r="B866" s="178" t="s">
        <v>2222</v>
      </c>
      <c r="C866" s="178" t="s">
        <v>856</v>
      </c>
      <c r="D866" s="178" t="s">
        <v>57</v>
      </c>
      <c r="E866">
        <v>13554</v>
      </c>
      <c r="F866">
        <v>2033.1</v>
      </c>
      <c r="G866">
        <v>15587.1</v>
      </c>
    </row>
    <row r="867" spans="1:7" x14ac:dyDescent="0.35">
      <c r="A867" s="178" t="s">
        <v>1159</v>
      </c>
      <c r="B867" s="178" t="s">
        <v>2223</v>
      </c>
      <c r="C867" s="178" t="s">
        <v>856</v>
      </c>
      <c r="D867" s="178" t="s">
        <v>57</v>
      </c>
      <c r="E867">
        <v>2423.4</v>
      </c>
      <c r="F867">
        <v>363.51</v>
      </c>
      <c r="G867">
        <v>2786.91</v>
      </c>
    </row>
    <row r="868" spans="1:7" x14ac:dyDescent="0.35">
      <c r="A868" s="178" t="s">
        <v>961</v>
      </c>
      <c r="B868" s="178" t="s">
        <v>2224</v>
      </c>
      <c r="C868" s="178" t="s">
        <v>856</v>
      </c>
      <c r="D868" s="178" t="s">
        <v>57</v>
      </c>
      <c r="E868">
        <v>2909.4</v>
      </c>
      <c r="F868">
        <v>436.41</v>
      </c>
      <c r="G868">
        <v>3345.81</v>
      </c>
    </row>
    <row r="869" spans="1:7" x14ac:dyDescent="0.35">
      <c r="A869" s="178" t="s">
        <v>1204</v>
      </c>
      <c r="B869" s="178" t="s">
        <v>2225</v>
      </c>
      <c r="C869" s="178" t="s">
        <v>856</v>
      </c>
      <c r="D869" s="178" t="s">
        <v>57</v>
      </c>
      <c r="E869">
        <v>1078</v>
      </c>
      <c r="F869">
        <v>161.69999999999999</v>
      </c>
      <c r="G869">
        <v>1239.7</v>
      </c>
    </row>
    <row r="870" spans="1:7" x14ac:dyDescent="0.35">
      <c r="A870" s="178" t="s">
        <v>1885</v>
      </c>
      <c r="B870" s="178" t="s">
        <v>2226</v>
      </c>
      <c r="C870" s="178" t="s">
        <v>856</v>
      </c>
      <c r="D870" s="178" t="s">
        <v>57</v>
      </c>
      <c r="E870">
        <v>3020.5</v>
      </c>
      <c r="F870">
        <v>453.08</v>
      </c>
      <c r="G870">
        <v>3473.58</v>
      </c>
    </row>
    <row r="871" spans="1:7" x14ac:dyDescent="0.35">
      <c r="A871" s="178" t="s">
        <v>2227</v>
      </c>
      <c r="B871" s="178" t="s">
        <v>2228</v>
      </c>
      <c r="C871" s="178" t="s">
        <v>856</v>
      </c>
      <c r="D871" s="178" t="s">
        <v>57</v>
      </c>
      <c r="E871">
        <v>500</v>
      </c>
      <c r="F871">
        <v>75</v>
      </c>
      <c r="G871">
        <v>575</v>
      </c>
    </row>
    <row r="872" spans="1:7" x14ac:dyDescent="0.35">
      <c r="A872" s="178" t="s">
        <v>821</v>
      </c>
      <c r="B872" s="178" t="s">
        <v>2229</v>
      </c>
      <c r="C872" s="178" t="s">
        <v>856</v>
      </c>
      <c r="D872" s="178" t="s">
        <v>57</v>
      </c>
      <c r="E872">
        <v>18136.8</v>
      </c>
      <c r="F872">
        <v>2720.52</v>
      </c>
      <c r="G872">
        <v>20857.32</v>
      </c>
    </row>
    <row r="873" spans="1:7" x14ac:dyDescent="0.35">
      <c r="A873" s="178" t="s">
        <v>2230</v>
      </c>
      <c r="B873" s="178" t="s">
        <v>2231</v>
      </c>
      <c r="C873" s="178" t="s">
        <v>856</v>
      </c>
      <c r="D873" s="178" t="s">
        <v>2232</v>
      </c>
      <c r="E873">
        <v>473.1</v>
      </c>
      <c r="F873">
        <v>70.97</v>
      </c>
      <c r="G873">
        <v>544.07000000000005</v>
      </c>
    </row>
    <row r="874" spans="1:7" x14ac:dyDescent="0.35">
      <c r="A874" s="178" t="s">
        <v>1039</v>
      </c>
      <c r="B874" s="178" t="s">
        <v>2233</v>
      </c>
      <c r="C874" s="178" t="s">
        <v>856</v>
      </c>
      <c r="D874" s="178" t="s">
        <v>57</v>
      </c>
      <c r="E874">
        <v>75211.45</v>
      </c>
      <c r="F874">
        <v>11281.72</v>
      </c>
      <c r="G874">
        <v>86493.17</v>
      </c>
    </row>
    <row r="875" spans="1:7" x14ac:dyDescent="0.35">
      <c r="A875" s="178" t="s">
        <v>2234</v>
      </c>
      <c r="B875" s="178" t="s">
        <v>2235</v>
      </c>
      <c r="C875" s="178" t="s">
        <v>856</v>
      </c>
      <c r="D875" s="178" t="s">
        <v>57</v>
      </c>
      <c r="E875">
        <v>2395.1</v>
      </c>
      <c r="F875">
        <v>359.27</v>
      </c>
      <c r="G875">
        <v>2754.37</v>
      </c>
    </row>
    <row r="876" spans="1:7" x14ac:dyDescent="0.35">
      <c r="A876" s="178" t="s">
        <v>961</v>
      </c>
      <c r="B876" s="178" t="s">
        <v>2236</v>
      </c>
      <c r="C876" s="178" t="s">
        <v>856</v>
      </c>
      <c r="D876" s="178" t="s">
        <v>57</v>
      </c>
      <c r="E876">
        <v>3481.4</v>
      </c>
      <c r="F876">
        <v>522.21</v>
      </c>
      <c r="G876">
        <v>4003.61</v>
      </c>
    </row>
    <row r="877" spans="1:7" x14ac:dyDescent="0.35">
      <c r="A877" s="178" t="s">
        <v>750</v>
      </c>
      <c r="B877" s="178" t="s">
        <v>2237</v>
      </c>
      <c r="C877" s="178" t="s">
        <v>856</v>
      </c>
      <c r="D877" s="178" t="s">
        <v>2238</v>
      </c>
      <c r="E877">
        <v>16396.599999999999</v>
      </c>
      <c r="F877">
        <v>2459.4899999999998</v>
      </c>
      <c r="G877">
        <v>18856.09</v>
      </c>
    </row>
    <row r="878" spans="1:7" x14ac:dyDescent="0.35">
      <c r="A878" s="178" t="s">
        <v>1391</v>
      </c>
      <c r="B878" s="178" t="s">
        <v>2239</v>
      </c>
      <c r="C878" s="178" t="s">
        <v>856</v>
      </c>
      <c r="D878" s="178" t="s">
        <v>57</v>
      </c>
      <c r="E878">
        <v>22374.5</v>
      </c>
      <c r="F878">
        <v>3356.18</v>
      </c>
      <c r="G878">
        <v>25730.68</v>
      </c>
    </row>
    <row r="879" spans="1:7" x14ac:dyDescent="0.35">
      <c r="A879" s="178" t="s">
        <v>2240</v>
      </c>
      <c r="B879" s="178" t="s">
        <v>2241</v>
      </c>
      <c r="C879" s="178" t="s">
        <v>856</v>
      </c>
      <c r="D879" s="178" t="s">
        <v>57</v>
      </c>
      <c r="E879">
        <v>4021.55</v>
      </c>
      <c r="F879">
        <v>603.23</v>
      </c>
      <c r="G879">
        <v>4624.78</v>
      </c>
    </row>
    <row r="880" spans="1:7" x14ac:dyDescent="0.35">
      <c r="A880" s="178" t="s">
        <v>990</v>
      </c>
      <c r="B880" s="178" t="s">
        <v>2242</v>
      </c>
      <c r="C880" s="178" t="s">
        <v>856</v>
      </c>
      <c r="D880" s="178" t="s">
        <v>992</v>
      </c>
      <c r="E880">
        <v>4695.3500000000004</v>
      </c>
      <c r="F880">
        <v>704.3</v>
      </c>
      <c r="G880">
        <v>5399.65</v>
      </c>
    </row>
    <row r="881" spans="1:7" x14ac:dyDescent="0.35">
      <c r="A881" s="178" t="s">
        <v>873</v>
      </c>
      <c r="B881" s="178" t="s">
        <v>2243</v>
      </c>
      <c r="C881" s="178" t="s">
        <v>856</v>
      </c>
      <c r="D881" s="178" t="s">
        <v>2244</v>
      </c>
      <c r="E881">
        <v>3934.75</v>
      </c>
      <c r="F881">
        <v>590.22</v>
      </c>
      <c r="G881">
        <v>4524.97</v>
      </c>
    </row>
    <row r="882" spans="1:7" x14ac:dyDescent="0.35">
      <c r="A882" s="178" t="s">
        <v>2245</v>
      </c>
      <c r="B882" s="178" t="s">
        <v>2246</v>
      </c>
      <c r="C882" s="178" t="s">
        <v>856</v>
      </c>
      <c r="D882" s="178" t="s">
        <v>57</v>
      </c>
      <c r="E882">
        <v>4177.25</v>
      </c>
      <c r="F882">
        <v>626.59</v>
      </c>
      <c r="G882">
        <v>4803.84</v>
      </c>
    </row>
    <row r="883" spans="1:7" x14ac:dyDescent="0.35">
      <c r="A883" s="178" t="s">
        <v>932</v>
      </c>
      <c r="B883" s="178" t="s">
        <v>2247</v>
      </c>
      <c r="C883" s="178" t="s">
        <v>856</v>
      </c>
      <c r="D883" s="178" t="s">
        <v>2248</v>
      </c>
      <c r="E883">
        <v>9360.9</v>
      </c>
      <c r="F883">
        <v>1404.14</v>
      </c>
      <c r="G883">
        <v>10765.04</v>
      </c>
    </row>
    <row r="884" spans="1:7" x14ac:dyDescent="0.35">
      <c r="A884" s="178" t="s">
        <v>862</v>
      </c>
      <c r="B884" s="178" t="s">
        <v>2249</v>
      </c>
      <c r="C884" s="178" t="s">
        <v>856</v>
      </c>
      <c r="D884" s="178" t="s">
        <v>57</v>
      </c>
      <c r="E884">
        <v>1184.4000000000001</v>
      </c>
      <c r="F884">
        <v>177.66</v>
      </c>
      <c r="G884">
        <v>1362.06</v>
      </c>
    </row>
    <row r="885" spans="1:7" x14ac:dyDescent="0.35">
      <c r="A885" s="178" t="s">
        <v>969</v>
      </c>
      <c r="B885" s="178" t="s">
        <v>2250</v>
      </c>
      <c r="C885" s="178" t="s">
        <v>856</v>
      </c>
      <c r="D885" s="178" t="s">
        <v>57</v>
      </c>
      <c r="E885">
        <v>4528.8</v>
      </c>
      <c r="F885">
        <v>679.32</v>
      </c>
      <c r="G885">
        <v>5208.12</v>
      </c>
    </row>
    <row r="886" spans="1:7" x14ac:dyDescent="0.35">
      <c r="A886" s="178" t="s">
        <v>2251</v>
      </c>
      <c r="B886" s="178" t="s">
        <v>2252</v>
      </c>
      <c r="C886" s="178" t="s">
        <v>856</v>
      </c>
      <c r="D886" s="178" t="s">
        <v>57</v>
      </c>
      <c r="E886">
        <v>2599.8000000000002</v>
      </c>
      <c r="F886">
        <v>389.98</v>
      </c>
      <c r="G886">
        <v>2989.78</v>
      </c>
    </row>
    <row r="887" spans="1:7" x14ac:dyDescent="0.35">
      <c r="A887" s="178" t="s">
        <v>750</v>
      </c>
      <c r="B887" s="178" t="s">
        <v>2253</v>
      </c>
      <c r="C887" s="178" t="s">
        <v>856</v>
      </c>
      <c r="D887" s="178" t="s">
        <v>57</v>
      </c>
      <c r="E887">
        <v>17000</v>
      </c>
      <c r="F887">
        <v>2550</v>
      </c>
      <c r="G887">
        <v>19550</v>
      </c>
    </row>
    <row r="888" spans="1:7" x14ac:dyDescent="0.35">
      <c r="A888" s="178" t="s">
        <v>1535</v>
      </c>
      <c r="B888" s="178" t="s">
        <v>2254</v>
      </c>
      <c r="C888" s="178" t="s">
        <v>856</v>
      </c>
      <c r="D888" s="178" t="s">
        <v>57</v>
      </c>
      <c r="E888">
        <v>3819.75</v>
      </c>
      <c r="F888">
        <v>572.97</v>
      </c>
      <c r="G888">
        <v>4392.72</v>
      </c>
    </row>
    <row r="889" spans="1:7" x14ac:dyDescent="0.35">
      <c r="A889" s="178" t="s">
        <v>1026</v>
      </c>
      <c r="B889" s="178" t="s">
        <v>2255</v>
      </c>
      <c r="C889" s="178" t="s">
        <v>856</v>
      </c>
      <c r="D889" s="178" t="s">
        <v>57</v>
      </c>
      <c r="E889">
        <v>1382.15</v>
      </c>
      <c r="F889">
        <v>207.32</v>
      </c>
      <c r="G889">
        <v>1589.47</v>
      </c>
    </row>
    <row r="890" spans="1:7" x14ac:dyDescent="0.35">
      <c r="A890" s="178" t="s">
        <v>997</v>
      </c>
      <c r="B890" s="178" t="s">
        <v>2256</v>
      </c>
      <c r="C890" s="178" t="s">
        <v>856</v>
      </c>
      <c r="D890" s="178" t="s">
        <v>2257</v>
      </c>
      <c r="E890">
        <v>5360</v>
      </c>
      <c r="F890">
        <v>804</v>
      </c>
      <c r="G890">
        <v>6164</v>
      </c>
    </row>
    <row r="891" spans="1:7" x14ac:dyDescent="0.35">
      <c r="A891" s="178" t="s">
        <v>2258</v>
      </c>
      <c r="B891" s="178" t="s">
        <v>2259</v>
      </c>
      <c r="C891" s="178" t="s">
        <v>856</v>
      </c>
      <c r="D891" s="178" t="s">
        <v>57</v>
      </c>
      <c r="E891">
        <v>17925.599999999999</v>
      </c>
      <c r="F891">
        <v>2688.85</v>
      </c>
      <c r="G891">
        <v>20614.45</v>
      </c>
    </row>
    <row r="892" spans="1:7" x14ac:dyDescent="0.35">
      <c r="A892" s="178" t="s">
        <v>1194</v>
      </c>
      <c r="B892" s="178" t="s">
        <v>2260</v>
      </c>
      <c r="C892" s="178" t="s">
        <v>856</v>
      </c>
      <c r="D892" s="178" t="s">
        <v>57</v>
      </c>
      <c r="E892">
        <v>7456.95</v>
      </c>
      <c r="F892">
        <v>1118.54</v>
      </c>
      <c r="G892">
        <v>8575.49</v>
      </c>
    </row>
    <row r="893" spans="1:7" x14ac:dyDescent="0.35">
      <c r="A893" s="178" t="s">
        <v>2261</v>
      </c>
      <c r="B893" s="178" t="s">
        <v>2262</v>
      </c>
      <c r="C893" s="178" t="s">
        <v>856</v>
      </c>
      <c r="D893" s="178" t="s">
        <v>57</v>
      </c>
      <c r="E893">
        <v>1320.6</v>
      </c>
      <c r="F893">
        <v>198.09</v>
      </c>
      <c r="G893">
        <v>1518.69</v>
      </c>
    </row>
    <row r="894" spans="1:7" x14ac:dyDescent="0.35">
      <c r="A894" s="178" t="s">
        <v>2263</v>
      </c>
      <c r="B894" s="178" t="s">
        <v>2264</v>
      </c>
      <c r="C894" s="178" t="s">
        <v>856</v>
      </c>
      <c r="D894" s="178" t="s">
        <v>2265</v>
      </c>
      <c r="E894">
        <v>5803.2</v>
      </c>
      <c r="F894">
        <v>870.48</v>
      </c>
      <c r="G894">
        <v>6673.68</v>
      </c>
    </row>
    <row r="895" spans="1:7" x14ac:dyDescent="0.35">
      <c r="A895" s="178" t="s">
        <v>750</v>
      </c>
      <c r="B895" s="178" t="s">
        <v>2266</v>
      </c>
      <c r="C895" s="178" t="s">
        <v>856</v>
      </c>
      <c r="D895" s="178" t="s">
        <v>2267</v>
      </c>
      <c r="E895">
        <v>1232.5</v>
      </c>
      <c r="F895">
        <v>184.88</v>
      </c>
      <c r="G895">
        <v>1417.38</v>
      </c>
    </row>
    <row r="896" spans="1:7" x14ac:dyDescent="0.35">
      <c r="A896" s="178" t="s">
        <v>977</v>
      </c>
      <c r="B896" s="178" t="s">
        <v>2268</v>
      </c>
      <c r="C896" s="178" t="s">
        <v>856</v>
      </c>
      <c r="D896" s="178" t="s">
        <v>57</v>
      </c>
      <c r="E896">
        <v>19003.7</v>
      </c>
      <c r="F896">
        <v>2850.55</v>
      </c>
      <c r="G896">
        <v>21854.25</v>
      </c>
    </row>
    <row r="897" spans="1:7" x14ac:dyDescent="0.35">
      <c r="A897" s="178" t="s">
        <v>1104</v>
      </c>
      <c r="B897" s="178" t="s">
        <v>2269</v>
      </c>
      <c r="C897" s="178" t="s">
        <v>856</v>
      </c>
      <c r="D897" s="178" t="s">
        <v>57</v>
      </c>
      <c r="E897">
        <v>11764.25</v>
      </c>
      <c r="F897">
        <v>1764.64</v>
      </c>
      <c r="G897">
        <v>13528.89</v>
      </c>
    </row>
    <row r="898" spans="1:7" x14ac:dyDescent="0.35">
      <c r="A898" s="178" t="s">
        <v>1796</v>
      </c>
      <c r="B898" s="178" t="s">
        <v>2270</v>
      </c>
      <c r="C898" s="178" t="s">
        <v>856</v>
      </c>
      <c r="D898" s="178" t="s">
        <v>57</v>
      </c>
      <c r="E898">
        <v>628.25</v>
      </c>
      <c r="F898">
        <v>94.24</v>
      </c>
      <c r="G898">
        <v>722.49</v>
      </c>
    </row>
    <row r="899" spans="1:7" x14ac:dyDescent="0.35">
      <c r="A899" s="178" t="s">
        <v>750</v>
      </c>
      <c r="B899" s="178" t="s">
        <v>2271</v>
      </c>
      <c r="C899" s="178" t="s">
        <v>856</v>
      </c>
      <c r="D899" s="178" t="s">
        <v>57</v>
      </c>
      <c r="E899">
        <v>250</v>
      </c>
      <c r="F899">
        <v>37.5</v>
      </c>
      <c r="G899">
        <v>287.5</v>
      </c>
    </row>
    <row r="900" spans="1:7" x14ac:dyDescent="0.35">
      <c r="A900" s="178" t="s">
        <v>793</v>
      </c>
      <c r="B900" s="178" t="s">
        <v>2272</v>
      </c>
      <c r="C900" s="178" t="s">
        <v>856</v>
      </c>
      <c r="D900">
        <v>38356</v>
      </c>
      <c r="E900">
        <v>7865</v>
      </c>
      <c r="F900">
        <v>1179.75</v>
      </c>
      <c r="G900">
        <v>9044.75</v>
      </c>
    </row>
    <row r="901" spans="1:7" x14ac:dyDescent="0.35">
      <c r="A901" s="178" t="s">
        <v>2273</v>
      </c>
      <c r="B901" s="178" t="s">
        <v>2274</v>
      </c>
      <c r="C901" s="178" t="s">
        <v>856</v>
      </c>
      <c r="D901" s="178" t="s">
        <v>57</v>
      </c>
      <c r="E901">
        <v>1638.85</v>
      </c>
      <c r="F901">
        <v>245.83</v>
      </c>
      <c r="G901">
        <v>1884.68</v>
      </c>
    </row>
    <row r="902" spans="1:7" x14ac:dyDescent="0.35">
      <c r="A902" s="178" t="s">
        <v>988</v>
      </c>
      <c r="B902" s="178" t="s">
        <v>2275</v>
      </c>
      <c r="C902" s="178" t="s">
        <v>856</v>
      </c>
      <c r="D902" s="178" t="s">
        <v>57</v>
      </c>
      <c r="E902">
        <v>2852</v>
      </c>
      <c r="F902">
        <v>427.8</v>
      </c>
      <c r="G902">
        <v>3279.8</v>
      </c>
    </row>
    <row r="903" spans="1:7" x14ac:dyDescent="0.35">
      <c r="A903" s="178" t="s">
        <v>1135</v>
      </c>
      <c r="B903" s="178" t="s">
        <v>2276</v>
      </c>
      <c r="C903" s="178" t="s">
        <v>856</v>
      </c>
      <c r="D903" s="178" t="s">
        <v>57</v>
      </c>
      <c r="E903">
        <v>769.45</v>
      </c>
      <c r="F903">
        <v>115.42</v>
      </c>
      <c r="G903">
        <v>884.87</v>
      </c>
    </row>
    <row r="904" spans="1:7" x14ac:dyDescent="0.35">
      <c r="A904" s="178" t="s">
        <v>1099</v>
      </c>
      <c r="B904" s="178" t="s">
        <v>2277</v>
      </c>
      <c r="C904" s="178" t="s">
        <v>856</v>
      </c>
      <c r="D904" s="178" t="s">
        <v>2278</v>
      </c>
      <c r="E904">
        <v>2274.6</v>
      </c>
      <c r="F904">
        <v>341.19</v>
      </c>
      <c r="G904">
        <v>2615.79</v>
      </c>
    </row>
    <row r="905" spans="1:7" x14ac:dyDescent="0.35">
      <c r="A905" s="178" t="s">
        <v>2279</v>
      </c>
      <c r="B905" s="178" t="s">
        <v>2280</v>
      </c>
      <c r="C905" s="178" t="s">
        <v>856</v>
      </c>
      <c r="D905" s="178" t="s">
        <v>57</v>
      </c>
      <c r="E905">
        <v>1146.0999999999999</v>
      </c>
      <c r="F905">
        <v>171.92</v>
      </c>
      <c r="G905">
        <v>1318.02</v>
      </c>
    </row>
    <row r="906" spans="1:7" x14ac:dyDescent="0.35">
      <c r="A906" s="178" t="s">
        <v>2281</v>
      </c>
      <c r="B906" s="178" t="s">
        <v>2282</v>
      </c>
      <c r="C906" s="178" t="s">
        <v>856</v>
      </c>
      <c r="D906" s="178" t="s">
        <v>2283</v>
      </c>
      <c r="E906">
        <v>983.1</v>
      </c>
      <c r="F906">
        <v>147.47</v>
      </c>
      <c r="G906">
        <v>1130.57</v>
      </c>
    </row>
    <row r="907" spans="1:7" x14ac:dyDescent="0.35">
      <c r="A907" s="178" t="s">
        <v>1214</v>
      </c>
      <c r="B907" s="178" t="s">
        <v>2284</v>
      </c>
      <c r="C907" s="178" t="s">
        <v>856</v>
      </c>
      <c r="D907" s="178" t="s">
        <v>2285</v>
      </c>
      <c r="E907">
        <v>9582.2999999999993</v>
      </c>
      <c r="F907">
        <v>1437.35</v>
      </c>
      <c r="G907">
        <v>11019.65</v>
      </c>
    </row>
    <row r="908" spans="1:7" x14ac:dyDescent="0.35">
      <c r="A908" s="178" t="s">
        <v>2017</v>
      </c>
      <c r="B908" s="178" t="s">
        <v>2286</v>
      </c>
      <c r="C908" s="178" t="s">
        <v>856</v>
      </c>
      <c r="D908" s="178" t="s">
        <v>2019</v>
      </c>
      <c r="E908">
        <v>656.25</v>
      </c>
      <c r="F908">
        <v>98.44</v>
      </c>
      <c r="G908">
        <v>754.69</v>
      </c>
    </row>
    <row r="909" spans="1:7" x14ac:dyDescent="0.35">
      <c r="A909" s="178" t="s">
        <v>1089</v>
      </c>
      <c r="B909" s="178" t="s">
        <v>2287</v>
      </c>
      <c r="C909" s="178" t="s">
        <v>915</v>
      </c>
      <c r="D909" s="178" t="s">
        <v>57</v>
      </c>
      <c r="E909">
        <v>634.95000000000005</v>
      </c>
      <c r="F909">
        <v>95.24</v>
      </c>
      <c r="G909">
        <v>730.19</v>
      </c>
    </row>
    <row r="910" spans="1:7" x14ac:dyDescent="0.35">
      <c r="A910" s="178" t="s">
        <v>2279</v>
      </c>
      <c r="B910" s="178" t="s">
        <v>2288</v>
      </c>
      <c r="C910" s="178" t="s">
        <v>856</v>
      </c>
      <c r="D910" s="178" t="s">
        <v>57</v>
      </c>
      <c r="E910">
        <v>968.35</v>
      </c>
      <c r="F910">
        <v>145.25</v>
      </c>
      <c r="G910">
        <v>1113.5999999999999</v>
      </c>
    </row>
    <row r="911" spans="1:7" x14ac:dyDescent="0.35">
      <c r="A911" s="178" t="s">
        <v>1106</v>
      </c>
      <c r="B911" s="178" t="s">
        <v>2289</v>
      </c>
      <c r="C911" s="178" t="s">
        <v>856</v>
      </c>
      <c r="D911" s="178" t="s">
        <v>2290</v>
      </c>
      <c r="E911">
        <v>1308.8</v>
      </c>
      <c r="F911">
        <v>196.32</v>
      </c>
      <c r="G911">
        <v>1505.12</v>
      </c>
    </row>
    <row r="912" spans="1:7" x14ac:dyDescent="0.35">
      <c r="A912" s="178" t="s">
        <v>1089</v>
      </c>
      <c r="B912" s="178" t="s">
        <v>2291</v>
      </c>
      <c r="C912" s="178" t="s">
        <v>915</v>
      </c>
      <c r="D912" s="178" t="s">
        <v>57</v>
      </c>
      <c r="E912">
        <v>1914.5</v>
      </c>
      <c r="F912">
        <v>287.18</v>
      </c>
      <c r="G912">
        <v>2201.6799999999998</v>
      </c>
    </row>
    <row r="913" spans="1:7" x14ac:dyDescent="0.35">
      <c r="A913" s="178" t="s">
        <v>1874</v>
      </c>
      <c r="B913" s="178" t="s">
        <v>2292</v>
      </c>
      <c r="C913" s="178" t="s">
        <v>856</v>
      </c>
      <c r="D913" s="178" t="s">
        <v>2293</v>
      </c>
      <c r="E913">
        <v>12684.8</v>
      </c>
      <c r="F913">
        <v>1902.72</v>
      </c>
      <c r="G913">
        <v>14587.52</v>
      </c>
    </row>
    <row r="914" spans="1:7" x14ac:dyDescent="0.35">
      <c r="A914" s="178" t="s">
        <v>789</v>
      </c>
      <c r="B914" s="178" t="s">
        <v>2294</v>
      </c>
      <c r="C914" s="178" t="s">
        <v>856</v>
      </c>
      <c r="D914" s="178" t="s">
        <v>57</v>
      </c>
      <c r="E914">
        <v>44040</v>
      </c>
      <c r="F914">
        <v>6606</v>
      </c>
      <c r="G914">
        <v>50646</v>
      </c>
    </row>
    <row r="915" spans="1:7" x14ac:dyDescent="0.35">
      <c r="A915" s="178" t="s">
        <v>1120</v>
      </c>
      <c r="B915" s="178" t="s">
        <v>2295</v>
      </c>
      <c r="C915" s="178" t="s">
        <v>856</v>
      </c>
      <c r="D915" s="178" t="s">
        <v>57</v>
      </c>
      <c r="E915">
        <v>17160.849999999999</v>
      </c>
      <c r="F915">
        <v>2574.13</v>
      </c>
      <c r="G915">
        <v>19734.98</v>
      </c>
    </row>
    <row r="916" spans="1:7" x14ac:dyDescent="0.35">
      <c r="A916" s="178" t="s">
        <v>2208</v>
      </c>
      <c r="B916" s="178" t="s">
        <v>2296</v>
      </c>
      <c r="C916" s="178" t="s">
        <v>856</v>
      </c>
      <c r="D916" s="178" t="s">
        <v>57</v>
      </c>
      <c r="E916">
        <v>1514.75</v>
      </c>
      <c r="F916">
        <v>227.21</v>
      </c>
      <c r="G916">
        <v>1741.96</v>
      </c>
    </row>
    <row r="917" spans="1:7" x14ac:dyDescent="0.35">
      <c r="A917" s="178" t="s">
        <v>1540</v>
      </c>
      <c r="B917" s="178" t="s">
        <v>2297</v>
      </c>
      <c r="C917" s="178" t="s">
        <v>856</v>
      </c>
      <c r="D917" s="178" t="s">
        <v>1542</v>
      </c>
      <c r="E917">
        <v>12520.2</v>
      </c>
      <c r="F917">
        <v>1878.03</v>
      </c>
      <c r="G917">
        <v>14398.23</v>
      </c>
    </row>
    <row r="918" spans="1:7" x14ac:dyDescent="0.35">
      <c r="A918" s="178" t="s">
        <v>1070</v>
      </c>
      <c r="B918" s="178" t="s">
        <v>2298</v>
      </c>
      <c r="C918" s="178" t="s">
        <v>856</v>
      </c>
      <c r="D918" s="178" t="s">
        <v>57</v>
      </c>
      <c r="E918">
        <v>660.1</v>
      </c>
      <c r="F918">
        <v>99.02</v>
      </c>
      <c r="G918">
        <v>759.12</v>
      </c>
    </row>
    <row r="919" spans="1:7" x14ac:dyDescent="0.35">
      <c r="A919" s="178" t="s">
        <v>2299</v>
      </c>
      <c r="B919" s="178" t="s">
        <v>2300</v>
      </c>
      <c r="C919" s="178" t="s">
        <v>856</v>
      </c>
      <c r="D919" s="178" t="s">
        <v>2301</v>
      </c>
      <c r="E919">
        <v>3587.2</v>
      </c>
      <c r="F919">
        <v>538.08000000000004</v>
      </c>
      <c r="G919">
        <v>4125.28</v>
      </c>
    </row>
    <row r="920" spans="1:7" x14ac:dyDescent="0.35">
      <c r="A920" s="178" t="s">
        <v>1475</v>
      </c>
      <c r="B920" s="178" t="s">
        <v>2302</v>
      </c>
      <c r="C920" s="178" t="s">
        <v>856</v>
      </c>
      <c r="D920" s="178" t="s">
        <v>57</v>
      </c>
      <c r="E920">
        <v>3319.65</v>
      </c>
      <c r="F920">
        <v>497.95</v>
      </c>
      <c r="G920">
        <v>3817.6</v>
      </c>
    </row>
    <row r="921" spans="1:7" x14ac:dyDescent="0.35">
      <c r="A921" s="178" t="s">
        <v>1538</v>
      </c>
      <c r="B921" s="178" t="s">
        <v>2303</v>
      </c>
      <c r="C921" s="178" t="s">
        <v>856</v>
      </c>
      <c r="D921" s="178" t="s">
        <v>57</v>
      </c>
      <c r="E921">
        <v>329.76</v>
      </c>
      <c r="F921">
        <v>49.46</v>
      </c>
      <c r="G921">
        <v>379.22</v>
      </c>
    </row>
    <row r="922" spans="1:7" x14ac:dyDescent="0.35">
      <c r="A922" s="178" t="s">
        <v>1099</v>
      </c>
      <c r="B922" s="178" t="s">
        <v>2304</v>
      </c>
      <c r="C922" s="178" t="s">
        <v>856</v>
      </c>
      <c r="D922" s="178" t="s">
        <v>1101</v>
      </c>
      <c r="E922">
        <v>1879.9</v>
      </c>
      <c r="F922">
        <v>281.99</v>
      </c>
      <c r="G922">
        <v>2161.89</v>
      </c>
    </row>
    <row r="923" spans="1:7" x14ac:dyDescent="0.35">
      <c r="A923" s="178" t="s">
        <v>860</v>
      </c>
      <c r="B923" s="178" t="s">
        <v>2305</v>
      </c>
      <c r="C923" s="178" t="s">
        <v>856</v>
      </c>
      <c r="D923" s="178" t="s">
        <v>57</v>
      </c>
      <c r="E923">
        <v>2233.9499999999998</v>
      </c>
      <c r="F923">
        <v>335.09</v>
      </c>
      <c r="G923">
        <v>2569.04</v>
      </c>
    </row>
    <row r="924" spans="1:7" x14ac:dyDescent="0.35">
      <c r="A924" s="178" t="s">
        <v>750</v>
      </c>
      <c r="B924" s="178" t="s">
        <v>2306</v>
      </c>
      <c r="C924" s="178" t="s">
        <v>856</v>
      </c>
      <c r="D924" s="178" t="s">
        <v>2307</v>
      </c>
      <c r="E924">
        <v>4000</v>
      </c>
      <c r="F924">
        <v>600</v>
      </c>
      <c r="G924">
        <v>4600</v>
      </c>
    </row>
    <row r="925" spans="1:7" x14ac:dyDescent="0.35">
      <c r="A925" s="178" t="s">
        <v>1083</v>
      </c>
      <c r="B925" s="178" t="s">
        <v>2308</v>
      </c>
      <c r="C925" s="178" t="s">
        <v>856</v>
      </c>
      <c r="D925" s="178" t="s">
        <v>57</v>
      </c>
      <c r="E925">
        <v>24570.9</v>
      </c>
      <c r="F925">
        <v>3685.63</v>
      </c>
      <c r="G925">
        <v>28256.53</v>
      </c>
    </row>
    <row r="926" spans="1:7" x14ac:dyDescent="0.35">
      <c r="A926" s="178" t="s">
        <v>2309</v>
      </c>
      <c r="B926" s="178" t="s">
        <v>2310</v>
      </c>
      <c r="C926" s="178" t="s">
        <v>856</v>
      </c>
      <c r="D926" s="178" t="s">
        <v>57</v>
      </c>
      <c r="E926">
        <v>4334.6000000000004</v>
      </c>
      <c r="F926">
        <v>650.19000000000005</v>
      </c>
      <c r="G926">
        <v>4984.79</v>
      </c>
    </row>
    <row r="927" spans="1:7" x14ac:dyDescent="0.35">
      <c r="A927" s="178" t="s">
        <v>857</v>
      </c>
      <c r="B927" s="178" t="s">
        <v>2311</v>
      </c>
      <c r="C927" s="178" t="s">
        <v>856</v>
      </c>
      <c r="D927" s="178" t="s">
        <v>57</v>
      </c>
      <c r="E927">
        <v>2205.9</v>
      </c>
      <c r="F927">
        <v>330.89</v>
      </c>
      <c r="G927">
        <v>2536.79</v>
      </c>
    </row>
    <row r="928" spans="1:7" x14ac:dyDescent="0.35">
      <c r="A928" s="178" t="s">
        <v>1254</v>
      </c>
      <c r="B928" s="178" t="s">
        <v>2312</v>
      </c>
      <c r="C928" s="178" t="s">
        <v>856</v>
      </c>
      <c r="D928" s="178" t="s">
        <v>57</v>
      </c>
      <c r="E928">
        <v>17858.599999999999</v>
      </c>
      <c r="F928">
        <v>2678.8</v>
      </c>
      <c r="G928">
        <v>20537.400000000001</v>
      </c>
    </row>
    <row r="929" spans="1:7" x14ac:dyDescent="0.35">
      <c r="A929" s="178" t="s">
        <v>860</v>
      </c>
      <c r="B929" s="178" t="s">
        <v>2313</v>
      </c>
      <c r="C929" s="178" t="s">
        <v>856</v>
      </c>
      <c r="D929" s="178" t="s">
        <v>57</v>
      </c>
      <c r="E929">
        <v>11750.1</v>
      </c>
      <c r="F929">
        <v>1762.52</v>
      </c>
      <c r="G929">
        <v>13512.62</v>
      </c>
    </row>
    <row r="930" spans="1:7" x14ac:dyDescent="0.35">
      <c r="A930" s="178" t="s">
        <v>1068</v>
      </c>
      <c r="B930" s="178" t="s">
        <v>2314</v>
      </c>
      <c r="C930" s="178" t="s">
        <v>856</v>
      </c>
      <c r="D930" s="178" t="s">
        <v>57</v>
      </c>
      <c r="E930">
        <v>48042.9</v>
      </c>
      <c r="F930">
        <v>7206.44</v>
      </c>
      <c r="G930">
        <v>55249.34</v>
      </c>
    </row>
    <row r="931" spans="1:7" x14ac:dyDescent="0.35">
      <c r="A931" s="178" t="s">
        <v>731</v>
      </c>
      <c r="B931" s="178" t="s">
        <v>2315</v>
      </c>
      <c r="C931" s="178" t="s">
        <v>856</v>
      </c>
      <c r="D931" s="178" t="s">
        <v>57</v>
      </c>
      <c r="E931">
        <v>1318.8</v>
      </c>
      <c r="F931">
        <v>197.82</v>
      </c>
      <c r="G931">
        <v>1516.62</v>
      </c>
    </row>
    <row r="932" spans="1:7" x14ac:dyDescent="0.35">
      <c r="A932" s="178" t="s">
        <v>2316</v>
      </c>
      <c r="B932" s="178" t="s">
        <v>2317</v>
      </c>
      <c r="C932" s="178" t="s">
        <v>864</v>
      </c>
      <c r="D932" s="178" t="s">
        <v>57</v>
      </c>
      <c r="E932">
        <v>1306.4000000000001</v>
      </c>
      <c r="F932">
        <v>195.96</v>
      </c>
      <c r="G932">
        <v>1502.36</v>
      </c>
    </row>
    <row r="933" spans="1:7" x14ac:dyDescent="0.35">
      <c r="A933" s="178" t="s">
        <v>750</v>
      </c>
      <c r="B933" s="178" t="s">
        <v>2318</v>
      </c>
      <c r="C933" s="178" t="s">
        <v>864</v>
      </c>
      <c r="D933" s="178" t="s">
        <v>2319</v>
      </c>
      <c r="E933">
        <v>5215.6499999999996</v>
      </c>
      <c r="F933">
        <v>782.35</v>
      </c>
      <c r="G933">
        <v>5998</v>
      </c>
    </row>
    <row r="934" spans="1:7" x14ac:dyDescent="0.35">
      <c r="A934" s="178" t="s">
        <v>795</v>
      </c>
      <c r="B934" s="178" t="s">
        <v>2320</v>
      </c>
      <c r="C934" s="178" t="s">
        <v>864</v>
      </c>
      <c r="D934" s="178" t="s">
        <v>57</v>
      </c>
      <c r="E934">
        <v>6627.62</v>
      </c>
      <c r="F934">
        <v>994.15</v>
      </c>
      <c r="G934">
        <v>7621.77</v>
      </c>
    </row>
    <row r="935" spans="1:7" x14ac:dyDescent="0.35">
      <c r="A935" s="178" t="s">
        <v>1049</v>
      </c>
      <c r="B935" s="178" t="s">
        <v>2321</v>
      </c>
      <c r="C935" s="178" t="s">
        <v>864</v>
      </c>
      <c r="D935" s="178" t="s">
        <v>2322</v>
      </c>
      <c r="E935">
        <v>1989</v>
      </c>
      <c r="F935">
        <v>298.35000000000002</v>
      </c>
      <c r="G935">
        <v>2287.35</v>
      </c>
    </row>
    <row r="936" spans="1:7" x14ac:dyDescent="0.35">
      <c r="A936" s="178" t="s">
        <v>929</v>
      </c>
      <c r="B936" s="178" t="s">
        <v>2323</v>
      </c>
      <c r="C936" s="178" t="s">
        <v>864</v>
      </c>
      <c r="D936" s="178" t="s">
        <v>2324</v>
      </c>
      <c r="E936">
        <v>3126.5</v>
      </c>
      <c r="F936">
        <v>468.98</v>
      </c>
      <c r="G936">
        <v>3595.48</v>
      </c>
    </row>
    <row r="937" spans="1:7" x14ac:dyDescent="0.35">
      <c r="A937" s="178" t="s">
        <v>799</v>
      </c>
      <c r="B937" s="178" t="s">
        <v>2325</v>
      </c>
      <c r="C937" s="178" t="s">
        <v>864</v>
      </c>
      <c r="D937" s="178" t="s">
        <v>57</v>
      </c>
      <c r="E937">
        <v>13383.25</v>
      </c>
      <c r="F937">
        <v>2007.49</v>
      </c>
      <c r="G937">
        <v>15390.74</v>
      </c>
    </row>
    <row r="938" spans="1:7" x14ac:dyDescent="0.35">
      <c r="A938" s="178" t="s">
        <v>2230</v>
      </c>
      <c r="B938" s="178" t="s">
        <v>2326</v>
      </c>
      <c r="C938" s="178" t="s">
        <v>864</v>
      </c>
      <c r="D938" s="178" t="s">
        <v>2327</v>
      </c>
      <c r="E938">
        <v>4858.7</v>
      </c>
      <c r="F938">
        <v>728.81</v>
      </c>
      <c r="G938">
        <v>5587.51</v>
      </c>
    </row>
    <row r="939" spans="1:7" x14ac:dyDescent="0.35">
      <c r="A939" s="178" t="s">
        <v>789</v>
      </c>
      <c r="B939" s="178" t="s">
        <v>2328</v>
      </c>
      <c r="C939" s="178" t="s">
        <v>864</v>
      </c>
      <c r="D939" s="178" t="s">
        <v>57</v>
      </c>
      <c r="E939">
        <v>1365.1</v>
      </c>
      <c r="F939">
        <v>204.77</v>
      </c>
      <c r="G939">
        <v>1569.87</v>
      </c>
    </row>
    <row r="940" spans="1:7" x14ac:dyDescent="0.35">
      <c r="A940" s="178" t="s">
        <v>932</v>
      </c>
      <c r="B940" s="178" t="s">
        <v>2329</v>
      </c>
      <c r="C940" s="178" t="s">
        <v>864</v>
      </c>
      <c r="D940" s="178" t="s">
        <v>2330</v>
      </c>
      <c r="E940">
        <v>4101.6000000000004</v>
      </c>
      <c r="F940">
        <v>615.24</v>
      </c>
      <c r="G940">
        <v>4716.84</v>
      </c>
    </row>
    <row r="941" spans="1:7" x14ac:dyDescent="0.35">
      <c r="A941" s="178" t="s">
        <v>873</v>
      </c>
      <c r="B941" s="178" t="s">
        <v>2331</v>
      </c>
      <c r="C941" s="178" t="s">
        <v>864</v>
      </c>
      <c r="D941" s="178" t="s">
        <v>2332</v>
      </c>
      <c r="E941">
        <v>822.15</v>
      </c>
      <c r="F941">
        <v>123.32</v>
      </c>
      <c r="G941">
        <v>945.47</v>
      </c>
    </row>
    <row r="942" spans="1:7" x14ac:dyDescent="0.35">
      <c r="A942" s="178" t="s">
        <v>873</v>
      </c>
      <c r="B942" s="178" t="s">
        <v>2333</v>
      </c>
      <c r="C942" s="178" t="s">
        <v>864</v>
      </c>
      <c r="D942" s="178" t="s">
        <v>2244</v>
      </c>
      <c r="E942">
        <v>940.8</v>
      </c>
      <c r="F942">
        <v>141.12</v>
      </c>
      <c r="G942">
        <v>1081.92</v>
      </c>
    </row>
    <row r="943" spans="1:7" x14ac:dyDescent="0.35">
      <c r="A943" s="178" t="s">
        <v>2334</v>
      </c>
      <c r="B943" s="178" t="s">
        <v>2335</v>
      </c>
      <c r="C943" s="178" t="s">
        <v>864</v>
      </c>
      <c r="D943" s="178" t="s">
        <v>2336</v>
      </c>
      <c r="E943">
        <v>6311.25</v>
      </c>
      <c r="F943">
        <v>946.69</v>
      </c>
      <c r="G943">
        <v>7257.94</v>
      </c>
    </row>
    <row r="944" spans="1:7" x14ac:dyDescent="0.35">
      <c r="A944" s="178" t="s">
        <v>1093</v>
      </c>
      <c r="B944" s="178" t="s">
        <v>2337</v>
      </c>
      <c r="C944" s="178" t="s">
        <v>864</v>
      </c>
      <c r="D944" s="178" t="s">
        <v>57</v>
      </c>
      <c r="E944">
        <v>752.25</v>
      </c>
      <c r="F944">
        <v>112.84</v>
      </c>
      <c r="G944">
        <v>865.09</v>
      </c>
    </row>
    <row r="945" spans="1:7" x14ac:dyDescent="0.35">
      <c r="A945" s="178" t="s">
        <v>1312</v>
      </c>
      <c r="B945" s="178" t="s">
        <v>2338</v>
      </c>
      <c r="C945" s="178" t="s">
        <v>864</v>
      </c>
      <c r="D945" s="178" t="s">
        <v>57</v>
      </c>
      <c r="E945">
        <v>3249.9</v>
      </c>
      <c r="F945">
        <v>487.49</v>
      </c>
      <c r="G945">
        <v>3737.39</v>
      </c>
    </row>
    <row r="946" spans="1:7" x14ac:dyDescent="0.35">
      <c r="A946" s="178" t="s">
        <v>939</v>
      </c>
      <c r="B946" s="178" t="s">
        <v>2339</v>
      </c>
      <c r="C946" s="178" t="s">
        <v>864</v>
      </c>
      <c r="D946" s="178" t="s">
        <v>57</v>
      </c>
      <c r="E946">
        <v>6001.05</v>
      </c>
      <c r="F946">
        <v>900.16</v>
      </c>
      <c r="G946">
        <v>6901.21</v>
      </c>
    </row>
    <row r="947" spans="1:7" x14ac:dyDescent="0.35">
      <c r="A947" s="178" t="s">
        <v>1598</v>
      </c>
      <c r="B947" s="178" t="s">
        <v>2340</v>
      </c>
      <c r="C947" s="178" t="s">
        <v>864</v>
      </c>
      <c r="D947" s="178" t="s">
        <v>57</v>
      </c>
      <c r="E947">
        <v>2294</v>
      </c>
      <c r="F947">
        <v>344.1</v>
      </c>
      <c r="G947">
        <v>2638.1</v>
      </c>
    </row>
    <row r="948" spans="1:7" x14ac:dyDescent="0.35">
      <c r="A948" s="178" t="s">
        <v>882</v>
      </c>
      <c r="B948" s="178" t="s">
        <v>2341</v>
      </c>
      <c r="C948" s="178" t="s">
        <v>864</v>
      </c>
      <c r="D948" s="178" t="s">
        <v>1300</v>
      </c>
      <c r="E948">
        <v>796.5</v>
      </c>
      <c r="F948">
        <v>119.48</v>
      </c>
      <c r="G948">
        <v>915.98</v>
      </c>
    </row>
    <row r="949" spans="1:7" x14ac:dyDescent="0.35">
      <c r="A949" s="178" t="s">
        <v>1290</v>
      </c>
      <c r="B949" s="178" t="s">
        <v>2342</v>
      </c>
      <c r="C949" s="178" t="s">
        <v>864</v>
      </c>
      <c r="D949" s="178" t="s">
        <v>2343</v>
      </c>
      <c r="E949">
        <v>12205.6</v>
      </c>
      <c r="F949">
        <v>1830.84</v>
      </c>
      <c r="G949">
        <v>14036.44</v>
      </c>
    </row>
    <row r="950" spans="1:7" x14ac:dyDescent="0.35">
      <c r="A950" s="178" t="s">
        <v>879</v>
      </c>
      <c r="B950" s="178" t="s">
        <v>2344</v>
      </c>
      <c r="C950" s="178" t="s">
        <v>864</v>
      </c>
      <c r="D950" s="178" t="s">
        <v>57</v>
      </c>
      <c r="E950">
        <v>206.7</v>
      </c>
      <c r="F950">
        <v>31.01</v>
      </c>
      <c r="G950">
        <v>237.71</v>
      </c>
    </row>
    <row r="951" spans="1:7" x14ac:dyDescent="0.35">
      <c r="A951" s="178" t="s">
        <v>1648</v>
      </c>
      <c r="B951" s="178" t="s">
        <v>2345</v>
      </c>
      <c r="C951" s="178" t="s">
        <v>864</v>
      </c>
      <c r="D951" s="178" t="s">
        <v>57</v>
      </c>
      <c r="E951">
        <v>1436.2</v>
      </c>
      <c r="F951">
        <v>215.43</v>
      </c>
      <c r="G951">
        <v>1651.63</v>
      </c>
    </row>
    <row r="952" spans="1:7" x14ac:dyDescent="0.35">
      <c r="A952" s="178" t="s">
        <v>969</v>
      </c>
      <c r="B952" s="178" t="s">
        <v>2346</v>
      </c>
      <c r="C952" s="178" t="s">
        <v>864</v>
      </c>
      <c r="D952" s="178" t="s">
        <v>57</v>
      </c>
      <c r="E952">
        <v>2904.5</v>
      </c>
      <c r="F952">
        <v>435.68</v>
      </c>
      <c r="G952">
        <v>3340.18</v>
      </c>
    </row>
    <row r="953" spans="1:7" x14ac:dyDescent="0.35">
      <c r="A953" s="178" t="s">
        <v>862</v>
      </c>
      <c r="B953" s="178" t="s">
        <v>2347</v>
      </c>
      <c r="C953" s="178" t="s">
        <v>864</v>
      </c>
      <c r="D953" s="178" t="s">
        <v>57</v>
      </c>
      <c r="E953">
        <v>680</v>
      </c>
      <c r="F953">
        <v>102</v>
      </c>
      <c r="G953">
        <v>782</v>
      </c>
    </row>
    <row r="954" spans="1:7" x14ac:dyDescent="0.35">
      <c r="A954" s="178" t="s">
        <v>2348</v>
      </c>
      <c r="B954" s="178" t="s">
        <v>2349</v>
      </c>
      <c r="C954" s="178" t="s">
        <v>864</v>
      </c>
      <c r="D954" s="178" t="s">
        <v>57</v>
      </c>
      <c r="E954">
        <v>11077.25</v>
      </c>
      <c r="F954">
        <v>1661.59</v>
      </c>
      <c r="G954">
        <v>12738.84</v>
      </c>
    </row>
    <row r="955" spans="1:7" x14ac:dyDescent="0.35">
      <c r="A955" s="178" t="s">
        <v>2350</v>
      </c>
      <c r="B955" s="178" t="s">
        <v>2351</v>
      </c>
      <c r="C955" s="178" t="s">
        <v>864</v>
      </c>
      <c r="D955" s="178" t="s">
        <v>57</v>
      </c>
      <c r="E955">
        <v>4558.3999999999996</v>
      </c>
      <c r="F955">
        <v>683.76</v>
      </c>
      <c r="G955">
        <v>5242.16</v>
      </c>
    </row>
    <row r="956" spans="1:7" x14ac:dyDescent="0.35">
      <c r="A956" s="178" t="s">
        <v>1440</v>
      </c>
      <c r="B956" s="178" t="s">
        <v>2352</v>
      </c>
      <c r="C956" s="178" t="s">
        <v>864</v>
      </c>
      <c r="D956" s="178" t="s">
        <v>57</v>
      </c>
      <c r="E956">
        <v>1267</v>
      </c>
      <c r="F956">
        <v>190.05</v>
      </c>
      <c r="G956">
        <v>1457.05</v>
      </c>
    </row>
    <row r="957" spans="1:7" x14ac:dyDescent="0.35">
      <c r="A957" s="178" t="s">
        <v>1032</v>
      </c>
      <c r="B957" s="178" t="s">
        <v>2353</v>
      </c>
      <c r="C957" s="178" t="s">
        <v>864</v>
      </c>
      <c r="D957" s="178" t="s">
        <v>57</v>
      </c>
      <c r="E957">
        <v>1504.8</v>
      </c>
      <c r="F957">
        <v>225.72</v>
      </c>
      <c r="G957">
        <v>1730.52</v>
      </c>
    </row>
    <row r="958" spans="1:7" x14ac:dyDescent="0.35">
      <c r="A958" s="178" t="s">
        <v>1133</v>
      </c>
      <c r="B958" s="178" t="s">
        <v>2354</v>
      </c>
      <c r="C958" s="178" t="s">
        <v>864</v>
      </c>
      <c r="D958" s="178" t="s">
        <v>57</v>
      </c>
      <c r="E958">
        <v>6764.4</v>
      </c>
      <c r="F958">
        <v>1014.66</v>
      </c>
      <c r="G958">
        <v>7779.06</v>
      </c>
    </row>
    <row r="959" spans="1:7" x14ac:dyDescent="0.35">
      <c r="A959" s="178" t="s">
        <v>1037</v>
      </c>
      <c r="B959" s="178" t="s">
        <v>2355</v>
      </c>
      <c r="C959" s="178" t="s">
        <v>864</v>
      </c>
      <c r="D959" s="178" t="s">
        <v>57</v>
      </c>
      <c r="E959">
        <v>21442.5</v>
      </c>
      <c r="F959">
        <v>3216.38</v>
      </c>
      <c r="G959">
        <v>24658.880000000001</v>
      </c>
    </row>
    <row r="960" spans="1:7" x14ac:dyDescent="0.35">
      <c r="A960" s="178" t="s">
        <v>2356</v>
      </c>
      <c r="B960" s="178" t="s">
        <v>2357</v>
      </c>
      <c r="C960" s="178" t="s">
        <v>864</v>
      </c>
      <c r="D960" s="178" t="s">
        <v>57</v>
      </c>
      <c r="E960">
        <v>3242.2</v>
      </c>
      <c r="F960">
        <v>486.34</v>
      </c>
      <c r="G960">
        <v>3728.54</v>
      </c>
    </row>
    <row r="961" spans="1:7" x14ac:dyDescent="0.35">
      <c r="A961" s="178" t="s">
        <v>892</v>
      </c>
      <c r="B961" s="178" t="s">
        <v>2358</v>
      </c>
      <c r="C961" s="178" t="s">
        <v>864</v>
      </c>
      <c r="D961" s="178" t="s">
        <v>57</v>
      </c>
      <c r="E961">
        <v>2659.2</v>
      </c>
      <c r="F961">
        <v>398.88</v>
      </c>
      <c r="G961">
        <v>3058.08</v>
      </c>
    </row>
    <row r="962" spans="1:7" x14ac:dyDescent="0.35">
      <c r="A962" s="178" t="s">
        <v>1303</v>
      </c>
      <c r="B962" s="178" t="s">
        <v>2359</v>
      </c>
      <c r="C962" s="178" t="s">
        <v>864</v>
      </c>
      <c r="D962" s="178" t="s">
        <v>57</v>
      </c>
      <c r="E962">
        <v>3927.8</v>
      </c>
      <c r="F962">
        <v>589.16999999999996</v>
      </c>
      <c r="G962">
        <v>4516.97</v>
      </c>
    </row>
    <row r="963" spans="1:7" x14ac:dyDescent="0.35">
      <c r="A963" s="178" t="s">
        <v>821</v>
      </c>
      <c r="B963" s="178" t="s">
        <v>2360</v>
      </c>
      <c r="C963" s="178" t="s">
        <v>864</v>
      </c>
      <c r="D963" s="178" t="s">
        <v>57</v>
      </c>
      <c r="E963">
        <v>8269.7999999999993</v>
      </c>
      <c r="F963">
        <v>1240.47</v>
      </c>
      <c r="G963">
        <v>9510.27</v>
      </c>
    </row>
    <row r="964" spans="1:7" x14ac:dyDescent="0.35">
      <c r="A964" s="178" t="s">
        <v>1159</v>
      </c>
      <c r="B964" s="178" t="s">
        <v>2361</v>
      </c>
      <c r="C964" s="178" t="s">
        <v>864</v>
      </c>
      <c r="D964" s="178" t="s">
        <v>57</v>
      </c>
      <c r="E964">
        <v>3060.75</v>
      </c>
      <c r="F964">
        <v>459.11</v>
      </c>
      <c r="G964">
        <v>3519.86</v>
      </c>
    </row>
    <row r="965" spans="1:7" x14ac:dyDescent="0.35">
      <c r="A965" s="178" t="s">
        <v>913</v>
      </c>
      <c r="B965" s="178" t="s">
        <v>2362</v>
      </c>
      <c r="C965" s="178" t="s">
        <v>864</v>
      </c>
      <c r="D965" s="178" t="s">
        <v>57</v>
      </c>
      <c r="E965">
        <v>4940.7</v>
      </c>
      <c r="F965">
        <v>741.11</v>
      </c>
      <c r="G965">
        <v>5681.81</v>
      </c>
    </row>
    <row r="966" spans="1:7" x14ac:dyDescent="0.35">
      <c r="A966" s="178" t="s">
        <v>2234</v>
      </c>
      <c r="B966" s="178" t="s">
        <v>2363</v>
      </c>
      <c r="C966" s="178" t="s">
        <v>864</v>
      </c>
      <c r="D966" s="178" t="s">
        <v>57</v>
      </c>
      <c r="E966">
        <v>2094.1</v>
      </c>
      <c r="F966">
        <v>314.12</v>
      </c>
      <c r="G966">
        <v>2408.2199999999998</v>
      </c>
    </row>
    <row r="967" spans="1:7" x14ac:dyDescent="0.35">
      <c r="A967" s="178" t="s">
        <v>2364</v>
      </c>
      <c r="B967" s="178" t="s">
        <v>2365</v>
      </c>
      <c r="C967" s="178" t="s">
        <v>864</v>
      </c>
      <c r="D967" s="178" t="s">
        <v>2366</v>
      </c>
      <c r="E967">
        <v>1880.49</v>
      </c>
      <c r="F967" s="178" t="s">
        <v>57</v>
      </c>
      <c r="G967">
        <v>1880.49</v>
      </c>
    </row>
    <row r="968" spans="1:7" x14ac:dyDescent="0.35">
      <c r="A968" s="178" t="s">
        <v>1217</v>
      </c>
      <c r="B968" s="178" t="s">
        <v>2367</v>
      </c>
      <c r="C968" s="178" t="s">
        <v>864</v>
      </c>
      <c r="D968" s="178" t="s">
        <v>57</v>
      </c>
      <c r="E968">
        <v>2197</v>
      </c>
      <c r="F968">
        <v>329.55</v>
      </c>
      <c r="G968">
        <v>2526.5500000000002</v>
      </c>
    </row>
    <row r="969" spans="1:7" x14ac:dyDescent="0.35">
      <c r="A969" s="178" t="s">
        <v>781</v>
      </c>
      <c r="B969" s="178" t="s">
        <v>2368</v>
      </c>
      <c r="C969" s="178" t="s">
        <v>864</v>
      </c>
      <c r="D969" s="178" t="s">
        <v>57</v>
      </c>
      <c r="E969">
        <v>792.65</v>
      </c>
      <c r="F969">
        <v>118.9</v>
      </c>
      <c r="G969">
        <v>911.55</v>
      </c>
    </row>
    <row r="970" spans="1:7" x14ac:dyDescent="0.35">
      <c r="A970" s="178" t="s">
        <v>1350</v>
      </c>
      <c r="B970" s="178" t="s">
        <v>2369</v>
      </c>
      <c r="C970" s="178" t="s">
        <v>864</v>
      </c>
      <c r="D970" s="178" t="s">
        <v>57</v>
      </c>
      <c r="E970">
        <v>16469.650000000001</v>
      </c>
      <c r="F970">
        <v>2470.4499999999998</v>
      </c>
      <c r="G970">
        <v>18940.099999999999</v>
      </c>
    </row>
    <row r="971" spans="1:7" x14ac:dyDescent="0.35">
      <c r="A971" s="178" t="s">
        <v>1834</v>
      </c>
      <c r="B971" s="178" t="s">
        <v>2370</v>
      </c>
      <c r="C971" s="178" t="s">
        <v>864</v>
      </c>
      <c r="D971" s="178" t="s">
        <v>57</v>
      </c>
      <c r="E971">
        <v>500</v>
      </c>
      <c r="F971">
        <v>75</v>
      </c>
      <c r="G971">
        <v>575</v>
      </c>
    </row>
    <row r="972" spans="1:7" x14ac:dyDescent="0.35">
      <c r="A972" s="178" t="s">
        <v>1056</v>
      </c>
      <c r="B972" s="178" t="s">
        <v>2371</v>
      </c>
      <c r="C972" s="178" t="s">
        <v>864</v>
      </c>
      <c r="D972" s="178" t="s">
        <v>57</v>
      </c>
      <c r="E972">
        <v>2857.6</v>
      </c>
      <c r="F972">
        <v>428.64</v>
      </c>
      <c r="G972">
        <v>3286.24</v>
      </c>
    </row>
    <row r="973" spans="1:7" x14ac:dyDescent="0.35">
      <c r="A973" s="178" t="s">
        <v>1564</v>
      </c>
      <c r="B973" s="178" t="s">
        <v>2372</v>
      </c>
      <c r="C973" s="178" t="s">
        <v>864</v>
      </c>
      <c r="D973" s="178" t="s">
        <v>57</v>
      </c>
      <c r="E973">
        <v>2528.4</v>
      </c>
      <c r="F973">
        <v>379.26</v>
      </c>
      <c r="G973">
        <v>2907.66</v>
      </c>
    </row>
    <row r="974" spans="1:7" x14ac:dyDescent="0.35">
      <c r="A974" s="178" t="s">
        <v>2373</v>
      </c>
      <c r="B974" s="178" t="s">
        <v>2374</v>
      </c>
      <c r="C974" s="178" t="s">
        <v>864</v>
      </c>
      <c r="D974" s="178" t="s">
        <v>2375</v>
      </c>
      <c r="E974">
        <v>1356.6</v>
      </c>
      <c r="F974">
        <v>203.49</v>
      </c>
      <c r="G974">
        <v>1560.09</v>
      </c>
    </row>
    <row r="975" spans="1:7" x14ac:dyDescent="0.35">
      <c r="A975" s="178" t="s">
        <v>2376</v>
      </c>
      <c r="B975" s="178" t="s">
        <v>2377</v>
      </c>
      <c r="C975" s="178" t="s">
        <v>864</v>
      </c>
      <c r="D975" s="178" t="s">
        <v>57</v>
      </c>
      <c r="E975">
        <v>25108</v>
      </c>
      <c r="F975">
        <v>3766.2</v>
      </c>
      <c r="G975">
        <v>28874.2</v>
      </c>
    </row>
    <row r="976" spans="1:7" x14ac:dyDescent="0.35">
      <c r="A976" s="178" t="s">
        <v>1179</v>
      </c>
      <c r="B976" s="178" t="s">
        <v>2378</v>
      </c>
      <c r="C976" s="178" t="s">
        <v>864</v>
      </c>
      <c r="D976" s="178" t="s">
        <v>57</v>
      </c>
      <c r="E976">
        <v>2635.9</v>
      </c>
      <c r="F976">
        <v>395.4</v>
      </c>
      <c r="G976">
        <v>3031.3</v>
      </c>
    </row>
    <row r="977" spans="1:7" x14ac:dyDescent="0.35">
      <c r="A977" s="178" t="s">
        <v>1346</v>
      </c>
      <c r="B977" s="178" t="s">
        <v>2379</v>
      </c>
      <c r="C977" s="178" t="s">
        <v>864</v>
      </c>
      <c r="D977" s="178" t="s">
        <v>57</v>
      </c>
      <c r="E977">
        <v>5740.5</v>
      </c>
      <c r="F977">
        <v>861.08</v>
      </c>
      <c r="G977">
        <v>6601.58</v>
      </c>
    </row>
    <row r="978" spans="1:7" x14ac:dyDescent="0.35">
      <c r="A978" s="178" t="s">
        <v>1359</v>
      </c>
      <c r="B978" s="178" t="s">
        <v>2380</v>
      </c>
      <c r="C978" s="178" t="s">
        <v>864</v>
      </c>
      <c r="D978" s="178" t="s">
        <v>57</v>
      </c>
      <c r="E978">
        <v>1470.5</v>
      </c>
      <c r="F978">
        <v>220.58</v>
      </c>
      <c r="G978">
        <v>1691.08</v>
      </c>
    </row>
    <row r="979" spans="1:7" x14ac:dyDescent="0.35">
      <c r="A979" s="178" t="s">
        <v>1140</v>
      </c>
      <c r="B979" s="178" t="s">
        <v>2381</v>
      </c>
      <c r="C979" s="178" t="s">
        <v>864</v>
      </c>
      <c r="D979" s="178" t="s">
        <v>57</v>
      </c>
      <c r="E979">
        <v>10815.2</v>
      </c>
      <c r="F979">
        <v>1622.29</v>
      </c>
      <c r="G979">
        <v>12437.49</v>
      </c>
    </row>
    <row r="980" spans="1:7" x14ac:dyDescent="0.35">
      <c r="A980" s="178" t="s">
        <v>2382</v>
      </c>
      <c r="B980" s="178" t="s">
        <v>2383</v>
      </c>
      <c r="C980" s="178" t="s">
        <v>864</v>
      </c>
      <c r="D980" s="178" t="s">
        <v>57</v>
      </c>
      <c r="E980">
        <v>2490.6999999999998</v>
      </c>
      <c r="F980">
        <v>373.6</v>
      </c>
      <c r="G980">
        <v>2864.3</v>
      </c>
    </row>
    <row r="981" spans="1:7" x14ac:dyDescent="0.35">
      <c r="A981" s="178" t="s">
        <v>2384</v>
      </c>
      <c r="B981" s="178" t="s">
        <v>2385</v>
      </c>
      <c r="C981" s="178" t="s">
        <v>864</v>
      </c>
      <c r="D981" s="178" t="s">
        <v>57</v>
      </c>
      <c r="E981">
        <v>1179.8</v>
      </c>
      <c r="F981">
        <v>176.97</v>
      </c>
      <c r="G981">
        <v>1356.77</v>
      </c>
    </row>
    <row r="982" spans="1:7" x14ac:dyDescent="0.35">
      <c r="A982" s="178" t="s">
        <v>1475</v>
      </c>
      <c r="B982" s="178" t="s">
        <v>2386</v>
      </c>
      <c r="C982" s="178" t="s">
        <v>864</v>
      </c>
      <c r="D982" s="178" t="s">
        <v>57</v>
      </c>
      <c r="E982">
        <v>3864.62</v>
      </c>
      <c r="F982">
        <v>579.70000000000005</v>
      </c>
      <c r="G982">
        <v>4444.32</v>
      </c>
    </row>
    <row r="983" spans="1:7" x14ac:dyDescent="0.35">
      <c r="A983" s="178" t="s">
        <v>1650</v>
      </c>
      <c r="B983" s="178" t="s">
        <v>2387</v>
      </c>
      <c r="C983" s="178" t="s">
        <v>864</v>
      </c>
      <c r="D983" s="178" t="s">
        <v>57</v>
      </c>
      <c r="E983">
        <v>2483.6</v>
      </c>
      <c r="F983">
        <v>372.54</v>
      </c>
      <c r="G983">
        <v>2856.14</v>
      </c>
    </row>
    <row r="984" spans="1:7" x14ac:dyDescent="0.35">
      <c r="A984" s="178" t="s">
        <v>977</v>
      </c>
      <c r="B984" s="178" t="s">
        <v>2388</v>
      </c>
      <c r="C984" s="178" t="s">
        <v>864</v>
      </c>
      <c r="D984" s="178" t="s">
        <v>57</v>
      </c>
      <c r="E984">
        <v>11204.65</v>
      </c>
      <c r="F984">
        <v>1680.7</v>
      </c>
      <c r="G984">
        <v>12885.35</v>
      </c>
    </row>
    <row r="985" spans="1:7" x14ac:dyDescent="0.35">
      <c r="A985" s="178" t="s">
        <v>988</v>
      </c>
      <c r="B985" s="178" t="s">
        <v>2389</v>
      </c>
      <c r="C985" s="178" t="s">
        <v>864</v>
      </c>
      <c r="D985" s="178" t="s">
        <v>57</v>
      </c>
      <c r="E985">
        <v>1794.15</v>
      </c>
      <c r="F985">
        <v>269.12</v>
      </c>
      <c r="G985">
        <v>2063.27</v>
      </c>
    </row>
    <row r="986" spans="1:7" x14ac:dyDescent="0.35">
      <c r="A986" s="178" t="s">
        <v>2081</v>
      </c>
      <c r="B986" s="178" t="s">
        <v>2390</v>
      </c>
      <c r="C986" s="178" t="s">
        <v>864</v>
      </c>
      <c r="D986">
        <v>4834</v>
      </c>
      <c r="E986">
        <v>11429.45</v>
      </c>
      <c r="F986">
        <v>1714.42</v>
      </c>
      <c r="G986">
        <v>13143.87</v>
      </c>
    </row>
    <row r="987" spans="1:7" x14ac:dyDescent="0.35">
      <c r="A987" s="178" t="s">
        <v>1373</v>
      </c>
      <c r="B987" s="178" t="s">
        <v>2391</v>
      </c>
      <c r="C987" s="178" t="s">
        <v>864</v>
      </c>
      <c r="D987" s="178" t="s">
        <v>57</v>
      </c>
      <c r="E987">
        <v>2326.5</v>
      </c>
      <c r="F987">
        <v>348.98</v>
      </c>
      <c r="G987">
        <v>2675.48</v>
      </c>
    </row>
    <row r="988" spans="1:7" x14ac:dyDescent="0.35">
      <c r="A988" s="178" t="s">
        <v>1434</v>
      </c>
      <c r="B988" s="178" t="s">
        <v>2392</v>
      </c>
      <c r="C988" s="178" t="s">
        <v>877</v>
      </c>
      <c r="D988" s="178" t="s">
        <v>2393</v>
      </c>
      <c r="E988">
        <v>39583.199999999997</v>
      </c>
      <c r="F988">
        <v>5937.48</v>
      </c>
      <c r="G988">
        <v>45520.68</v>
      </c>
    </row>
    <row r="989" spans="1:7" x14ac:dyDescent="0.35">
      <c r="A989" s="178" t="s">
        <v>799</v>
      </c>
      <c r="B989" s="178" t="s">
        <v>2394</v>
      </c>
      <c r="C989" s="178" t="s">
        <v>877</v>
      </c>
      <c r="D989" s="178" t="s">
        <v>57</v>
      </c>
      <c r="E989">
        <v>3115.25</v>
      </c>
      <c r="F989">
        <v>467.29</v>
      </c>
      <c r="G989">
        <v>3582.54</v>
      </c>
    </row>
    <row r="990" spans="1:7" x14ac:dyDescent="0.35">
      <c r="A990" s="178" t="s">
        <v>1153</v>
      </c>
      <c r="B990" s="178" t="s">
        <v>2395</v>
      </c>
      <c r="C990" s="178" t="s">
        <v>877</v>
      </c>
      <c r="D990" s="178" t="s">
        <v>1155</v>
      </c>
      <c r="E990">
        <v>3153.75</v>
      </c>
      <c r="F990">
        <v>473.07</v>
      </c>
      <c r="G990">
        <v>3626.82</v>
      </c>
    </row>
    <row r="991" spans="1:7" x14ac:dyDescent="0.35">
      <c r="A991" s="178" t="s">
        <v>1880</v>
      </c>
      <c r="B991" s="178" t="s">
        <v>2396</v>
      </c>
      <c r="C991" s="178" t="s">
        <v>877</v>
      </c>
      <c r="D991" s="178" t="s">
        <v>1882</v>
      </c>
      <c r="E991">
        <v>20126.86</v>
      </c>
      <c r="F991">
        <v>3019.03</v>
      </c>
      <c r="G991">
        <v>23145.89</v>
      </c>
    </row>
    <row r="992" spans="1:7" x14ac:dyDescent="0.35">
      <c r="A992" s="178" t="s">
        <v>895</v>
      </c>
      <c r="B992" s="178" t="s">
        <v>2397</v>
      </c>
      <c r="C992" s="178" t="s">
        <v>877</v>
      </c>
      <c r="D992" s="178" t="s">
        <v>2398</v>
      </c>
      <c r="E992">
        <v>16013.4</v>
      </c>
      <c r="F992">
        <v>2402.0100000000002</v>
      </c>
      <c r="G992">
        <v>18415.41</v>
      </c>
    </row>
    <row r="993" spans="1:7" x14ac:dyDescent="0.35">
      <c r="A993" s="178" t="s">
        <v>1020</v>
      </c>
      <c r="B993" s="178" t="s">
        <v>2399</v>
      </c>
      <c r="C993" s="178" t="s">
        <v>877</v>
      </c>
      <c r="D993" s="178" t="s">
        <v>2400</v>
      </c>
      <c r="E993">
        <v>3193.1</v>
      </c>
      <c r="F993">
        <v>478.97</v>
      </c>
      <c r="G993">
        <v>3672.07</v>
      </c>
    </row>
    <row r="994" spans="1:7" x14ac:dyDescent="0.35">
      <c r="A994" s="178" t="s">
        <v>1003</v>
      </c>
      <c r="B994" s="178" t="s">
        <v>2401</v>
      </c>
      <c r="C994" s="178" t="s">
        <v>877</v>
      </c>
      <c r="D994" s="178" t="s">
        <v>2402</v>
      </c>
      <c r="E994">
        <v>6294.45</v>
      </c>
      <c r="F994">
        <v>944.17</v>
      </c>
      <c r="G994">
        <v>7238.62</v>
      </c>
    </row>
    <row r="995" spans="1:7" x14ac:dyDescent="0.35">
      <c r="A995" s="178" t="s">
        <v>2403</v>
      </c>
      <c r="B995" s="178" t="s">
        <v>2404</v>
      </c>
      <c r="C995" s="178" t="s">
        <v>877</v>
      </c>
      <c r="D995" s="178" t="s">
        <v>57</v>
      </c>
      <c r="E995">
        <v>7824.2</v>
      </c>
      <c r="F995">
        <v>1173.6300000000001</v>
      </c>
      <c r="G995">
        <v>8997.83</v>
      </c>
    </row>
    <row r="996" spans="1:7" x14ac:dyDescent="0.35">
      <c r="A996" s="178" t="s">
        <v>2405</v>
      </c>
      <c r="B996" s="178" t="s">
        <v>2406</v>
      </c>
      <c r="C996" s="178" t="s">
        <v>877</v>
      </c>
      <c r="D996" s="178" t="s">
        <v>57</v>
      </c>
      <c r="E996">
        <v>1367.4</v>
      </c>
      <c r="F996">
        <v>205.11</v>
      </c>
      <c r="G996">
        <v>1572.51</v>
      </c>
    </row>
    <row r="997" spans="1:7" x14ac:dyDescent="0.35">
      <c r="A997" s="178" t="s">
        <v>2407</v>
      </c>
      <c r="B997" s="178" t="s">
        <v>2408</v>
      </c>
      <c r="C997" s="178" t="s">
        <v>877</v>
      </c>
      <c r="D997" s="178" t="s">
        <v>57</v>
      </c>
      <c r="E997">
        <v>1750.1</v>
      </c>
      <c r="F997">
        <v>262.52</v>
      </c>
      <c r="G997">
        <v>2012.62</v>
      </c>
    </row>
    <row r="998" spans="1:7" x14ac:dyDescent="0.35">
      <c r="A998" s="178" t="s">
        <v>799</v>
      </c>
      <c r="B998" s="178" t="s">
        <v>2409</v>
      </c>
      <c r="C998" s="178" t="s">
        <v>877</v>
      </c>
      <c r="D998" s="178" t="s">
        <v>57</v>
      </c>
      <c r="E998">
        <v>1640.5</v>
      </c>
      <c r="F998">
        <v>246.08</v>
      </c>
      <c r="G998">
        <v>1886.58</v>
      </c>
    </row>
    <row r="999" spans="1:7" x14ac:dyDescent="0.35">
      <c r="A999" s="178" t="s">
        <v>2410</v>
      </c>
      <c r="B999" s="178" t="s">
        <v>2411</v>
      </c>
      <c r="C999" s="178" t="s">
        <v>877</v>
      </c>
      <c r="D999" s="178" t="s">
        <v>57</v>
      </c>
      <c r="E999">
        <v>666.5</v>
      </c>
      <c r="F999">
        <v>99.98</v>
      </c>
      <c r="G999">
        <v>766.48</v>
      </c>
    </row>
    <row r="1000" spans="1:7" x14ac:dyDescent="0.35">
      <c r="A1000" s="178" t="s">
        <v>892</v>
      </c>
      <c r="B1000" s="178" t="s">
        <v>2412</v>
      </c>
      <c r="C1000" s="178" t="s">
        <v>877</v>
      </c>
      <c r="D1000" s="178" t="s">
        <v>57</v>
      </c>
      <c r="E1000">
        <v>1805</v>
      </c>
      <c r="F1000">
        <v>270.75</v>
      </c>
      <c r="G1000">
        <v>2075.75</v>
      </c>
    </row>
    <row r="1001" spans="1:7" x14ac:dyDescent="0.35">
      <c r="A1001" s="178" t="s">
        <v>1231</v>
      </c>
      <c r="B1001" s="178" t="s">
        <v>2413</v>
      </c>
      <c r="C1001" s="178" t="s">
        <v>877</v>
      </c>
      <c r="D1001" s="178" t="s">
        <v>1233</v>
      </c>
      <c r="E1001">
        <v>2302.5</v>
      </c>
      <c r="F1001">
        <v>345.38</v>
      </c>
      <c r="G1001">
        <v>2647.88</v>
      </c>
    </row>
    <row r="1002" spans="1:7" x14ac:dyDescent="0.35">
      <c r="A1002" s="178" t="s">
        <v>825</v>
      </c>
      <c r="B1002" s="178" t="s">
        <v>2414</v>
      </c>
      <c r="C1002" s="178" t="s">
        <v>877</v>
      </c>
      <c r="D1002" s="178" t="s">
        <v>57</v>
      </c>
      <c r="E1002">
        <v>1405.8</v>
      </c>
      <c r="F1002">
        <v>210.87</v>
      </c>
      <c r="G1002">
        <v>1616.67</v>
      </c>
    </row>
    <row r="1003" spans="1:7" x14ac:dyDescent="0.35">
      <c r="A1003" s="178" t="s">
        <v>1066</v>
      </c>
      <c r="B1003" s="178" t="s">
        <v>2415</v>
      </c>
      <c r="C1003" s="178" t="s">
        <v>877</v>
      </c>
      <c r="D1003" s="178" t="s">
        <v>57</v>
      </c>
      <c r="E1003">
        <v>3500</v>
      </c>
      <c r="F1003">
        <v>525</v>
      </c>
      <c r="G1003">
        <v>4025</v>
      </c>
    </row>
    <row r="1004" spans="1:7" x14ac:dyDescent="0.35">
      <c r="A1004" s="178" t="s">
        <v>2240</v>
      </c>
      <c r="B1004" s="178" t="s">
        <v>2416</v>
      </c>
      <c r="C1004" s="178" t="s">
        <v>877</v>
      </c>
      <c r="D1004" s="178" t="s">
        <v>57</v>
      </c>
      <c r="E1004">
        <v>1554.2</v>
      </c>
      <c r="F1004">
        <v>233.13</v>
      </c>
      <c r="G1004">
        <v>1787.33</v>
      </c>
    </row>
    <row r="1005" spans="1:7" x14ac:dyDescent="0.35">
      <c r="A1005" s="178" t="s">
        <v>1254</v>
      </c>
      <c r="B1005" s="178" t="s">
        <v>2417</v>
      </c>
      <c r="C1005" s="178" t="s">
        <v>877</v>
      </c>
      <c r="D1005" s="178" t="s">
        <v>57</v>
      </c>
      <c r="E1005">
        <v>7133.1</v>
      </c>
      <c r="F1005">
        <v>1069.97</v>
      </c>
      <c r="G1005">
        <v>8203.07</v>
      </c>
    </row>
    <row r="1006" spans="1:7" x14ac:dyDescent="0.35">
      <c r="A1006" s="178" t="s">
        <v>1039</v>
      </c>
      <c r="B1006" s="178" t="s">
        <v>2418</v>
      </c>
      <c r="C1006" s="178" t="s">
        <v>877</v>
      </c>
      <c r="D1006" s="178" t="s">
        <v>57</v>
      </c>
      <c r="E1006">
        <v>13734.2</v>
      </c>
      <c r="F1006">
        <v>2060.13</v>
      </c>
      <c r="G1006">
        <v>15794.33</v>
      </c>
    </row>
    <row r="1007" spans="1:7" x14ac:dyDescent="0.35">
      <c r="A1007" s="178" t="s">
        <v>997</v>
      </c>
      <c r="B1007" s="178" t="s">
        <v>2419</v>
      </c>
      <c r="C1007" s="178" t="s">
        <v>877</v>
      </c>
      <c r="D1007" s="178" t="s">
        <v>2420</v>
      </c>
      <c r="E1007">
        <v>2822.4</v>
      </c>
      <c r="F1007">
        <v>423.36</v>
      </c>
      <c r="G1007">
        <v>3245.76</v>
      </c>
    </row>
    <row r="1008" spans="1:7" x14ac:dyDescent="0.35">
      <c r="A1008" s="178" t="s">
        <v>741</v>
      </c>
      <c r="B1008" s="178" t="s">
        <v>2421</v>
      </c>
      <c r="C1008" s="178" t="s">
        <v>877</v>
      </c>
      <c r="D1008" s="178" t="s">
        <v>57</v>
      </c>
      <c r="E1008">
        <v>6821.25</v>
      </c>
      <c r="F1008">
        <v>1023.19</v>
      </c>
      <c r="G1008">
        <v>7844.44</v>
      </c>
    </row>
    <row r="1009" spans="1:7" x14ac:dyDescent="0.35">
      <c r="A1009" s="178" t="s">
        <v>1032</v>
      </c>
      <c r="B1009" s="178" t="s">
        <v>2422</v>
      </c>
      <c r="C1009" s="178" t="s">
        <v>877</v>
      </c>
      <c r="D1009" s="178" t="s">
        <v>57</v>
      </c>
      <c r="E1009">
        <v>1398.7</v>
      </c>
      <c r="F1009">
        <v>209.81</v>
      </c>
      <c r="G1009">
        <v>1608.51</v>
      </c>
    </row>
    <row r="1010" spans="1:7" x14ac:dyDescent="0.35">
      <c r="A1010" s="178" t="s">
        <v>2423</v>
      </c>
      <c r="B1010" s="178" t="s">
        <v>2424</v>
      </c>
      <c r="C1010" s="178" t="s">
        <v>877</v>
      </c>
      <c r="D1010" s="178" t="s">
        <v>57</v>
      </c>
      <c r="E1010">
        <v>735.3</v>
      </c>
      <c r="F1010">
        <v>110.3</v>
      </c>
      <c r="G1010">
        <v>845.6</v>
      </c>
    </row>
    <row r="1011" spans="1:7" x14ac:dyDescent="0.35">
      <c r="A1011" s="178" t="s">
        <v>2425</v>
      </c>
      <c r="B1011" s="178" t="s">
        <v>2426</v>
      </c>
      <c r="C1011" s="178" t="s">
        <v>877</v>
      </c>
      <c r="D1011">
        <v>108513</v>
      </c>
      <c r="E1011">
        <v>1096.8399999999999</v>
      </c>
      <c r="F1011">
        <v>164.53</v>
      </c>
      <c r="G1011">
        <v>1261.3699999999999</v>
      </c>
    </row>
    <row r="1012" spans="1:7" x14ac:dyDescent="0.35">
      <c r="A1012" s="178" t="s">
        <v>1039</v>
      </c>
      <c r="B1012" s="178" t="s">
        <v>2427</v>
      </c>
      <c r="C1012" s="178" t="s">
        <v>877</v>
      </c>
      <c r="D1012" s="178" t="s">
        <v>57</v>
      </c>
      <c r="E1012">
        <v>14439.6</v>
      </c>
      <c r="F1012">
        <v>2165.94</v>
      </c>
      <c r="G1012">
        <v>16605.54</v>
      </c>
    </row>
    <row r="1013" spans="1:7" x14ac:dyDescent="0.35">
      <c r="A1013" s="178" t="s">
        <v>793</v>
      </c>
      <c r="B1013" s="178" t="s">
        <v>2428</v>
      </c>
      <c r="C1013" s="178" t="s">
        <v>877</v>
      </c>
      <c r="D1013">
        <v>38485</v>
      </c>
      <c r="E1013">
        <v>14668.8</v>
      </c>
      <c r="F1013">
        <v>2200.3200000000002</v>
      </c>
      <c r="G1013">
        <v>16869.12</v>
      </c>
    </row>
    <row r="1014" spans="1:7" x14ac:dyDescent="0.35">
      <c r="A1014" s="178" t="s">
        <v>1217</v>
      </c>
      <c r="B1014" s="178" t="s">
        <v>2429</v>
      </c>
      <c r="C1014" s="178" t="s">
        <v>877</v>
      </c>
      <c r="D1014" s="178" t="s">
        <v>57</v>
      </c>
      <c r="E1014">
        <v>1303.25</v>
      </c>
      <c r="F1014">
        <v>195.49</v>
      </c>
      <c r="G1014">
        <v>1498.74</v>
      </c>
    </row>
    <row r="1015" spans="1:7" x14ac:dyDescent="0.35">
      <c r="A1015" s="178" t="s">
        <v>793</v>
      </c>
      <c r="B1015" s="178" t="s">
        <v>2430</v>
      </c>
      <c r="C1015" s="178" t="s">
        <v>877</v>
      </c>
      <c r="D1015">
        <v>38481</v>
      </c>
      <c r="E1015">
        <v>17668.8</v>
      </c>
      <c r="F1015">
        <v>2650.32</v>
      </c>
      <c r="G1015">
        <v>20319.12</v>
      </c>
    </row>
    <row r="1016" spans="1:7" x14ac:dyDescent="0.35">
      <c r="A1016" s="178" t="s">
        <v>2431</v>
      </c>
      <c r="B1016" s="178" t="s">
        <v>2432</v>
      </c>
      <c r="C1016" s="178" t="s">
        <v>877</v>
      </c>
      <c r="D1016" s="178" t="s">
        <v>57</v>
      </c>
      <c r="E1016">
        <v>909.5</v>
      </c>
      <c r="F1016">
        <v>136.43</v>
      </c>
      <c r="G1016">
        <v>1045.93</v>
      </c>
    </row>
    <row r="1017" spans="1:7" x14ac:dyDescent="0.35">
      <c r="A1017" s="178" t="s">
        <v>2433</v>
      </c>
      <c r="B1017" s="178" t="s">
        <v>2434</v>
      </c>
      <c r="C1017" s="178" t="s">
        <v>877</v>
      </c>
      <c r="D1017" s="178" t="s">
        <v>57</v>
      </c>
      <c r="E1017">
        <v>8192.7000000000007</v>
      </c>
      <c r="F1017">
        <v>1228.9100000000001</v>
      </c>
      <c r="G1017">
        <v>9421.61</v>
      </c>
    </row>
    <row r="1018" spans="1:7" x14ac:dyDescent="0.35">
      <c r="A1018" s="178" t="s">
        <v>1265</v>
      </c>
      <c r="B1018" s="178" t="s">
        <v>2435</v>
      </c>
      <c r="C1018" s="178" t="s">
        <v>877</v>
      </c>
      <c r="D1018" s="178" t="s">
        <v>2436</v>
      </c>
      <c r="E1018">
        <v>717.95</v>
      </c>
      <c r="F1018">
        <v>107.69</v>
      </c>
      <c r="G1018">
        <v>825.64</v>
      </c>
    </row>
    <row r="1019" spans="1:7" x14ac:dyDescent="0.35">
      <c r="A1019" s="178" t="s">
        <v>1742</v>
      </c>
      <c r="B1019" s="178" t="s">
        <v>2437</v>
      </c>
      <c r="C1019" s="178" t="s">
        <v>877</v>
      </c>
      <c r="D1019" s="178" t="s">
        <v>57</v>
      </c>
      <c r="E1019">
        <v>132000</v>
      </c>
      <c r="F1019">
        <v>19800</v>
      </c>
      <c r="G1019">
        <v>151800</v>
      </c>
    </row>
    <row r="1020" spans="1:7" x14ac:dyDescent="0.35">
      <c r="A1020" s="178" t="s">
        <v>2438</v>
      </c>
      <c r="B1020" s="178" t="s">
        <v>2439</v>
      </c>
      <c r="C1020" s="178" t="s">
        <v>877</v>
      </c>
      <c r="D1020" s="178" t="s">
        <v>57</v>
      </c>
      <c r="E1020">
        <v>1762.8</v>
      </c>
      <c r="F1020">
        <v>264.42</v>
      </c>
      <c r="G1020">
        <v>2027.22</v>
      </c>
    </row>
    <row r="1021" spans="1:7" x14ac:dyDescent="0.35">
      <c r="A1021" s="178" t="s">
        <v>1265</v>
      </c>
      <c r="B1021" s="178" t="s">
        <v>2440</v>
      </c>
      <c r="C1021" s="178" t="s">
        <v>877</v>
      </c>
      <c r="D1021" s="178" t="s">
        <v>2441</v>
      </c>
      <c r="E1021">
        <v>730.4</v>
      </c>
      <c r="F1021">
        <v>109.56</v>
      </c>
      <c r="G1021">
        <v>839.96</v>
      </c>
    </row>
    <row r="1022" spans="1:7" x14ac:dyDescent="0.35">
      <c r="A1022" s="178" t="s">
        <v>1568</v>
      </c>
      <c r="B1022" s="178" t="s">
        <v>2442</v>
      </c>
      <c r="C1022" s="178" t="s">
        <v>877</v>
      </c>
      <c r="D1022" s="178" t="s">
        <v>57</v>
      </c>
      <c r="E1022">
        <v>4150.6499999999996</v>
      </c>
      <c r="F1022">
        <v>622.6</v>
      </c>
      <c r="G1022">
        <v>4773.25</v>
      </c>
    </row>
    <row r="1023" spans="1:7" x14ac:dyDescent="0.35">
      <c r="A1023" s="178" t="s">
        <v>1792</v>
      </c>
      <c r="B1023" s="178" t="s">
        <v>2443</v>
      </c>
      <c r="C1023" s="178" t="s">
        <v>877</v>
      </c>
      <c r="D1023" s="178" t="s">
        <v>57</v>
      </c>
      <c r="E1023">
        <v>8680.2999999999993</v>
      </c>
      <c r="F1023">
        <v>1302.06</v>
      </c>
      <c r="G1023">
        <v>9982.36</v>
      </c>
    </row>
    <row r="1024" spans="1:7" x14ac:dyDescent="0.35">
      <c r="A1024" s="178" t="s">
        <v>750</v>
      </c>
      <c r="B1024" s="178" t="s">
        <v>2444</v>
      </c>
      <c r="C1024" s="178" t="s">
        <v>877</v>
      </c>
      <c r="D1024" s="178" t="s">
        <v>2445</v>
      </c>
      <c r="E1024">
        <v>2042.55</v>
      </c>
      <c r="F1024">
        <v>306.38</v>
      </c>
      <c r="G1024">
        <v>2348.9299999999998</v>
      </c>
    </row>
    <row r="1025" spans="1:7" x14ac:dyDescent="0.35">
      <c r="A1025" s="178" t="s">
        <v>1391</v>
      </c>
      <c r="B1025" s="178" t="s">
        <v>2446</v>
      </c>
      <c r="C1025" s="178" t="s">
        <v>877</v>
      </c>
      <c r="D1025" s="178" t="s">
        <v>57</v>
      </c>
      <c r="E1025">
        <v>12430.7</v>
      </c>
      <c r="F1025">
        <v>1864.61</v>
      </c>
      <c r="G1025">
        <v>14295.31</v>
      </c>
    </row>
    <row r="1026" spans="1:7" x14ac:dyDescent="0.35">
      <c r="A1026" s="178" t="s">
        <v>2447</v>
      </c>
      <c r="B1026" s="178" t="s">
        <v>2448</v>
      </c>
      <c r="C1026" s="178" t="s">
        <v>877</v>
      </c>
      <c r="D1026" s="178" t="s">
        <v>57</v>
      </c>
      <c r="E1026">
        <v>5792.8</v>
      </c>
      <c r="F1026">
        <v>868.92</v>
      </c>
      <c r="G1026">
        <v>6661.72</v>
      </c>
    </row>
    <row r="1027" spans="1:7" x14ac:dyDescent="0.35">
      <c r="A1027" s="178" t="s">
        <v>2449</v>
      </c>
      <c r="B1027" s="178" t="s">
        <v>2450</v>
      </c>
      <c r="C1027" s="178" t="s">
        <v>877</v>
      </c>
      <c r="D1027" s="178" t="s">
        <v>2451</v>
      </c>
      <c r="E1027">
        <v>10341.75</v>
      </c>
      <c r="F1027">
        <v>1551.27</v>
      </c>
      <c r="G1027">
        <v>11893.02</v>
      </c>
    </row>
    <row r="1028" spans="1:7" x14ac:dyDescent="0.35">
      <c r="A1028" s="178" t="s">
        <v>2452</v>
      </c>
      <c r="B1028" s="178" t="s">
        <v>2453</v>
      </c>
      <c r="C1028" s="178" t="s">
        <v>877</v>
      </c>
      <c r="D1028" s="178" t="s">
        <v>57</v>
      </c>
      <c r="E1028">
        <v>1361.45</v>
      </c>
      <c r="F1028">
        <v>204.22</v>
      </c>
      <c r="G1028">
        <v>1565.67</v>
      </c>
    </row>
    <row r="1029" spans="1:7" x14ac:dyDescent="0.35">
      <c r="A1029" s="178" t="s">
        <v>1930</v>
      </c>
      <c r="B1029" s="178" t="s">
        <v>2454</v>
      </c>
      <c r="C1029" s="178" t="s">
        <v>877</v>
      </c>
      <c r="D1029" s="178" t="s">
        <v>57</v>
      </c>
      <c r="E1029">
        <v>3212.1</v>
      </c>
      <c r="F1029">
        <v>481.82</v>
      </c>
      <c r="G1029">
        <v>3693.92</v>
      </c>
    </row>
    <row r="1030" spans="1:7" x14ac:dyDescent="0.35">
      <c r="A1030" s="178" t="s">
        <v>2455</v>
      </c>
      <c r="B1030" s="178" t="s">
        <v>2456</v>
      </c>
      <c r="C1030" s="178" t="s">
        <v>877</v>
      </c>
      <c r="D1030" s="178" t="s">
        <v>57</v>
      </c>
      <c r="E1030">
        <v>3513.44</v>
      </c>
      <c r="F1030">
        <v>527.02</v>
      </c>
      <c r="G1030">
        <v>4040.46</v>
      </c>
    </row>
    <row r="1031" spans="1:7" x14ac:dyDescent="0.35">
      <c r="A1031" s="178" t="s">
        <v>2457</v>
      </c>
      <c r="B1031" s="178" t="s">
        <v>2458</v>
      </c>
      <c r="C1031" s="178" t="s">
        <v>877</v>
      </c>
      <c r="D1031" s="178" t="s">
        <v>57</v>
      </c>
      <c r="E1031">
        <v>1158.8499999999999</v>
      </c>
      <c r="F1031">
        <v>173.83</v>
      </c>
      <c r="G1031">
        <v>1332.68</v>
      </c>
    </row>
    <row r="1032" spans="1:7" x14ac:dyDescent="0.35">
      <c r="A1032" s="178" t="s">
        <v>1352</v>
      </c>
      <c r="B1032" s="178" t="s">
        <v>2459</v>
      </c>
      <c r="C1032" s="178" t="s">
        <v>877</v>
      </c>
      <c r="D1032" s="178" t="s">
        <v>57</v>
      </c>
      <c r="E1032">
        <v>217.39</v>
      </c>
      <c r="F1032">
        <v>32.61</v>
      </c>
      <c r="G1032">
        <v>250</v>
      </c>
    </row>
    <row r="1033" spans="1:7" x14ac:dyDescent="0.35">
      <c r="A1033" s="178" t="s">
        <v>2460</v>
      </c>
      <c r="B1033" s="178" t="s">
        <v>2461</v>
      </c>
      <c r="C1033" s="178" t="s">
        <v>877</v>
      </c>
      <c r="D1033" s="178" t="s">
        <v>2462</v>
      </c>
      <c r="E1033">
        <v>6552.05</v>
      </c>
      <c r="F1033">
        <v>982.81</v>
      </c>
      <c r="G1033">
        <v>7534.86</v>
      </c>
    </row>
    <row r="1034" spans="1:7" x14ac:dyDescent="0.35">
      <c r="A1034" s="178" t="s">
        <v>904</v>
      </c>
      <c r="B1034" s="178" t="s">
        <v>2463</v>
      </c>
      <c r="C1034" s="178" t="s">
        <v>877</v>
      </c>
      <c r="D1034" s="178" t="s">
        <v>1526</v>
      </c>
      <c r="E1034">
        <v>1708.2</v>
      </c>
      <c r="F1034">
        <v>256.23</v>
      </c>
      <c r="G1034">
        <v>1964.43</v>
      </c>
    </row>
    <row r="1035" spans="1:7" x14ac:dyDescent="0.35">
      <c r="A1035" s="178" t="s">
        <v>1168</v>
      </c>
      <c r="B1035" s="178" t="s">
        <v>2464</v>
      </c>
      <c r="C1035" s="178" t="s">
        <v>877</v>
      </c>
      <c r="D1035" s="178" t="s">
        <v>57</v>
      </c>
      <c r="E1035">
        <v>1254.5999999999999</v>
      </c>
      <c r="F1035">
        <v>188.19</v>
      </c>
      <c r="G1035">
        <v>1442.79</v>
      </c>
    </row>
    <row r="1036" spans="1:7" x14ac:dyDescent="0.35">
      <c r="A1036" s="178" t="s">
        <v>2465</v>
      </c>
      <c r="B1036" s="178" t="s">
        <v>2466</v>
      </c>
      <c r="C1036" s="178" t="s">
        <v>877</v>
      </c>
      <c r="D1036" s="178" t="s">
        <v>57</v>
      </c>
      <c r="E1036">
        <v>13345</v>
      </c>
      <c r="F1036">
        <v>2001.75</v>
      </c>
      <c r="G1036">
        <v>15346.75</v>
      </c>
    </row>
    <row r="1037" spans="1:7" x14ac:dyDescent="0.35">
      <c r="A1037" s="178" t="s">
        <v>1588</v>
      </c>
      <c r="B1037" s="178" t="s">
        <v>2467</v>
      </c>
      <c r="C1037" s="178" t="s">
        <v>877</v>
      </c>
      <c r="D1037" s="178" t="s">
        <v>57</v>
      </c>
      <c r="E1037">
        <v>982.5</v>
      </c>
      <c r="F1037">
        <v>147.38</v>
      </c>
      <c r="G1037">
        <v>1129.8800000000001</v>
      </c>
    </row>
    <row r="1038" spans="1:7" x14ac:dyDescent="0.35">
      <c r="A1038" s="178" t="s">
        <v>2004</v>
      </c>
      <c r="B1038" s="178" t="s">
        <v>2468</v>
      </c>
      <c r="C1038" s="178" t="s">
        <v>877</v>
      </c>
      <c r="D1038" s="178" t="s">
        <v>57</v>
      </c>
      <c r="E1038">
        <v>32624.400000000001</v>
      </c>
      <c r="F1038">
        <v>4893.66</v>
      </c>
      <c r="G1038">
        <v>37518.06</v>
      </c>
    </row>
    <row r="1039" spans="1:7" x14ac:dyDescent="0.35">
      <c r="A1039" s="178" t="s">
        <v>1510</v>
      </c>
      <c r="B1039" s="178" t="s">
        <v>2469</v>
      </c>
      <c r="C1039" s="178" t="s">
        <v>877</v>
      </c>
      <c r="D1039" s="178" t="s">
        <v>57</v>
      </c>
      <c r="E1039">
        <v>59483.25</v>
      </c>
      <c r="F1039">
        <v>8922.49</v>
      </c>
      <c r="G1039">
        <v>68405.740000000005</v>
      </c>
    </row>
    <row r="1040" spans="1:7" x14ac:dyDescent="0.35">
      <c r="A1040" s="178" t="s">
        <v>839</v>
      </c>
      <c r="B1040" s="178" t="s">
        <v>2470</v>
      </c>
      <c r="C1040" s="178" t="s">
        <v>877</v>
      </c>
      <c r="D1040" s="178" t="s">
        <v>2471</v>
      </c>
      <c r="E1040">
        <v>1603.8</v>
      </c>
      <c r="F1040">
        <v>240.57</v>
      </c>
      <c r="G1040">
        <v>1844.37</v>
      </c>
    </row>
    <row r="1041" spans="1:7" x14ac:dyDescent="0.35">
      <c r="A1041" s="178" t="s">
        <v>720</v>
      </c>
      <c r="B1041" s="178" t="s">
        <v>2472</v>
      </c>
      <c r="C1041" s="178" t="s">
        <v>887</v>
      </c>
      <c r="D1041" s="178" t="s">
        <v>2473</v>
      </c>
      <c r="E1041">
        <v>2330.1</v>
      </c>
      <c r="F1041">
        <v>349.52</v>
      </c>
      <c r="G1041">
        <v>2679.62</v>
      </c>
    </row>
    <row r="1042" spans="1:7" x14ac:dyDescent="0.35">
      <c r="A1042" s="178" t="s">
        <v>2474</v>
      </c>
      <c r="B1042" s="178" t="s">
        <v>2475</v>
      </c>
      <c r="C1042" s="178" t="s">
        <v>887</v>
      </c>
      <c r="D1042" s="178" t="s">
        <v>2476</v>
      </c>
      <c r="E1042">
        <v>10124.799999999999</v>
      </c>
      <c r="F1042">
        <v>1518.72</v>
      </c>
      <c r="G1042">
        <v>11643.52</v>
      </c>
    </row>
    <row r="1043" spans="1:7" x14ac:dyDescent="0.35">
      <c r="A1043" s="178" t="s">
        <v>2075</v>
      </c>
      <c r="B1043" s="178" t="s">
        <v>2477</v>
      </c>
      <c r="C1043" s="178" t="s">
        <v>887</v>
      </c>
      <c r="D1043" s="178" t="s">
        <v>1921</v>
      </c>
      <c r="E1043">
        <v>6736.4</v>
      </c>
      <c r="F1043">
        <v>1010.46</v>
      </c>
      <c r="G1043">
        <v>7746.86</v>
      </c>
    </row>
    <row r="1044" spans="1:7" x14ac:dyDescent="0.35">
      <c r="A1044" s="178" t="s">
        <v>1214</v>
      </c>
      <c r="B1044" s="178" t="s">
        <v>2478</v>
      </c>
      <c r="C1044" s="178" t="s">
        <v>887</v>
      </c>
      <c r="D1044" s="178" t="s">
        <v>2479</v>
      </c>
      <c r="E1044">
        <v>4817.3500000000004</v>
      </c>
      <c r="F1044">
        <v>722.6</v>
      </c>
      <c r="G1044">
        <v>5539.95</v>
      </c>
    </row>
    <row r="1045" spans="1:7" x14ac:dyDescent="0.35">
      <c r="A1045" s="178" t="s">
        <v>1231</v>
      </c>
      <c r="B1045" s="178" t="s">
        <v>2480</v>
      </c>
      <c r="C1045" s="178" t="s">
        <v>887</v>
      </c>
      <c r="D1045" s="178" t="s">
        <v>1233</v>
      </c>
      <c r="E1045">
        <v>1250</v>
      </c>
      <c r="F1045">
        <v>187.5</v>
      </c>
      <c r="G1045">
        <v>1437.5</v>
      </c>
    </row>
    <row r="1046" spans="1:7" x14ac:dyDescent="0.35">
      <c r="A1046" s="178" t="s">
        <v>2481</v>
      </c>
      <c r="B1046" s="178" t="s">
        <v>2482</v>
      </c>
      <c r="C1046" s="178" t="s">
        <v>887</v>
      </c>
      <c r="D1046" s="178" t="s">
        <v>57</v>
      </c>
      <c r="E1046">
        <v>1489.6</v>
      </c>
      <c r="F1046">
        <v>223.44</v>
      </c>
      <c r="G1046">
        <v>1713.04</v>
      </c>
    </row>
    <row r="1047" spans="1:7" x14ac:dyDescent="0.35">
      <c r="A1047" s="178" t="s">
        <v>2483</v>
      </c>
      <c r="B1047" s="178" t="s">
        <v>2484</v>
      </c>
      <c r="C1047" s="178" t="s">
        <v>887</v>
      </c>
      <c r="D1047" s="178" t="s">
        <v>2485</v>
      </c>
      <c r="E1047">
        <v>3288</v>
      </c>
      <c r="F1047">
        <v>493.2</v>
      </c>
      <c r="G1047">
        <v>3781.2</v>
      </c>
    </row>
    <row r="1048" spans="1:7" x14ac:dyDescent="0.35">
      <c r="A1048" s="178" t="s">
        <v>2010</v>
      </c>
      <c r="B1048" s="178" t="s">
        <v>2486</v>
      </c>
      <c r="C1048" s="178" t="s">
        <v>887</v>
      </c>
      <c r="D1048" s="178" t="s">
        <v>57</v>
      </c>
      <c r="E1048">
        <v>3263.4</v>
      </c>
      <c r="F1048">
        <v>489.52</v>
      </c>
      <c r="G1048">
        <v>3752.92</v>
      </c>
    </row>
    <row r="1049" spans="1:7" x14ac:dyDescent="0.35">
      <c r="A1049" s="178" t="s">
        <v>904</v>
      </c>
      <c r="B1049" s="178" t="s">
        <v>2487</v>
      </c>
      <c r="C1049" s="178" t="s">
        <v>887</v>
      </c>
      <c r="D1049" s="178" t="s">
        <v>2488</v>
      </c>
      <c r="E1049">
        <v>1398.6</v>
      </c>
      <c r="F1049">
        <v>209.79</v>
      </c>
      <c r="G1049">
        <v>1608.39</v>
      </c>
    </row>
    <row r="1050" spans="1:7" x14ac:dyDescent="0.35">
      <c r="A1050" s="178" t="s">
        <v>1414</v>
      </c>
      <c r="B1050" s="178" t="s">
        <v>2489</v>
      </c>
      <c r="C1050" s="178" t="s">
        <v>887</v>
      </c>
      <c r="D1050" s="178" t="s">
        <v>57</v>
      </c>
      <c r="E1050">
        <v>1271.45</v>
      </c>
      <c r="F1050">
        <v>190.72</v>
      </c>
      <c r="G1050">
        <v>1462.17</v>
      </c>
    </row>
    <row r="1051" spans="1:7" x14ac:dyDescent="0.35">
      <c r="A1051" s="178" t="s">
        <v>2490</v>
      </c>
      <c r="B1051" s="178" t="s">
        <v>2491</v>
      </c>
      <c r="C1051" s="178" t="s">
        <v>887</v>
      </c>
      <c r="D1051" s="178" t="s">
        <v>57</v>
      </c>
      <c r="E1051">
        <v>688.8</v>
      </c>
      <c r="F1051">
        <v>103.32</v>
      </c>
      <c r="G1051">
        <v>792.12</v>
      </c>
    </row>
    <row r="1052" spans="1:7" x14ac:dyDescent="0.35">
      <c r="A1052" s="178" t="s">
        <v>2465</v>
      </c>
      <c r="B1052" s="178" t="s">
        <v>2492</v>
      </c>
      <c r="C1052" s="178" t="s">
        <v>887</v>
      </c>
      <c r="D1052" s="178" t="s">
        <v>57</v>
      </c>
      <c r="E1052">
        <v>5437.6</v>
      </c>
      <c r="F1052">
        <v>815.64</v>
      </c>
      <c r="G1052">
        <v>6253.24</v>
      </c>
    </row>
    <row r="1053" spans="1:7" x14ac:dyDescent="0.35">
      <c r="A1053" s="178" t="s">
        <v>2493</v>
      </c>
      <c r="B1053" s="178" t="s">
        <v>2494</v>
      </c>
      <c r="C1053" s="178" t="s">
        <v>887</v>
      </c>
      <c r="D1053" s="178" t="s">
        <v>57</v>
      </c>
      <c r="E1053">
        <v>424</v>
      </c>
      <c r="F1053">
        <v>63.6</v>
      </c>
      <c r="G1053">
        <v>487.6</v>
      </c>
    </row>
    <row r="1054" spans="1:7" x14ac:dyDescent="0.35">
      <c r="A1054" s="178" t="s">
        <v>1579</v>
      </c>
      <c r="B1054" s="178" t="s">
        <v>2495</v>
      </c>
      <c r="C1054" s="178" t="s">
        <v>887</v>
      </c>
      <c r="D1054" s="178" t="s">
        <v>57</v>
      </c>
      <c r="E1054">
        <v>1523.05</v>
      </c>
      <c r="F1054">
        <v>228.46</v>
      </c>
      <c r="G1054">
        <v>1751.51</v>
      </c>
    </row>
    <row r="1055" spans="1:7" x14ac:dyDescent="0.35">
      <c r="A1055" s="178" t="s">
        <v>1202</v>
      </c>
      <c r="B1055" s="178" t="s">
        <v>2496</v>
      </c>
      <c r="C1055" s="178" t="s">
        <v>887</v>
      </c>
      <c r="D1055" s="178" t="s">
        <v>57</v>
      </c>
      <c r="E1055">
        <v>2508.9499999999998</v>
      </c>
      <c r="F1055">
        <v>376.34</v>
      </c>
      <c r="G1055">
        <v>2885.29</v>
      </c>
    </row>
    <row r="1056" spans="1:7" x14ac:dyDescent="0.35">
      <c r="A1056" s="178" t="s">
        <v>2497</v>
      </c>
      <c r="B1056" s="178" t="s">
        <v>2498</v>
      </c>
      <c r="C1056" s="178" t="s">
        <v>887</v>
      </c>
      <c r="D1056" s="178" t="s">
        <v>57</v>
      </c>
      <c r="E1056">
        <v>1659.8</v>
      </c>
      <c r="F1056">
        <v>248.97</v>
      </c>
      <c r="G1056">
        <v>1908.77</v>
      </c>
    </row>
    <row r="1057" spans="1:7" x14ac:dyDescent="0.35">
      <c r="A1057" s="178" t="s">
        <v>1183</v>
      </c>
      <c r="B1057" s="178" t="s">
        <v>2499</v>
      </c>
      <c r="C1057" s="178" t="s">
        <v>887</v>
      </c>
      <c r="D1057" s="178" t="s">
        <v>57</v>
      </c>
      <c r="E1057">
        <v>2226.1</v>
      </c>
      <c r="F1057">
        <v>333.91</v>
      </c>
      <c r="G1057">
        <v>2560.0100000000002</v>
      </c>
    </row>
    <row r="1058" spans="1:7" x14ac:dyDescent="0.35">
      <c r="A1058" s="178" t="s">
        <v>2500</v>
      </c>
      <c r="B1058" s="178" t="s">
        <v>2501</v>
      </c>
      <c r="C1058" s="178" t="s">
        <v>887</v>
      </c>
      <c r="D1058" s="178" t="s">
        <v>2502</v>
      </c>
      <c r="E1058">
        <v>1376</v>
      </c>
      <c r="F1058">
        <v>206.4</v>
      </c>
      <c r="G1058">
        <v>1582.4</v>
      </c>
    </row>
    <row r="1059" spans="1:7" x14ac:dyDescent="0.35">
      <c r="A1059" s="178" t="s">
        <v>961</v>
      </c>
      <c r="B1059" s="178" t="s">
        <v>2503</v>
      </c>
      <c r="C1059" s="178" t="s">
        <v>887</v>
      </c>
      <c r="D1059" s="178" t="s">
        <v>57</v>
      </c>
      <c r="E1059">
        <v>27261</v>
      </c>
      <c r="F1059">
        <v>4089.15</v>
      </c>
      <c r="G1059">
        <v>31350.15</v>
      </c>
    </row>
    <row r="1060" spans="1:7" x14ac:dyDescent="0.35">
      <c r="A1060" s="178" t="s">
        <v>977</v>
      </c>
      <c r="B1060" s="178" t="s">
        <v>2504</v>
      </c>
      <c r="C1060" s="178" t="s">
        <v>887</v>
      </c>
      <c r="D1060" s="178" t="s">
        <v>1101</v>
      </c>
      <c r="E1060">
        <v>3884.95</v>
      </c>
      <c r="F1060">
        <v>582.74</v>
      </c>
      <c r="G1060">
        <v>4467.6899999999996</v>
      </c>
    </row>
    <row r="1061" spans="1:7" x14ac:dyDescent="0.35">
      <c r="A1061" s="178" t="s">
        <v>811</v>
      </c>
      <c r="B1061" s="178" t="s">
        <v>2505</v>
      </c>
      <c r="C1061" s="178" t="s">
        <v>887</v>
      </c>
      <c r="D1061" s="178" t="s">
        <v>57</v>
      </c>
      <c r="E1061">
        <v>60982.6</v>
      </c>
      <c r="F1061">
        <v>9147.39</v>
      </c>
      <c r="G1061">
        <v>70129.990000000005</v>
      </c>
    </row>
    <row r="1062" spans="1:7" x14ac:dyDescent="0.35">
      <c r="A1062" s="178" t="s">
        <v>1099</v>
      </c>
      <c r="B1062" s="178" t="s">
        <v>2506</v>
      </c>
      <c r="C1062" s="178" t="s">
        <v>887</v>
      </c>
      <c r="D1062" s="178" t="s">
        <v>2507</v>
      </c>
      <c r="E1062">
        <v>3624</v>
      </c>
      <c r="F1062">
        <v>543.6</v>
      </c>
      <c r="G1062">
        <v>4167.6000000000004</v>
      </c>
    </row>
    <row r="1063" spans="1:7" x14ac:dyDescent="0.35">
      <c r="A1063" s="178" t="s">
        <v>1133</v>
      </c>
      <c r="B1063" s="178" t="s">
        <v>2508</v>
      </c>
      <c r="C1063" s="178" t="s">
        <v>887</v>
      </c>
      <c r="D1063" s="178" t="s">
        <v>57</v>
      </c>
      <c r="E1063">
        <v>5288.4</v>
      </c>
      <c r="F1063">
        <v>793.26</v>
      </c>
      <c r="G1063">
        <v>6081.66</v>
      </c>
    </row>
    <row r="1064" spans="1:7" x14ac:dyDescent="0.35">
      <c r="A1064" s="178" t="s">
        <v>1206</v>
      </c>
      <c r="B1064" s="178" t="s">
        <v>2509</v>
      </c>
      <c r="C1064" s="178" t="s">
        <v>887</v>
      </c>
      <c r="D1064" s="178" t="s">
        <v>57</v>
      </c>
      <c r="E1064">
        <v>2299</v>
      </c>
      <c r="F1064">
        <v>344.85</v>
      </c>
      <c r="G1064">
        <v>2643.85</v>
      </c>
    </row>
    <row r="1065" spans="1:7" x14ac:dyDescent="0.35">
      <c r="A1065" s="178" t="s">
        <v>781</v>
      </c>
      <c r="B1065" s="178" t="s">
        <v>2510</v>
      </c>
      <c r="C1065" s="178" t="s">
        <v>887</v>
      </c>
      <c r="D1065" s="178" t="s">
        <v>57</v>
      </c>
      <c r="E1065">
        <v>14803.7</v>
      </c>
      <c r="F1065">
        <v>2220.5700000000002</v>
      </c>
      <c r="G1065">
        <v>17024.27</v>
      </c>
    </row>
    <row r="1066" spans="1:7" x14ac:dyDescent="0.35">
      <c r="A1066" s="178" t="s">
        <v>2511</v>
      </c>
      <c r="B1066" s="178" t="s">
        <v>2512</v>
      </c>
      <c r="C1066" s="178" t="s">
        <v>887</v>
      </c>
      <c r="D1066" s="178" t="s">
        <v>2513</v>
      </c>
      <c r="E1066">
        <v>1483.5</v>
      </c>
      <c r="F1066">
        <v>222.53</v>
      </c>
      <c r="G1066">
        <v>1706.03</v>
      </c>
    </row>
    <row r="1067" spans="1:7" x14ac:dyDescent="0.35">
      <c r="A1067" s="178" t="s">
        <v>988</v>
      </c>
      <c r="B1067" s="178" t="s">
        <v>2514</v>
      </c>
      <c r="C1067" s="178" t="s">
        <v>887</v>
      </c>
      <c r="D1067" s="178" t="s">
        <v>57</v>
      </c>
      <c r="E1067">
        <v>448.85</v>
      </c>
      <c r="F1067">
        <v>67.33</v>
      </c>
      <c r="G1067">
        <v>516.17999999999995</v>
      </c>
    </row>
    <row r="1068" spans="1:7" x14ac:dyDescent="0.35">
      <c r="A1068" s="178" t="s">
        <v>2515</v>
      </c>
      <c r="B1068" s="178" t="s">
        <v>2516</v>
      </c>
      <c r="C1068" s="178" t="s">
        <v>887</v>
      </c>
      <c r="D1068" s="178" t="s">
        <v>57</v>
      </c>
      <c r="E1068">
        <v>4005.25</v>
      </c>
      <c r="F1068">
        <v>600.79</v>
      </c>
      <c r="G1068">
        <v>4606.04</v>
      </c>
    </row>
    <row r="1069" spans="1:7" x14ac:dyDescent="0.35">
      <c r="A1069" s="178" t="s">
        <v>1075</v>
      </c>
      <c r="B1069" s="178" t="s">
        <v>2517</v>
      </c>
      <c r="C1069" s="178" t="s">
        <v>887</v>
      </c>
      <c r="D1069" s="178" t="s">
        <v>57</v>
      </c>
      <c r="E1069">
        <v>9050.65</v>
      </c>
      <c r="F1069">
        <v>1357.6</v>
      </c>
      <c r="G1069">
        <v>10408.25</v>
      </c>
    </row>
    <row r="1070" spans="1:7" x14ac:dyDescent="0.35">
      <c r="A1070" s="178" t="s">
        <v>1850</v>
      </c>
      <c r="B1070" s="178" t="s">
        <v>2518</v>
      </c>
      <c r="C1070" s="178" t="s">
        <v>887</v>
      </c>
      <c r="D1070" s="178" t="s">
        <v>2519</v>
      </c>
      <c r="E1070">
        <v>37891.800000000003</v>
      </c>
      <c r="F1070">
        <v>5683.77</v>
      </c>
      <c r="G1070">
        <v>43575.57</v>
      </c>
    </row>
    <row r="1071" spans="1:7" x14ac:dyDescent="0.35">
      <c r="A1071" s="178" t="s">
        <v>1368</v>
      </c>
      <c r="B1071" s="178" t="s">
        <v>2520</v>
      </c>
      <c r="C1071" s="178" t="s">
        <v>887</v>
      </c>
      <c r="D1071" s="178" t="s">
        <v>57</v>
      </c>
      <c r="E1071">
        <v>724.95</v>
      </c>
      <c r="F1071">
        <v>108.74</v>
      </c>
      <c r="G1071">
        <v>833.69</v>
      </c>
    </row>
    <row r="1072" spans="1:7" x14ac:dyDescent="0.35">
      <c r="A1072" s="178" t="s">
        <v>1653</v>
      </c>
      <c r="B1072" s="178" t="s">
        <v>2521</v>
      </c>
      <c r="C1072" s="178" t="s">
        <v>887</v>
      </c>
      <c r="D1072" s="178" t="s">
        <v>57</v>
      </c>
      <c r="E1072">
        <v>651</v>
      </c>
      <c r="F1072">
        <v>97.65</v>
      </c>
      <c r="G1072">
        <v>748.65</v>
      </c>
    </row>
    <row r="1073" spans="1:7" x14ac:dyDescent="0.35">
      <c r="A1073" s="178" t="s">
        <v>988</v>
      </c>
      <c r="B1073" s="178" t="s">
        <v>2522</v>
      </c>
      <c r="C1073" s="178" t="s">
        <v>887</v>
      </c>
      <c r="D1073" s="178" t="s">
        <v>57</v>
      </c>
      <c r="E1073">
        <v>500</v>
      </c>
      <c r="F1073">
        <v>75</v>
      </c>
      <c r="G1073">
        <v>575</v>
      </c>
    </row>
    <row r="1074" spans="1:7" x14ac:dyDescent="0.35">
      <c r="A1074" s="178" t="s">
        <v>2523</v>
      </c>
      <c r="B1074" s="178" t="s">
        <v>2524</v>
      </c>
      <c r="C1074" s="178" t="s">
        <v>887</v>
      </c>
      <c r="D1074" s="178" t="s">
        <v>57</v>
      </c>
      <c r="E1074">
        <v>1441.75</v>
      </c>
      <c r="F1074">
        <v>216.26</v>
      </c>
      <c r="G1074">
        <v>1658.01</v>
      </c>
    </row>
    <row r="1075" spans="1:7" x14ac:dyDescent="0.35">
      <c r="A1075" s="178" t="s">
        <v>1499</v>
      </c>
      <c r="B1075" s="178" t="s">
        <v>2525</v>
      </c>
      <c r="C1075" s="178" t="s">
        <v>887</v>
      </c>
      <c r="D1075" s="178" t="s">
        <v>2526</v>
      </c>
      <c r="E1075">
        <v>4826.3999999999996</v>
      </c>
      <c r="F1075" s="178" t="s">
        <v>57</v>
      </c>
      <c r="G1075">
        <v>4826.3999999999996</v>
      </c>
    </row>
    <row r="1076" spans="1:7" x14ac:dyDescent="0.35">
      <c r="A1076" s="178" t="s">
        <v>2527</v>
      </c>
      <c r="B1076" s="178" t="s">
        <v>2528</v>
      </c>
      <c r="C1076" s="178" t="s">
        <v>887</v>
      </c>
      <c r="D1076" s="178" t="s">
        <v>57</v>
      </c>
      <c r="E1076">
        <v>4107.8</v>
      </c>
      <c r="F1076">
        <v>616.16999999999996</v>
      </c>
      <c r="G1076">
        <v>4723.97</v>
      </c>
    </row>
    <row r="1077" spans="1:7" x14ac:dyDescent="0.35">
      <c r="A1077" s="178" t="s">
        <v>2529</v>
      </c>
      <c r="B1077" s="178" t="s">
        <v>2530</v>
      </c>
      <c r="C1077" s="178" t="s">
        <v>887</v>
      </c>
      <c r="D1077" s="178" t="s">
        <v>2531</v>
      </c>
      <c r="E1077">
        <v>510</v>
      </c>
      <c r="F1077">
        <v>76.5</v>
      </c>
      <c r="G1077">
        <v>586.5</v>
      </c>
    </row>
    <row r="1078" spans="1:7" x14ac:dyDescent="0.35">
      <c r="A1078" s="178" t="s">
        <v>793</v>
      </c>
      <c r="B1078" s="178" t="s">
        <v>2532</v>
      </c>
      <c r="C1078" s="178" t="s">
        <v>887</v>
      </c>
      <c r="D1078">
        <v>38562</v>
      </c>
      <c r="E1078">
        <v>4990</v>
      </c>
      <c r="F1078">
        <v>748.5</v>
      </c>
      <c r="G1078">
        <v>5738.5</v>
      </c>
    </row>
    <row r="1079" spans="1:7" x14ac:dyDescent="0.35">
      <c r="A1079" s="178" t="s">
        <v>2533</v>
      </c>
      <c r="B1079" s="178" t="s">
        <v>2534</v>
      </c>
      <c r="C1079" s="178" t="s">
        <v>887</v>
      </c>
      <c r="D1079" s="178" t="s">
        <v>57</v>
      </c>
      <c r="E1079">
        <v>862.75</v>
      </c>
      <c r="F1079">
        <v>129.41</v>
      </c>
      <c r="G1079">
        <v>992.16</v>
      </c>
    </row>
    <row r="1080" spans="1:7" x14ac:dyDescent="0.35">
      <c r="A1080" s="178" t="s">
        <v>2535</v>
      </c>
      <c r="B1080" s="178" t="s">
        <v>2536</v>
      </c>
      <c r="C1080" s="178" t="s">
        <v>887</v>
      </c>
      <c r="D1080" s="178" t="s">
        <v>57</v>
      </c>
      <c r="E1080">
        <v>3052.5</v>
      </c>
      <c r="F1080">
        <v>457.88</v>
      </c>
      <c r="G1080">
        <v>3510.38</v>
      </c>
    </row>
    <row r="1081" spans="1:7" x14ac:dyDescent="0.35">
      <c r="A1081" s="178" t="s">
        <v>1550</v>
      </c>
      <c r="B1081" s="178" t="s">
        <v>2537</v>
      </c>
      <c r="C1081" s="178" t="s">
        <v>887</v>
      </c>
      <c r="D1081" s="178" t="s">
        <v>57</v>
      </c>
      <c r="E1081">
        <v>633.25</v>
      </c>
      <c r="F1081">
        <v>94.99</v>
      </c>
      <c r="G1081">
        <v>728.24</v>
      </c>
    </row>
    <row r="1082" spans="1:7" x14ac:dyDescent="0.35">
      <c r="A1082" s="178" t="s">
        <v>741</v>
      </c>
      <c r="B1082" s="178" t="s">
        <v>2538</v>
      </c>
      <c r="C1082" s="178" t="s">
        <v>902</v>
      </c>
      <c r="D1082" s="178" t="s">
        <v>57</v>
      </c>
      <c r="E1082">
        <v>13650.35</v>
      </c>
      <c r="F1082">
        <v>2047.56</v>
      </c>
      <c r="G1082">
        <v>15697.91</v>
      </c>
    </row>
    <row r="1083" spans="1:7" x14ac:dyDescent="0.35">
      <c r="A1083" s="178" t="s">
        <v>1305</v>
      </c>
      <c r="B1083" s="178" t="s">
        <v>2539</v>
      </c>
      <c r="C1083" s="178" t="s">
        <v>887</v>
      </c>
      <c r="D1083" s="178" t="s">
        <v>57</v>
      </c>
      <c r="E1083">
        <v>8431.7999999999993</v>
      </c>
      <c r="F1083">
        <v>1264.77</v>
      </c>
      <c r="G1083">
        <v>9696.57</v>
      </c>
    </row>
    <row r="1084" spans="1:7" x14ac:dyDescent="0.35">
      <c r="A1084" s="178" t="s">
        <v>2540</v>
      </c>
      <c r="B1084" s="178" t="s">
        <v>2541</v>
      </c>
      <c r="C1084" s="178" t="s">
        <v>887</v>
      </c>
      <c r="D1084" s="178" t="s">
        <v>57</v>
      </c>
      <c r="E1084">
        <v>747</v>
      </c>
      <c r="F1084">
        <v>112.05</v>
      </c>
      <c r="G1084">
        <v>859.05</v>
      </c>
    </row>
    <row r="1085" spans="1:7" x14ac:dyDescent="0.35">
      <c r="A1085" s="178" t="s">
        <v>860</v>
      </c>
      <c r="B1085" s="178" t="s">
        <v>2542</v>
      </c>
      <c r="C1085" s="178" t="s">
        <v>887</v>
      </c>
      <c r="D1085" s="178" t="s">
        <v>57</v>
      </c>
      <c r="E1085">
        <v>94196.9</v>
      </c>
      <c r="F1085">
        <v>14129.54</v>
      </c>
      <c r="G1085">
        <v>108326.44</v>
      </c>
    </row>
    <row r="1086" spans="1:7" x14ac:dyDescent="0.35">
      <c r="A1086" s="178" t="s">
        <v>1792</v>
      </c>
      <c r="B1086" s="178" t="s">
        <v>2543</v>
      </c>
      <c r="C1086" s="178" t="s">
        <v>887</v>
      </c>
      <c r="D1086" s="178" t="s">
        <v>57</v>
      </c>
      <c r="E1086">
        <v>3344.9</v>
      </c>
      <c r="F1086">
        <v>501.74</v>
      </c>
      <c r="G1086">
        <v>3846.64</v>
      </c>
    </row>
    <row r="1087" spans="1:7" x14ac:dyDescent="0.35">
      <c r="A1087" s="178" t="s">
        <v>2118</v>
      </c>
      <c r="B1087" s="178" t="s">
        <v>2544</v>
      </c>
      <c r="C1087" s="178" t="s">
        <v>887</v>
      </c>
      <c r="D1087" s="178" t="s">
        <v>57</v>
      </c>
      <c r="E1087">
        <v>2207.4</v>
      </c>
      <c r="F1087">
        <v>331.11</v>
      </c>
      <c r="G1087">
        <v>2538.5100000000002</v>
      </c>
    </row>
    <row r="1088" spans="1:7" x14ac:dyDescent="0.35">
      <c r="A1088" s="178" t="s">
        <v>2545</v>
      </c>
      <c r="B1088" s="178" t="s">
        <v>2546</v>
      </c>
      <c r="C1088" s="178" t="s">
        <v>887</v>
      </c>
      <c r="D1088" s="178" t="s">
        <v>57</v>
      </c>
      <c r="E1088">
        <v>872.9</v>
      </c>
      <c r="F1088">
        <v>130.94</v>
      </c>
      <c r="G1088">
        <v>1003.84</v>
      </c>
    </row>
    <row r="1089" spans="1:7" x14ac:dyDescent="0.35">
      <c r="A1089" s="178" t="s">
        <v>892</v>
      </c>
      <c r="B1089" s="178" t="s">
        <v>2547</v>
      </c>
      <c r="C1089" s="178" t="s">
        <v>887</v>
      </c>
      <c r="D1089" s="178" t="s">
        <v>2548</v>
      </c>
      <c r="E1089">
        <v>1010</v>
      </c>
      <c r="F1089">
        <v>151.5</v>
      </c>
      <c r="G1089">
        <v>1161.5</v>
      </c>
    </row>
    <row r="1090" spans="1:7" x14ac:dyDescent="0.35">
      <c r="A1090" s="178" t="s">
        <v>1346</v>
      </c>
      <c r="B1090" s="178" t="s">
        <v>2549</v>
      </c>
      <c r="C1090" s="178" t="s">
        <v>887</v>
      </c>
      <c r="D1090" s="178" t="s">
        <v>57</v>
      </c>
      <c r="E1090">
        <v>29829.1</v>
      </c>
      <c r="F1090">
        <v>4474.3999999999996</v>
      </c>
      <c r="G1090">
        <v>34303.5</v>
      </c>
    </row>
    <row r="1091" spans="1:7" x14ac:dyDescent="0.35">
      <c r="A1091" s="178" t="s">
        <v>2550</v>
      </c>
      <c r="B1091" s="178" t="s">
        <v>2551</v>
      </c>
      <c r="C1091" s="178" t="s">
        <v>887</v>
      </c>
      <c r="D1091" s="178" t="s">
        <v>57</v>
      </c>
      <c r="E1091">
        <v>7602.4</v>
      </c>
      <c r="F1091">
        <v>1140.3599999999999</v>
      </c>
      <c r="G1091">
        <v>8742.76</v>
      </c>
    </row>
    <row r="1092" spans="1:7" x14ac:dyDescent="0.35">
      <c r="A1092" s="178" t="s">
        <v>2552</v>
      </c>
      <c r="B1092" s="178" t="s">
        <v>2553</v>
      </c>
      <c r="C1092" s="178" t="s">
        <v>902</v>
      </c>
      <c r="D1092" s="178" t="s">
        <v>57</v>
      </c>
      <c r="E1092">
        <v>2583.35</v>
      </c>
      <c r="F1092">
        <v>387.5</v>
      </c>
      <c r="G1092">
        <v>2970.85</v>
      </c>
    </row>
    <row r="1093" spans="1:7" x14ac:dyDescent="0.35">
      <c r="A1093" s="178" t="s">
        <v>975</v>
      </c>
      <c r="B1093" s="178" t="s">
        <v>2554</v>
      </c>
      <c r="C1093" s="178" t="s">
        <v>902</v>
      </c>
      <c r="D1093" s="178" t="s">
        <v>57</v>
      </c>
      <c r="E1093">
        <v>3286.8</v>
      </c>
      <c r="F1093">
        <v>493.02</v>
      </c>
      <c r="G1093">
        <v>3779.82</v>
      </c>
    </row>
    <row r="1094" spans="1:7" x14ac:dyDescent="0.35">
      <c r="A1094" s="178" t="s">
        <v>2555</v>
      </c>
      <c r="B1094" s="178" t="s">
        <v>2556</v>
      </c>
      <c r="C1094" s="178" t="s">
        <v>902</v>
      </c>
      <c r="D1094" s="178" t="s">
        <v>57</v>
      </c>
      <c r="E1094">
        <v>2167.1999999999998</v>
      </c>
      <c r="F1094">
        <v>325.08</v>
      </c>
      <c r="G1094">
        <v>2492.2800000000002</v>
      </c>
    </row>
    <row r="1095" spans="1:7" x14ac:dyDescent="0.35">
      <c r="A1095" s="178" t="s">
        <v>2557</v>
      </c>
      <c r="B1095" s="178" t="s">
        <v>2558</v>
      </c>
      <c r="C1095" s="178" t="s">
        <v>902</v>
      </c>
      <c r="D1095" s="178" t="s">
        <v>57</v>
      </c>
      <c r="E1095">
        <v>2187.85</v>
      </c>
      <c r="F1095">
        <v>328.18</v>
      </c>
      <c r="G1095">
        <v>2516.0300000000002</v>
      </c>
    </row>
    <row r="1096" spans="1:7" x14ac:dyDescent="0.35">
      <c r="A1096" s="178" t="s">
        <v>737</v>
      </c>
      <c r="B1096" s="178" t="s">
        <v>2559</v>
      </c>
      <c r="C1096" s="178" t="s">
        <v>902</v>
      </c>
      <c r="D1096" s="178" t="s">
        <v>2560</v>
      </c>
      <c r="E1096">
        <v>104400.9</v>
      </c>
      <c r="F1096">
        <v>15660.14</v>
      </c>
      <c r="G1096">
        <v>120061.04</v>
      </c>
    </row>
    <row r="1097" spans="1:7" x14ac:dyDescent="0.35">
      <c r="A1097" s="178" t="s">
        <v>1265</v>
      </c>
      <c r="B1097" s="178" t="s">
        <v>2561</v>
      </c>
      <c r="C1097" s="178" t="s">
        <v>902</v>
      </c>
      <c r="D1097" s="178" t="s">
        <v>57</v>
      </c>
      <c r="E1097">
        <v>1738.25</v>
      </c>
      <c r="F1097">
        <v>260.74</v>
      </c>
      <c r="G1097">
        <v>1998.99</v>
      </c>
    </row>
    <row r="1098" spans="1:7" x14ac:dyDescent="0.35">
      <c r="A1098" s="178" t="s">
        <v>2562</v>
      </c>
      <c r="B1098" s="178" t="s">
        <v>2563</v>
      </c>
      <c r="C1098" s="178" t="s">
        <v>902</v>
      </c>
      <c r="D1098" s="178" t="s">
        <v>57</v>
      </c>
      <c r="E1098">
        <v>1265.4000000000001</v>
      </c>
      <c r="F1098">
        <v>189.81</v>
      </c>
      <c r="G1098">
        <v>1455.21</v>
      </c>
    </row>
    <row r="1099" spans="1:7" x14ac:dyDescent="0.35">
      <c r="A1099" s="178" t="s">
        <v>2564</v>
      </c>
      <c r="B1099" s="178" t="s">
        <v>2565</v>
      </c>
      <c r="C1099" s="178" t="s">
        <v>902</v>
      </c>
      <c r="D1099" s="178" t="s">
        <v>2566</v>
      </c>
      <c r="E1099">
        <v>8268</v>
      </c>
      <c r="F1099">
        <v>1240.2</v>
      </c>
      <c r="G1099">
        <v>9508.2000000000007</v>
      </c>
    </row>
    <row r="1100" spans="1:7" x14ac:dyDescent="0.35">
      <c r="A1100" s="178" t="s">
        <v>1153</v>
      </c>
      <c r="B1100" s="178" t="s">
        <v>2567</v>
      </c>
      <c r="C1100" s="178" t="s">
        <v>902</v>
      </c>
      <c r="D1100" s="178" t="s">
        <v>1155</v>
      </c>
      <c r="E1100">
        <v>991.8</v>
      </c>
      <c r="F1100">
        <v>148.77000000000001</v>
      </c>
      <c r="G1100">
        <v>1140.57</v>
      </c>
    </row>
    <row r="1101" spans="1:7" x14ac:dyDescent="0.35">
      <c r="A1101" s="178" t="s">
        <v>750</v>
      </c>
      <c r="B1101" s="178" t="s">
        <v>2568</v>
      </c>
      <c r="C1101" s="178" t="s">
        <v>902</v>
      </c>
      <c r="D1101" s="178" t="s">
        <v>2569</v>
      </c>
      <c r="E1101">
        <v>684.45</v>
      </c>
      <c r="F1101">
        <v>102.67</v>
      </c>
      <c r="G1101">
        <v>787.12</v>
      </c>
    </row>
    <row r="1102" spans="1:7" x14ac:dyDescent="0.35">
      <c r="A1102" s="178" t="s">
        <v>2564</v>
      </c>
      <c r="B1102" s="178" t="s">
        <v>2570</v>
      </c>
      <c r="C1102" s="178" t="s">
        <v>902</v>
      </c>
      <c r="D1102" s="178" t="s">
        <v>2571</v>
      </c>
      <c r="E1102">
        <v>1342.8</v>
      </c>
      <c r="F1102">
        <v>201.42</v>
      </c>
      <c r="G1102">
        <v>1544.22</v>
      </c>
    </row>
    <row r="1103" spans="1:7" x14ac:dyDescent="0.35">
      <c r="A1103" s="178" t="s">
        <v>2572</v>
      </c>
      <c r="B1103" s="178" t="s">
        <v>2573</v>
      </c>
      <c r="C1103" s="178" t="s">
        <v>902</v>
      </c>
      <c r="D1103" s="178" t="s">
        <v>57</v>
      </c>
      <c r="E1103">
        <v>2255.85</v>
      </c>
      <c r="F1103">
        <v>338.38</v>
      </c>
      <c r="G1103">
        <v>2594.23</v>
      </c>
    </row>
    <row r="1104" spans="1:7" x14ac:dyDescent="0.35">
      <c r="A1104" s="178" t="s">
        <v>1045</v>
      </c>
      <c r="B1104" s="178" t="s">
        <v>2574</v>
      </c>
      <c r="C1104" s="178" t="s">
        <v>902</v>
      </c>
      <c r="D1104" s="178" t="s">
        <v>57</v>
      </c>
      <c r="E1104">
        <v>1313.7</v>
      </c>
      <c r="F1104">
        <v>197.06</v>
      </c>
      <c r="G1104">
        <v>1510.76</v>
      </c>
    </row>
    <row r="1105" spans="1:7" x14ac:dyDescent="0.35">
      <c r="A1105" s="178" t="s">
        <v>975</v>
      </c>
      <c r="B1105" s="178" t="s">
        <v>2575</v>
      </c>
      <c r="C1105" s="178" t="s">
        <v>902</v>
      </c>
      <c r="D1105" s="178" t="s">
        <v>57</v>
      </c>
      <c r="E1105">
        <v>10524.4</v>
      </c>
      <c r="F1105">
        <v>1578.66</v>
      </c>
      <c r="G1105">
        <v>12103.06</v>
      </c>
    </row>
    <row r="1106" spans="1:7" x14ac:dyDescent="0.35">
      <c r="A1106" s="178" t="s">
        <v>1342</v>
      </c>
      <c r="B1106" s="178" t="s">
        <v>2576</v>
      </c>
      <c r="C1106" s="178" t="s">
        <v>902</v>
      </c>
      <c r="D1106" s="178" t="s">
        <v>57</v>
      </c>
      <c r="E1106">
        <v>8075</v>
      </c>
      <c r="F1106">
        <v>1211.26</v>
      </c>
      <c r="G1106">
        <v>9286.26</v>
      </c>
    </row>
    <row r="1107" spans="1:7" x14ac:dyDescent="0.35">
      <c r="A1107" s="178" t="s">
        <v>1049</v>
      </c>
      <c r="B1107" s="178" t="s">
        <v>2577</v>
      </c>
      <c r="C1107" s="178" t="s">
        <v>902</v>
      </c>
      <c r="D1107" s="178" t="s">
        <v>2578</v>
      </c>
      <c r="E1107">
        <v>3950</v>
      </c>
      <c r="F1107">
        <v>592.5</v>
      </c>
      <c r="G1107">
        <v>4542.5</v>
      </c>
    </row>
    <row r="1108" spans="1:7" x14ac:dyDescent="0.35">
      <c r="A1108" s="178" t="s">
        <v>2579</v>
      </c>
      <c r="B1108" s="178" t="s">
        <v>2580</v>
      </c>
      <c r="C1108" s="178" t="s">
        <v>902</v>
      </c>
      <c r="D1108" s="178" t="s">
        <v>2581</v>
      </c>
      <c r="E1108">
        <v>17272.3</v>
      </c>
      <c r="F1108">
        <v>2590.85</v>
      </c>
      <c r="G1108">
        <v>19863.150000000001</v>
      </c>
    </row>
    <row r="1109" spans="1:7" x14ac:dyDescent="0.35">
      <c r="A1109" s="178" t="s">
        <v>1334</v>
      </c>
      <c r="B1109" s="178" t="s">
        <v>2582</v>
      </c>
      <c r="C1109" s="178" t="s">
        <v>902</v>
      </c>
      <c r="D1109" s="178" t="s">
        <v>57</v>
      </c>
      <c r="E1109">
        <v>9714.9500000000007</v>
      </c>
      <c r="F1109">
        <v>1457.25</v>
      </c>
      <c r="G1109">
        <v>11172.2</v>
      </c>
    </row>
    <row r="1110" spans="1:7" x14ac:dyDescent="0.35">
      <c r="A1110" s="178" t="s">
        <v>1135</v>
      </c>
      <c r="B1110" s="178" t="s">
        <v>2583</v>
      </c>
      <c r="C1110" s="178" t="s">
        <v>902</v>
      </c>
      <c r="D1110" s="178" t="s">
        <v>57</v>
      </c>
      <c r="E1110">
        <v>1404.46</v>
      </c>
      <c r="F1110">
        <v>210.67</v>
      </c>
      <c r="G1110">
        <v>1615.13</v>
      </c>
    </row>
    <row r="1111" spans="1:7" x14ac:dyDescent="0.35">
      <c r="A1111" s="178" t="s">
        <v>1312</v>
      </c>
      <c r="B1111" s="178" t="s">
        <v>2584</v>
      </c>
      <c r="C1111" s="178" t="s">
        <v>902</v>
      </c>
      <c r="D1111" s="178" t="s">
        <v>57</v>
      </c>
      <c r="E1111">
        <v>5370.5</v>
      </c>
      <c r="F1111">
        <v>805.58</v>
      </c>
      <c r="G1111">
        <v>6176.08</v>
      </c>
    </row>
    <row r="1112" spans="1:7" x14ac:dyDescent="0.35">
      <c r="A1112" s="178" t="s">
        <v>2460</v>
      </c>
      <c r="B1112" s="178" t="s">
        <v>2585</v>
      </c>
      <c r="C1112" s="178" t="s">
        <v>902</v>
      </c>
      <c r="D1112" s="178" t="s">
        <v>2586</v>
      </c>
      <c r="E1112">
        <v>2257.5</v>
      </c>
      <c r="F1112">
        <v>338.63</v>
      </c>
      <c r="G1112">
        <v>2596.13</v>
      </c>
    </row>
    <row r="1113" spans="1:7" x14ac:dyDescent="0.35">
      <c r="A1113" s="178" t="s">
        <v>821</v>
      </c>
      <c r="B1113" s="178" t="s">
        <v>2587</v>
      </c>
      <c r="C1113" s="178" t="s">
        <v>902</v>
      </c>
      <c r="D1113" s="178" t="s">
        <v>57</v>
      </c>
      <c r="E1113">
        <v>18502</v>
      </c>
      <c r="F1113">
        <v>2775.3</v>
      </c>
      <c r="G1113">
        <v>21277.3</v>
      </c>
    </row>
    <row r="1114" spans="1:7" x14ac:dyDescent="0.35">
      <c r="A1114" s="178" t="s">
        <v>1653</v>
      </c>
      <c r="B1114" s="178" t="s">
        <v>2588</v>
      </c>
      <c r="C1114" s="178" t="s">
        <v>902</v>
      </c>
      <c r="D1114" s="178" t="s">
        <v>57</v>
      </c>
      <c r="E1114">
        <v>770.15</v>
      </c>
      <c r="F1114">
        <v>115.52</v>
      </c>
      <c r="G1114">
        <v>885.67</v>
      </c>
    </row>
    <row r="1115" spans="1:7" x14ac:dyDescent="0.35">
      <c r="A1115" s="178" t="s">
        <v>1168</v>
      </c>
      <c r="B1115" s="178" t="s">
        <v>2589</v>
      </c>
      <c r="C1115" s="178" t="s">
        <v>902</v>
      </c>
      <c r="D1115" s="178" t="s">
        <v>57</v>
      </c>
      <c r="E1115">
        <v>1258.7</v>
      </c>
      <c r="F1115">
        <v>188.81</v>
      </c>
      <c r="G1115">
        <v>1447.51</v>
      </c>
    </row>
    <row r="1116" spans="1:7" x14ac:dyDescent="0.35">
      <c r="A1116" s="178" t="s">
        <v>988</v>
      </c>
      <c r="B1116" s="178" t="s">
        <v>2590</v>
      </c>
      <c r="C1116" s="178" t="s">
        <v>902</v>
      </c>
      <c r="D1116" s="178" t="s">
        <v>57</v>
      </c>
      <c r="E1116">
        <v>1424.5</v>
      </c>
      <c r="F1116">
        <v>213.68</v>
      </c>
      <c r="G1116">
        <v>1638.18</v>
      </c>
    </row>
    <row r="1117" spans="1:7" x14ac:dyDescent="0.35">
      <c r="A1117" s="178" t="s">
        <v>1047</v>
      </c>
      <c r="B1117" s="178" t="s">
        <v>2591</v>
      </c>
      <c r="C1117" s="178" t="s">
        <v>902</v>
      </c>
      <c r="D1117" s="178" t="s">
        <v>57</v>
      </c>
      <c r="E1117">
        <v>12448.25</v>
      </c>
      <c r="F1117">
        <v>1867.24</v>
      </c>
      <c r="G1117">
        <v>14315.49</v>
      </c>
    </row>
    <row r="1118" spans="1:7" x14ac:dyDescent="0.35">
      <c r="A1118" s="178" t="s">
        <v>2592</v>
      </c>
      <c r="B1118" s="178" t="s">
        <v>2593</v>
      </c>
      <c r="C1118" s="178" t="s">
        <v>902</v>
      </c>
      <c r="D1118" s="178" t="s">
        <v>1921</v>
      </c>
      <c r="E1118">
        <v>2984.3</v>
      </c>
      <c r="F1118">
        <v>447.65</v>
      </c>
      <c r="G1118">
        <v>3431.95</v>
      </c>
    </row>
    <row r="1119" spans="1:7" x14ac:dyDescent="0.35">
      <c r="A1119" s="178" t="s">
        <v>1045</v>
      </c>
      <c r="B1119" s="178" t="s">
        <v>2594</v>
      </c>
      <c r="C1119" s="178" t="s">
        <v>902</v>
      </c>
      <c r="D1119" s="178" t="s">
        <v>57</v>
      </c>
      <c r="E1119">
        <v>6785.25</v>
      </c>
      <c r="F1119">
        <v>1017.79</v>
      </c>
      <c r="G1119">
        <v>7803.04</v>
      </c>
    </row>
    <row r="1120" spans="1:7" x14ac:dyDescent="0.35">
      <c r="A1120" s="178" t="s">
        <v>2595</v>
      </c>
      <c r="B1120" s="178" t="s">
        <v>2596</v>
      </c>
      <c r="C1120" s="178" t="s">
        <v>902</v>
      </c>
      <c r="D1120" s="178" t="s">
        <v>57</v>
      </c>
      <c r="E1120">
        <v>1461.5</v>
      </c>
      <c r="F1120">
        <v>219.23</v>
      </c>
      <c r="G1120">
        <v>1680.73</v>
      </c>
    </row>
    <row r="1121" spans="1:7" x14ac:dyDescent="0.35">
      <c r="A1121" s="178" t="s">
        <v>2597</v>
      </c>
      <c r="B1121" s="178" t="s">
        <v>2598</v>
      </c>
      <c r="C1121" s="178" t="s">
        <v>902</v>
      </c>
      <c r="D1121" s="178" t="s">
        <v>57</v>
      </c>
      <c r="E1121">
        <v>909.5</v>
      </c>
      <c r="F1121">
        <v>136.43</v>
      </c>
      <c r="G1121">
        <v>1045.93</v>
      </c>
    </row>
    <row r="1122" spans="1:7" x14ac:dyDescent="0.35">
      <c r="A1122" s="178" t="s">
        <v>1629</v>
      </c>
      <c r="B1122" s="178" t="s">
        <v>2599</v>
      </c>
      <c r="C1122" s="178" t="s">
        <v>902</v>
      </c>
      <c r="D1122" s="178" t="s">
        <v>2600</v>
      </c>
      <c r="E1122">
        <v>13587.75</v>
      </c>
      <c r="F1122">
        <v>2038.16</v>
      </c>
      <c r="G1122">
        <v>15625.91</v>
      </c>
    </row>
    <row r="1123" spans="1:7" x14ac:dyDescent="0.35">
      <c r="A1123" s="178" t="s">
        <v>1629</v>
      </c>
      <c r="B1123" s="178" t="s">
        <v>2601</v>
      </c>
      <c r="C1123" s="178" t="s">
        <v>902</v>
      </c>
      <c r="D1123" s="178" t="s">
        <v>2069</v>
      </c>
      <c r="E1123">
        <v>61256.2</v>
      </c>
      <c r="F1123">
        <v>9188.43</v>
      </c>
      <c r="G1123">
        <v>70444.63</v>
      </c>
    </row>
    <row r="1124" spans="1:7" x14ac:dyDescent="0.35">
      <c r="A1124" s="178" t="s">
        <v>1629</v>
      </c>
      <c r="B1124" s="178" t="s">
        <v>2602</v>
      </c>
      <c r="C1124" s="178" t="s">
        <v>902</v>
      </c>
      <c r="D1124" s="178" t="s">
        <v>2603</v>
      </c>
      <c r="E1124">
        <v>46262.400000000001</v>
      </c>
      <c r="F1124">
        <v>6939.36</v>
      </c>
      <c r="G1124">
        <v>53201.760000000002</v>
      </c>
    </row>
    <row r="1125" spans="1:7" x14ac:dyDescent="0.35">
      <c r="A1125" s="178" t="s">
        <v>1312</v>
      </c>
      <c r="B1125" s="178" t="s">
        <v>2604</v>
      </c>
      <c r="C1125" s="178" t="s">
        <v>902</v>
      </c>
      <c r="D1125" s="178" t="s">
        <v>57</v>
      </c>
      <c r="E1125">
        <v>5998.4</v>
      </c>
      <c r="F1125">
        <v>899.76</v>
      </c>
      <c r="G1125">
        <v>6898.16</v>
      </c>
    </row>
    <row r="1126" spans="1:7" x14ac:dyDescent="0.35">
      <c r="A1126" s="178" t="s">
        <v>2605</v>
      </c>
      <c r="B1126" s="178" t="s">
        <v>2606</v>
      </c>
      <c r="C1126" s="178" t="s">
        <v>902</v>
      </c>
      <c r="D1126" s="178" t="s">
        <v>2607</v>
      </c>
      <c r="E1126">
        <v>1840</v>
      </c>
      <c r="F1126">
        <v>276</v>
      </c>
      <c r="G1126">
        <v>2116</v>
      </c>
    </row>
    <row r="1127" spans="1:7" x14ac:dyDescent="0.35">
      <c r="A1127" s="178" t="s">
        <v>1782</v>
      </c>
      <c r="B1127" s="178" t="s">
        <v>2608</v>
      </c>
      <c r="C1127" s="178" t="s">
        <v>902</v>
      </c>
      <c r="D1127" s="178" t="s">
        <v>1784</v>
      </c>
      <c r="E1127">
        <v>947.6</v>
      </c>
      <c r="F1127">
        <v>142.13999999999999</v>
      </c>
      <c r="G1127">
        <v>1089.74</v>
      </c>
    </row>
    <row r="1128" spans="1:7" x14ac:dyDescent="0.35">
      <c r="A1128" s="178" t="s">
        <v>907</v>
      </c>
      <c r="B1128" s="178" t="s">
        <v>2609</v>
      </c>
      <c r="C1128" s="178" t="s">
        <v>902</v>
      </c>
      <c r="D1128" s="178" t="s">
        <v>57</v>
      </c>
      <c r="E1128">
        <v>3537.5</v>
      </c>
      <c r="F1128">
        <v>530.62</v>
      </c>
      <c r="G1128">
        <v>4068.12</v>
      </c>
    </row>
    <row r="1129" spans="1:7" x14ac:dyDescent="0.35">
      <c r="A1129" s="178" t="s">
        <v>1006</v>
      </c>
      <c r="B1129" s="178" t="s">
        <v>2610</v>
      </c>
      <c r="C1129" s="178" t="s">
        <v>902</v>
      </c>
      <c r="D1129" s="178" t="s">
        <v>57</v>
      </c>
      <c r="E1129">
        <v>3517.4</v>
      </c>
      <c r="F1129">
        <v>527.61</v>
      </c>
      <c r="G1129">
        <v>4045.01</v>
      </c>
    </row>
    <row r="1130" spans="1:7" x14ac:dyDescent="0.35">
      <c r="A1130" s="178" t="s">
        <v>1650</v>
      </c>
      <c r="B1130" s="178" t="s">
        <v>2611</v>
      </c>
      <c r="C1130" s="178" t="s">
        <v>902</v>
      </c>
      <c r="D1130" s="178" t="s">
        <v>57</v>
      </c>
      <c r="E1130">
        <v>681.6</v>
      </c>
      <c r="F1130">
        <v>102.24</v>
      </c>
      <c r="G1130">
        <v>783.84</v>
      </c>
    </row>
    <row r="1131" spans="1:7" x14ac:dyDescent="0.35">
      <c r="A1131" s="178" t="s">
        <v>907</v>
      </c>
      <c r="B1131" s="178" t="s">
        <v>2612</v>
      </c>
      <c r="C1131" s="178" t="s">
        <v>902</v>
      </c>
      <c r="D1131" s="178" t="s">
        <v>57</v>
      </c>
      <c r="E1131">
        <v>500</v>
      </c>
      <c r="F1131">
        <v>75</v>
      </c>
      <c r="G1131">
        <v>575</v>
      </c>
    </row>
    <row r="1132" spans="1:7" x14ac:dyDescent="0.35">
      <c r="A1132" s="178" t="s">
        <v>750</v>
      </c>
      <c r="B1132" s="178" t="s">
        <v>2613</v>
      </c>
      <c r="C1132" s="178" t="s">
        <v>902</v>
      </c>
      <c r="D1132" s="178" t="s">
        <v>2614</v>
      </c>
      <c r="E1132">
        <v>260.87</v>
      </c>
      <c r="F1132">
        <v>39.130000000000003</v>
      </c>
      <c r="G1132">
        <v>300</v>
      </c>
    </row>
    <row r="1133" spans="1:7" x14ac:dyDescent="0.35">
      <c r="A1133" s="178" t="s">
        <v>750</v>
      </c>
      <c r="B1133" s="178" t="s">
        <v>2615</v>
      </c>
      <c r="C1133" s="178" t="s">
        <v>902</v>
      </c>
      <c r="D1133" s="178" t="s">
        <v>2616</v>
      </c>
      <c r="E1133">
        <v>1646.5</v>
      </c>
      <c r="F1133">
        <v>246.98</v>
      </c>
      <c r="G1133">
        <v>1893.48</v>
      </c>
    </row>
    <row r="1134" spans="1:7" x14ac:dyDescent="0.35">
      <c r="A1134" s="178" t="s">
        <v>2348</v>
      </c>
      <c r="B1134" s="178" t="s">
        <v>2617</v>
      </c>
      <c r="C1134" s="178" t="s">
        <v>902</v>
      </c>
      <c r="D1134" s="178" t="s">
        <v>57</v>
      </c>
      <c r="E1134">
        <v>11727.1</v>
      </c>
      <c r="F1134">
        <v>1759.06</v>
      </c>
      <c r="G1134">
        <v>13486.16</v>
      </c>
    </row>
    <row r="1135" spans="1:7" x14ac:dyDescent="0.35">
      <c r="A1135" s="178" t="s">
        <v>1559</v>
      </c>
      <c r="B1135" s="178" t="s">
        <v>2618</v>
      </c>
      <c r="C1135" s="178" t="s">
        <v>902</v>
      </c>
      <c r="D1135" s="178" t="s">
        <v>1561</v>
      </c>
      <c r="E1135">
        <v>2754.7</v>
      </c>
      <c r="F1135">
        <v>413.21</v>
      </c>
      <c r="G1135">
        <v>3167.91</v>
      </c>
    </row>
    <row r="1136" spans="1:7" x14ac:dyDescent="0.35">
      <c r="A1136" s="178" t="s">
        <v>1389</v>
      </c>
      <c r="B1136" s="178" t="s">
        <v>2619</v>
      </c>
      <c r="C1136" s="178" t="s">
        <v>902</v>
      </c>
      <c r="D1136" s="178" t="s">
        <v>57</v>
      </c>
      <c r="E1136">
        <v>31264.25</v>
      </c>
      <c r="F1136">
        <v>4689.6499999999996</v>
      </c>
      <c r="G1136">
        <v>35953.9</v>
      </c>
    </row>
    <row r="1137" spans="1:7" x14ac:dyDescent="0.35">
      <c r="A1137" s="178" t="s">
        <v>1588</v>
      </c>
      <c r="B1137" s="178" t="s">
        <v>2620</v>
      </c>
      <c r="C1137" s="178" t="s">
        <v>902</v>
      </c>
      <c r="D1137" s="178" t="s">
        <v>57</v>
      </c>
      <c r="E1137">
        <v>2476.65</v>
      </c>
      <c r="F1137">
        <v>371.5</v>
      </c>
      <c r="G1137">
        <v>2848.15</v>
      </c>
    </row>
    <row r="1138" spans="1:7" x14ac:dyDescent="0.35">
      <c r="A1138" s="178" t="s">
        <v>1099</v>
      </c>
      <c r="B1138" s="178" t="s">
        <v>2621</v>
      </c>
      <c r="C1138" s="178" t="s">
        <v>902</v>
      </c>
      <c r="D1138" s="178" t="s">
        <v>2099</v>
      </c>
      <c r="E1138">
        <v>820.25</v>
      </c>
      <c r="F1138">
        <v>123.04</v>
      </c>
      <c r="G1138">
        <v>943.29</v>
      </c>
    </row>
    <row r="1139" spans="1:7" x14ac:dyDescent="0.35">
      <c r="A1139" s="178" t="s">
        <v>1312</v>
      </c>
      <c r="B1139" s="178" t="s">
        <v>2622</v>
      </c>
      <c r="C1139" s="178" t="s">
        <v>902</v>
      </c>
      <c r="D1139" s="178" t="s">
        <v>57</v>
      </c>
      <c r="E1139">
        <v>3783.5</v>
      </c>
      <c r="F1139">
        <v>567.53</v>
      </c>
      <c r="G1139">
        <v>4351.03</v>
      </c>
    </row>
    <row r="1140" spans="1:7" x14ac:dyDescent="0.35">
      <c r="A1140" s="178" t="s">
        <v>1312</v>
      </c>
      <c r="B1140" s="178" t="s">
        <v>2623</v>
      </c>
      <c r="C1140" s="178" t="s">
        <v>902</v>
      </c>
      <c r="D1140" s="178" t="s">
        <v>57</v>
      </c>
      <c r="E1140">
        <v>5957</v>
      </c>
      <c r="F1140">
        <v>893.55</v>
      </c>
      <c r="G1140">
        <v>6850.55</v>
      </c>
    </row>
    <row r="1141" spans="1:7" x14ac:dyDescent="0.35">
      <c r="A1141" s="178" t="s">
        <v>1312</v>
      </c>
      <c r="B1141" s="178" t="s">
        <v>2624</v>
      </c>
      <c r="C1141" s="178" t="s">
        <v>902</v>
      </c>
      <c r="D1141" s="178" t="s">
        <v>57</v>
      </c>
      <c r="E1141">
        <v>7619.9</v>
      </c>
      <c r="F1141">
        <v>1142.99</v>
      </c>
      <c r="G1141">
        <v>8762.89</v>
      </c>
    </row>
    <row r="1142" spans="1:7" x14ac:dyDescent="0.35">
      <c r="A1142" s="178" t="s">
        <v>939</v>
      </c>
      <c r="B1142" s="178" t="s">
        <v>2625</v>
      </c>
      <c r="C1142" s="178" t="s">
        <v>902</v>
      </c>
      <c r="D1142" s="178" t="s">
        <v>57</v>
      </c>
      <c r="E1142">
        <v>2110</v>
      </c>
      <c r="F1142">
        <v>316.5</v>
      </c>
      <c r="G1142">
        <v>2426.5</v>
      </c>
    </row>
    <row r="1143" spans="1:7" x14ac:dyDescent="0.35">
      <c r="A1143" s="178" t="s">
        <v>2017</v>
      </c>
      <c r="B1143" s="178" t="s">
        <v>2626</v>
      </c>
      <c r="C1143" s="178" t="s">
        <v>902</v>
      </c>
      <c r="D1143" s="178" t="s">
        <v>2019</v>
      </c>
      <c r="E1143">
        <v>7374.55</v>
      </c>
      <c r="F1143">
        <v>1106.19</v>
      </c>
      <c r="G1143">
        <v>8480.74</v>
      </c>
    </row>
    <row r="1144" spans="1:7" x14ac:dyDescent="0.35">
      <c r="A1144" s="178" t="s">
        <v>2017</v>
      </c>
      <c r="B1144" s="178" t="s">
        <v>2627</v>
      </c>
      <c r="C1144" s="178" t="s">
        <v>902</v>
      </c>
      <c r="D1144" s="178" t="s">
        <v>2019</v>
      </c>
      <c r="E1144">
        <v>6284</v>
      </c>
      <c r="F1144">
        <v>942.6</v>
      </c>
      <c r="G1144">
        <v>7226.6</v>
      </c>
    </row>
    <row r="1145" spans="1:7" x14ac:dyDescent="0.35">
      <c r="A1145" s="178" t="s">
        <v>2457</v>
      </c>
      <c r="B1145" s="178" t="s">
        <v>2628</v>
      </c>
      <c r="C1145" s="178" t="s">
        <v>902</v>
      </c>
      <c r="D1145" s="178" t="s">
        <v>57</v>
      </c>
      <c r="E1145">
        <v>1124.2</v>
      </c>
      <c r="F1145">
        <v>168.63</v>
      </c>
      <c r="G1145">
        <v>1292.83</v>
      </c>
    </row>
    <row r="1146" spans="1:7" x14ac:dyDescent="0.35">
      <c r="A1146" s="178" t="s">
        <v>1704</v>
      </c>
      <c r="B1146" s="178" t="s">
        <v>2629</v>
      </c>
      <c r="C1146" s="178" t="s">
        <v>902</v>
      </c>
      <c r="D1146" s="178" t="s">
        <v>57</v>
      </c>
      <c r="E1146">
        <v>4322.6000000000004</v>
      </c>
      <c r="F1146">
        <v>648.4</v>
      </c>
      <c r="G1146">
        <v>4971</v>
      </c>
    </row>
    <row r="1147" spans="1:7" x14ac:dyDescent="0.35">
      <c r="A1147" s="178" t="s">
        <v>778</v>
      </c>
      <c r="B1147" s="178" t="s">
        <v>2630</v>
      </c>
      <c r="C1147" s="178" t="s">
        <v>902</v>
      </c>
      <c r="D1147" s="178" t="s">
        <v>57</v>
      </c>
      <c r="E1147">
        <v>4449.6000000000004</v>
      </c>
      <c r="F1147">
        <v>667.45</v>
      </c>
      <c r="G1147">
        <v>5117.05</v>
      </c>
    </row>
    <row r="1148" spans="1:7" x14ac:dyDescent="0.35">
      <c r="A1148" s="178" t="s">
        <v>1102</v>
      </c>
      <c r="B1148" s="178" t="s">
        <v>2631</v>
      </c>
      <c r="C1148" s="178" t="s">
        <v>902</v>
      </c>
      <c r="D1148" s="178" t="s">
        <v>57</v>
      </c>
      <c r="E1148">
        <v>10772.2</v>
      </c>
      <c r="F1148">
        <v>1615.84</v>
      </c>
      <c r="G1148">
        <v>12388.04</v>
      </c>
    </row>
    <row r="1149" spans="1:7" x14ac:dyDescent="0.35">
      <c r="A1149" s="178" t="s">
        <v>1124</v>
      </c>
      <c r="B1149" s="178" t="s">
        <v>2632</v>
      </c>
      <c r="C1149" s="178" t="s">
        <v>902</v>
      </c>
      <c r="D1149" s="178" t="s">
        <v>57</v>
      </c>
      <c r="E1149">
        <v>1474.75</v>
      </c>
      <c r="F1149">
        <v>221.21</v>
      </c>
      <c r="G1149">
        <v>1695.96</v>
      </c>
    </row>
    <row r="1150" spans="1:7" x14ac:dyDescent="0.35">
      <c r="A1150" s="178" t="s">
        <v>1377</v>
      </c>
      <c r="B1150" s="178" t="s">
        <v>2633</v>
      </c>
      <c r="C1150" s="178" t="s">
        <v>902</v>
      </c>
      <c r="D1150" s="178" t="s">
        <v>57</v>
      </c>
      <c r="E1150">
        <v>3843.95</v>
      </c>
      <c r="F1150">
        <v>576.59</v>
      </c>
      <c r="G1150">
        <v>4420.54</v>
      </c>
    </row>
    <row r="1151" spans="1:7" x14ac:dyDescent="0.35">
      <c r="A1151" s="178" t="s">
        <v>2634</v>
      </c>
      <c r="B1151" s="178" t="s">
        <v>2635</v>
      </c>
      <c r="C1151" s="178" t="s">
        <v>902</v>
      </c>
      <c r="D1151" s="178" t="s">
        <v>57</v>
      </c>
      <c r="E1151">
        <v>17560.8</v>
      </c>
      <c r="F1151">
        <v>2634.12</v>
      </c>
      <c r="G1151">
        <v>20194.919999999998</v>
      </c>
    </row>
    <row r="1152" spans="1:7" x14ac:dyDescent="0.35">
      <c r="A1152" s="178" t="s">
        <v>2550</v>
      </c>
      <c r="B1152" s="178" t="s">
        <v>2636</v>
      </c>
      <c r="C1152" s="178" t="s">
        <v>902</v>
      </c>
      <c r="D1152" s="178" t="s">
        <v>57</v>
      </c>
      <c r="E1152">
        <v>797.65</v>
      </c>
      <c r="F1152">
        <v>119.65</v>
      </c>
      <c r="G1152">
        <v>917.3</v>
      </c>
    </row>
    <row r="1153" spans="1:7" x14ac:dyDescent="0.35">
      <c r="A1153" s="178" t="s">
        <v>1261</v>
      </c>
      <c r="B1153" s="178" t="s">
        <v>2637</v>
      </c>
      <c r="C1153" s="178" t="s">
        <v>902</v>
      </c>
      <c r="D1153" s="178" t="s">
        <v>57</v>
      </c>
      <c r="E1153">
        <v>52645.95</v>
      </c>
      <c r="F1153">
        <v>7896.89</v>
      </c>
      <c r="G1153">
        <v>60542.84</v>
      </c>
    </row>
    <row r="1154" spans="1:7" x14ac:dyDescent="0.35">
      <c r="A1154" s="178" t="s">
        <v>1120</v>
      </c>
      <c r="B1154" s="178" t="s">
        <v>2638</v>
      </c>
      <c r="C1154" s="178" t="s">
        <v>902</v>
      </c>
      <c r="D1154" s="178" t="s">
        <v>57</v>
      </c>
      <c r="E1154">
        <v>11202.3</v>
      </c>
      <c r="F1154">
        <v>1680.35</v>
      </c>
      <c r="G1154">
        <v>12882.65</v>
      </c>
    </row>
    <row r="1155" spans="1:7" x14ac:dyDescent="0.35">
      <c r="A1155" s="178" t="s">
        <v>2639</v>
      </c>
      <c r="B1155" s="178" t="s">
        <v>2640</v>
      </c>
      <c r="C1155" s="178" t="s">
        <v>902</v>
      </c>
      <c r="D1155" s="178" t="s">
        <v>57</v>
      </c>
      <c r="E1155">
        <v>4691.53</v>
      </c>
      <c r="F1155">
        <v>703.73</v>
      </c>
      <c r="G1155">
        <v>5395.26</v>
      </c>
    </row>
    <row r="1156" spans="1:7" x14ac:dyDescent="0.35">
      <c r="A1156" s="178" t="s">
        <v>2641</v>
      </c>
      <c r="B1156" s="178" t="s">
        <v>2642</v>
      </c>
      <c r="C1156" s="178" t="s">
        <v>902</v>
      </c>
      <c r="D1156" s="178" t="s">
        <v>57</v>
      </c>
      <c r="E1156">
        <v>4500</v>
      </c>
      <c r="F1156">
        <v>675</v>
      </c>
      <c r="G1156">
        <v>5175</v>
      </c>
    </row>
    <row r="1157" spans="1:7" x14ac:dyDescent="0.35">
      <c r="A1157" s="178" t="s">
        <v>2643</v>
      </c>
      <c r="B1157" s="178" t="s">
        <v>2644</v>
      </c>
      <c r="C1157" s="178" t="s">
        <v>902</v>
      </c>
      <c r="D1157" s="178" t="s">
        <v>57</v>
      </c>
      <c r="E1157">
        <v>1364.38</v>
      </c>
      <c r="F1157">
        <v>204.66</v>
      </c>
      <c r="G1157">
        <v>1569.04</v>
      </c>
    </row>
    <row r="1158" spans="1:7" x14ac:dyDescent="0.35">
      <c r="A1158" s="178" t="s">
        <v>2382</v>
      </c>
      <c r="B1158" s="178" t="s">
        <v>2645</v>
      </c>
      <c r="C1158" s="178" t="s">
        <v>902</v>
      </c>
      <c r="D1158" s="178" t="s">
        <v>57</v>
      </c>
      <c r="E1158">
        <v>25137.599999999999</v>
      </c>
      <c r="F1158">
        <v>3770.64</v>
      </c>
      <c r="G1158">
        <v>28908.240000000002</v>
      </c>
    </row>
    <row r="1159" spans="1:7" x14ac:dyDescent="0.35">
      <c r="A1159" s="178" t="s">
        <v>793</v>
      </c>
      <c r="B1159" s="178" t="s">
        <v>2646</v>
      </c>
      <c r="C1159" s="178" t="s">
        <v>902</v>
      </c>
      <c r="D1159">
        <v>38619</v>
      </c>
      <c r="E1159">
        <v>142296.20000000001</v>
      </c>
      <c r="F1159">
        <v>21344.44</v>
      </c>
      <c r="G1159">
        <v>163640.64000000001</v>
      </c>
    </row>
    <row r="1160" spans="1:7" x14ac:dyDescent="0.35">
      <c r="A1160" s="178" t="s">
        <v>2382</v>
      </c>
      <c r="B1160" s="178" t="s">
        <v>2647</v>
      </c>
      <c r="C1160" s="178" t="s">
        <v>902</v>
      </c>
      <c r="D1160" s="178" t="s">
        <v>57</v>
      </c>
      <c r="E1160">
        <v>7642.25</v>
      </c>
      <c r="F1160">
        <v>1146.3499999999999</v>
      </c>
      <c r="G1160">
        <v>8788.6</v>
      </c>
    </row>
    <row r="1161" spans="1:7" x14ac:dyDescent="0.35">
      <c r="A1161" s="178" t="s">
        <v>1359</v>
      </c>
      <c r="B1161" s="178" t="s">
        <v>2648</v>
      </c>
      <c r="C1161" s="178" t="s">
        <v>902</v>
      </c>
      <c r="D1161" s="178" t="s">
        <v>57</v>
      </c>
      <c r="E1161">
        <v>1738.5</v>
      </c>
      <c r="F1161">
        <v>260.77999999999997</v>
      </c>
      <c r="G1161">
        <v>1999.28</v>
      </c>
    </row>
    <row r="1162" spans="1:7" x14ac:dyDescent="0.35">
      <c r="A1162" s="178" t="s">
        <v>1126</v>
      </c>
      <c r="B1162" s="178" t="s">
        <v>2649</v>
      </c>
      <c r="C1162" s="178" t="s">
        <v>902</v>
      </c>
      <c r="D1162" s="178" t="s">
        <v>57</v>
      </c>
      <c r="E1162">
        <v>3333.75</v>
      </c>
      <c r="F1162">
        <v>500.06</v>
      </c>
      <c r="G1162">
        <v>3833.81</v>
      </c>
    </row>
    <row r="1163" spans="1:7" x14ac:dyDescent="0.35">
      <c r="A1163" s="178" t="s">
        <v>913</v>
      </c>
      <c r="B1163" s="178" t="s">
        <v>2650</v>
      </c>
      <c r="C1163" s="178" t="s">
        <v>902</v>
      </c>
      <c r="D1163" s="178" t="s">
        <v>57</v>
      </c>
      <c r="E1163">
        <v>954.6</v>
      </c>
      <c r="F1163">
        <v>143.19</v>
      </c>
      <c r="G1163">
        <v>1097.79</v>
      </c>
    </row>
    <row r="1164" spans="1:7" x14ac:dyDescent="0.35">
      <c r="A1164" s="178" t="s">
        <v>1256</v>
      </c>
      <c r="B1164" s="178" t="s">
        <v>2651</v>
      </c>
      <c r="C1164" s="178" t="s">
        <v>902</v>
      </c>
      <c r="D1164" s="178" t="s">
        <v>57</v>
      </c>
      <c r="E1164">
        <v>4686</v>
      </c>
      <c r="F1164">
        <v>702.9</v>
      </c>
      <c r="G1164">
        <v>5388.9</v>
      </c>
    </row>
    <row r="1165" spans="1:7" x14ac:dyDescent="0.35">
      <c r="A1165" s="178" t="s">
        <v>2081</v>
      </c>
      <c r="B1165" s="178" t="s">
        <v>2652</v>
      </c>
      <c r="C1165" s="178" t="s">
        <v>902</v>
      </c>
      <c r="D1165">
        <v>4817</v>
      </c>
      <c r="E1165">
        <v>9471.4</v>
      </c>
      <c r="F1165">
        <v>1420.71</v>
      </c>
      <c r="G1165">
        <v>10892.11</v>
      </c>
    </row>
    <row r="1166" spans="1:7" x14ac:dyDescent="0.35">
      <c r="A1166" s="178" t="s">
        <v>2081</v>
      </c>
      <c r="B1166" s="178" t="s">
        <v>2653</v>
      </c>
      <c r="C1166" s="178" t="s">
        <v>902</v>
      </c>
      <c r="D1166">
        <v>4821</v>
      </c>
      <c r="E1166">
        <v>5138.3500000000004</v>
      </c>
      <c r="F1166">
        <v>770.75</v>
      </c>
      <c r="G1166">
        <v>5909.1</v>
      </c>
    </row>
    <row r="1167" spans="1:7" x14ac:dyDescent="0.35">
      <c r="A1167" s="178" t="s">
        <v>2263</v>
      </c>
      <c r="B1167" s="178" t="s">
        <v>2654</v>
      </c>
      <c r="C1167" s="178" t="s">
        <v>902</v>
      </c>
      <c r="D1167" s="178" t="s">
        <v>57</v>
      </c>
      <c r="E1167">
        <v>1040</v>
      </c>
      <c r="F1167">
        <v>156</v>
      </c>
      <c r="G1167">
        <v>1196</v>
      </c>
    </row>
    <row r="1168" spans="1:7" x14ac:dyDescent="0.35">
      <c r="A1168" s="178" t="s">
        <v>2655</v>
      </c>
      <c r="B1168" s="178" t="s">
        <v>2656</v>
      </c>
      <c r="C1168" s="178" t="s">
        <v>902</v>
      </c>
      <c r="D1168" s="178" t="s">
        <v>57</v>
      </c>
      <c r="E1168">
        <v>3549.1</v>
      </c>
      <c r="F1168">
        <v>532.37</v>
      </c>
      <c r="G1168">
        <v>4081.47</v>
      </c>
    </row>
    <row r="1169" spans="1:7" x14ac:dyDescent="0.35">
      <c r="A1169" s="178" t="s">
        <v>1039</v>
      </c>
      <c r="B1169" s="178" t="s">
        <v>2657</v>
      </c>
      <c r="C1169" s="178" t="s">
        <v>902</v>
      </c>
      <c r="D1169" s="178" t="s">
        <v>57</v>
      </c>
      <c r="E1169">
        <v>4504.5</v>
      </c>
      <c r="F1169">
        <v>675.68</v>
      </c>
      <c r="G1169">
        <v>5180.18</v>
      </c>
    </row>
    <row r="1170" spans="1:7" x14ac:dyDescent="0.35">
      <c r="A1170" s="178" t="s">
        <v>755</v>
      </c>
      <c r="B1170" s="178" t="s">
        <v>2658</v>
      </c>
      <c r="C1170" s="178" t="s">
        <v>915</v>
      </c>
      <c r="D1170" s="178" t="s">
        <v>57</v>
      </c>
      <c r="E1170">
        <v>1634.5</v>
      </c>
      <c r="F1170">
        <v>245.18</v>
      </c>
      <c r="G1170">
        <v>1879.68</v>
      </c>
    </row>
    <row r="1171" spans="1:7" x14ac:dyDescent="0.35">
      <c r="A1171" s="178" t="s">
        <v>1162</v>
      </c>
      <c r="B1171" s="178" t="s">
        <v>2659</v>
      </c>
      <c r="C1171" s="178" t="s">
        <v>915</v>
      </c>
      <c r="D1171" s="178" t="s">
        <v>57</v>
      </c>
      <c r="E1171">
        <v>1593.6</v>
      </c>
      <c r="F1171">
        <v>239.05</v>
      </c>
      <c r="G1171">
        <v>1832.65</v>
      </c>
    </row>
    <row r="1172" spans="1:7" x14ac:dyDescent="0.35">
      <c r="A1172" s="178" t="s">
        <v>1303</v>
      </c>
      <c r="B1172" s="178" t="s">
        <v>2660</v>
      </c>
      <c r="C1172" s="178" t="s">
        <v>915</v>
      </c>
      <c r="D1172" s="178" t="s">
        <v>57</v>
      </c>
      <c r="E1172">
        <v>867</v>
      </c>
      <c r="F1172">
        <v>130.05000000000001</v>
      </c>
      <c r="G1172">
        <v>997.05</v>
      </c>
    </row>
    <row r="1173" spans="1:7" x14ac:dyDescent="0.35">
      <c r="A1173" s="178" t="s">
        <v>839</v>
      </c>
      <c r="B1173" s="178" t="s">
        <v>2661</v>
      </c>
      <c r="C1173" s="178" t="s">
        <v>915</v>
      </c>
      <c r="D1173" s="178" t="s">
        <v>57</v>
      </c>
      <c r="E1173">
        <v>5675.6</v>
      </c>
      <c r="F1173">
        <v>851.34</v>
      </c>
      <c r="G1173">
        <v>6526.94</v>
      </c>
    </row>
    <row r="1174" spans="1:7" x14ac:dyDescent="0.35">
      <c r="A1174" s="178" t="s">
        <v>939</v>
      </c>
      <c r="B1174" s="178" t="s">
        <v>2662</v>
      </c>
      <c r="C1174" s="178" t="s">
        <v>915</v>
      </c>
      <c r="D1174" s="178" t="s">
        <v>57</v>
      </c>
      <c r="E1174">
        <v>3244.3</v>
      </c>
      <c r="F1174">
        <v>486.65</v>
      </c>
      <c r="G1174">
        <v>3730.95</v>
      </c>
    </row>
    <row r="1175" spans="1:7" x14ac:dyDescent="0.35">
      <c r="A1175" s="178" t="s">
        <v>1058</v>
      </c>
      <c r="B1175" s="178" t="s">
        <v>2663</v>
      </c>
      <c r="C1175" s="178" t="s">
        <v>915</v>
      </c>
      <c r="D1175" s="178" t="s">
        <v>57</v>
      </c>
      <c r="E1175">
        <v>9097.5</v>
      </c>
      <c r="F1175">
        <v>1364.63</v>
      </c>
      <c r="G1175">
        <v>10462.129999999999</v>
      </c>
    </row>
    <row r="1176" spans="1:7" x14ac:dyDescent="0.35">
      <c r="A1176" s="178" t="s">
        <v>1620</v>
      </c>
      <c r="B1176" s="178" t="s">
        <v>2664</v>
      </c>
      <c r="C1176" s="178" t="s">
        <v>915</v>
      </c>
      <c r="D1176" s="178" t="s">
        <v>2665</v>
      </c>
      <c r="E1176">
        <v>14886</v>
      </c>
      <c r="F1176">
        <v>2232.9</v>
      </c>
      <c r="G1176">
        <v>17118.900000000001</v>
      </c>
    </row>
    <row r="1177" spans="1:7" x14ac:dyDescent="0.35">
      <c r="A1177" s="178" t="s">
        <v>2564</v>
      </c>
      <c r="B1177" s="178" t="s">
        <v>2666</v>
      </c>
      <c r="C1177" s="178" t="s">
        <v>915</v>
      </c>
      <c r="D1177" s="178" t="s">
        <v>2667</v>
      </c>
      <c r="E1177">
        <v>2937.6</v>
      </c>
      <c r="F1177">
        <v>440.64</v>
      </c>
      <c r="G1177">
        <v>3378.24</v>
      </c>
    </row>
    <row r="1178" spans="1:7" x14ac:dyDescent="0.35">
      <c r="A1178" s="178" t="s">
        <v>2668</v>
      </c>
      <c r="B1178" s="178" t="s">
        <v>2669</v>
      </c>
      <c r="C1178" s="178" t="s">
        <v>915</v>
      </c>
      <c r="D1178" s="178" t="s">
        <v>57</v>
      </c>
      <c r="E1178">
        <v>2278</v>
      </c>
      <c r="F1178">
        <v>341.71</v>
      </c>
      <c r="G1178">
        <v>2619.71</v>
      </c>
    </row>
    <row r="1179" spans="1:7" x14ac:dyDescent="0.35">
      <c r="A1179" s="178" t="s">
        <v>990</v>
      </c>
      <c r="B1179" s="178" t="s">
        <v>2670</v>
      </c>
      <c r="C1179" s="178" t="s">
        <v>915</v>
      </c>
      <c r="D1179" s="178" t="s">
        <v>992</v>
      </c>
      <c r="E1179">
        <v>10376.450000000001</v>
      </c>
      <c r="F1179">
        <v>1556.47</v>
      </c>
      <c r="G1179">
        <v>11932.92</v>
      </c>
    </row>
    <row r="1180" spans="1:7" x14ac:dyDescent="0.35">
      <c r="A1180" s="178" t="s">
        <v>1214</v>
      </c>
      <c r="B1180" s="178" t="s">
        <v>2671</v>
      </c>
      <c r="C1180" s="178" t="s">
        <v>915</v>
      </c>
      <c r="D1180" s="178" t="s">
        <v>2672</v>
      </c>
      <c r="E1180">
        <v>1259.6500000000001</v>
      </c>
      <c r="F1180">
        <v>188.95</v>
      </c>
      <c r="G1180">
        <v>1448.6</v>
      </c>
    </row>
    <row r="1181" spans="1:7" x14ac:dyDescent="0.35">
      <c r="A1181" s="178" t="s">
        <v>2673</v>
      </c>
      <c r="B1181" s="178" t="s">
        <v>2674</v>
      </c>
      <c r="C1181" s="178" t="s">
        <v>915</v>
      </c>
      <c r="D1181" s="178" t="s">
        <v>57</v>
      </c>
      <c r="E1181">
        <v>5216.25</v>
      </c>
      <c r="F1181">
        <v>782.44</v>
      </c>
      <c r="G1181">
        <v>5998.69</v>
      </c>
    </row>
    <row r="1182" spans="1:7" x14ac:dyDescent="0.35">
      <c r="A1182" s="178" t="s">
        <v>2675</v>
      </c>
      <c r="B1182" s="178" t="s">
        <v>2676</v>
      </c>
      <c r="C1182" s="178" t="s">
        <v>915</v>
      </c>
      <c r="D1182" s="178" t="s">
        <v>2677</v>
      </c>
      <c r="E1182">
        <v>6603.3</v>
      </c>
      <c r="F1182">
        <v>990.49</v>
      </c>
      <c r="G1182">
        <v>7593.79</v>
      </c>
    </row>
    <row r="1183" spans="1:7" x14ac:dyDescent="0.35">
      <c r="A1183" s="178" t="s">
        <v>2678</v>
      </c>
      <c r="B1183" s="178" t="s">
        <v>2679</v>
      </c>
      <c r="C1183" s="178" t="s">
        <v>915</v>
      </c>
      <c r="D1183" s="178" t="s">
        <v>1224</v>
      </c>
      <c r="E1183">
        <v>6615</v>
      </c>
      <c r="F1183">
        <v>992.25</v>
      </c>
      <c r="G1183">
        <v>7607.25</v>
      </c>
    </row>
    <row r="1184" spans="1:7" x14ac:dyDescent="0.35">
      <c r="A1184" s="178" t="s">
        <v>1434</v>
      </c>
      <c r="B1184" s="178" t="s">
        <v>2680</v>
      </c>
      <c r="C1184" s="178" t="s">
        <v>915</v>
      </c>
      <c r="D1184" s="178" t="s">
        <v>2681</v>
      </c>
      <c r="E1184">
        <v>52130</v>
      </c>
      <c r="F1184">
        <v>7819.5</v>
      </c>
      <c r="G1184">
        <v>59949.5</v>
      </c>
    </row>
    <row r="1185" spans="1:7" x14ac:dyDescent="0.35">
      <c r="A1185" s="178" t="s">
        <v>925</v>
      </c>
      <c r="B1185" s="178" t="s">
        <v>2682</v>
      </c>
      <c r="C1185" s="178" t="s">
        <v>915</v>
      </c>
      <c r="D1185" s="178" t="s">
        <v>57</v>
      </c>
      <c r="E1185">
        <v>4390.3</v>
      </c>
      <c r="F1185">
        <v>658.55</v>
      </c>
      <c r="G1185">
        <v>5048.8500000000004</v>
      </c>
    </row>
    <row r="1186" spans="1:7" x14ac:dyDescent="0.35">
      <c r="A1186" s="178" t="s">
        <v>1003</v>
      </c>
      <c r="B1186" s="178" t="s">
        <v>2683</v>
      </c>
      <c r="C1186" s="178" t="s">
        <v>915</v>
      </c>
      <c r="D1186" s="178" t="s">
        <v>2684</v>
      </c>
      <c r="E1186">
        <v>1927.05</v>
      </c>
      <c r="F1186">
        <v>289.06</v>
      </c>
      <c r="G1186">
        <v>2216.11</v>
      </c>
    </row>
    <row r="1187" spans="1:7" x14ac:dyDescent="0.35">
      <c r="A1187" s="178" t="s">
        <v>741</v>
      </c>
      <c r="B1187" s="178" t="s">
        <v>2685</v>
      </c>
      <c r="C1187" s="178" t="s">
        <v>915</v>
      </c>
      <c r="D1187" s="178" t="s">
        <v>57</v>
      </c>
      <c r="E1187">
        <v>4352.3</v>
      </c>
      <c r="F1187">
        <v>652.85</v>
      </c>
      <c r="G1187">
        <v>5005.1499999999996</v>
      </c>
    </row>
    <row r="1188" spans="1:7" x14ac:dyDescent="0.35">
      <c r="A1188" s="178" t="s">
        <v>2686</v>
      </c>
      <c r="B1188" s="178" t="s">
        <v>2687</v>
      </c>
      <c r="C1188" s="178" t="s">
        <v>915</v>
      </c>
      <c r="D1188" s="178" t="s">
        <v>2688</v>
      </c>
      <c r="E1188">
        <v>7929.05</v>
      </c>
      <c r="F1188">
        <v>1189.3599999999999</v>
      </c>
      <c r="G1188">
        <v>9118.41</v>
      </c>
    </row>
    <row r="1189" spans="1:7" x14ac:dyDescent="0.35">
      <c r="A1189" s="178" t="s">
        <v>1039</v>
      </c>
      <c r="B1189" s="178" t="s">
        <v>2689</v>
      </c>
      <c r="C1189" s="178" t="s">
        <v>915</v>
      </c>
      <c r="D1189" s="178" t="s">
        <v>57</v>
      </c>
      <c r="E1189">
        <v>114216.4</v>
      </c>
      <c r="F1189">
        <v>17132.46</v>
      </c>
      <c r="G1189">
        <v>131348.85999999999</v>
      </c>
    </row>
    <row r="1190" spans="1:7" x14ac:dyDescent="0.35">
      <c r="A1190" s="178" t="s">
        <v>825</v>
      </c>
      <c r="B1190" s="178" t="s">
        <v>2690</v>
      </c>
      <c r="C1190" s="178" t="s">
        <v>915</v>
      </c>
      <c r="D1190" s="178" t="s">
        <v>1316</v>
      </c>
      <c r="E1190">
        <v>13304.2</v>
      </c>
      <c r="F1190">
        <v>1995.63</v>
      </c>
      <c r="G1190">
        <v>15299.83</v>
      </c>
    </row>
    <row r="1191" spans="1:7" x14ac:dyDescent="0.35">
      <c r="A1191" s="178" t="s">
        <v>929</v>
      </c>
      <c r="B1191" s="178" t="s">
        <v>2691</v>
      </c>
      <c r="C1191" s="178" t="s">
        <v>915</v>
      </c>
      <c r="D1191" s="178" t="s">
        <v>1316</v>
      </c>
      <c r="E1191">
        <v>1753.8</v>
      </c>
      <c r="F1191">
        <v>263.07</v>
      </c>
      <c r="G1191">
        <v>2016.87</v>
      </c>
    </row>
    <row r="1192" spans="1:7" x14ac:dyDescent="0.35">
      <c r="A1192" s="178" t="s">
        <v>795</v>
      </c>
      <c r="B1192" s="178" t="s">
        <v>2692</v>
      </c>
      <c r="C1192" s="178" t="s">
        <v>915</v>
      </c>
      <c r="D1192" s="178" t="s">
        <v>57</v>
      </c>
      <c r="E1192">
        <v>12453.5</v>
      </c>
      <c r="F1192">
        <v>1868.03</v>
      </c>
      <c r="G1192">
        <v>14321.53</v>
      </c>
    </row>
    <row r="1193" spans="1:7" x14ac:dyDescent="0.35">
      <c r="A1193" s="178" t="s">
        <v>932</v>
      </c>
      <c r="B1193" s="178" t="s">
        <v>2693</v>
      </c>
      <c r="C1193" s="178" t="s">
        <v>915</v>
      </c>
      <c r="D1193" s="178" t="s">
        <v>57</v>
      </c>
      <c r="E1193">
        <v>1647.5</v>
      </c>
      <c r="F1193">
        <v>247.13</v>
      </c>
      <c r="G1193">
        <v>1894.63</v>
      </c>
    </row>
    <row r="1194" spans="1:7" x14ac:dyDescent="0.35">
      <c r="A1194" s="178" t="s">
        <v>789</v>
      </c>
      <c r="B1194" s="178" t="s">
        <v>2694</v>
      </c>
      <c r="C1194" s="178" t="s">
        <v>915</v>
      </c>
      <c r="D1194" s="178" t="s">
        <v>57</v>
      </c>
      <c r="E1194">
        <v>48264.7</v>
      </c>
      <c r="F1194">
        <v>7239.71</v>
      </c>
      <c r="G1194">
        <v>55504.41</v>
      </c>
    </row>
    <row r="1195" spans="1:7" x14ac:dyDescent="0.35">
      <c r="A1195" s="178" t="s">
        <v>2695</v>
      </c>
      <c r="B1195" s="178" t="s">
        <v>2696</v>
      </c>
      <c r="C1195" s="178" t="s">
        <v>915</v>
      </c>
      <c r="D1195" s="178" t="s">
        <v>57</v>
      </c>
      <c r="E1195">
        <v>1094.45</v>
      </c>
      <c r="F1195">
        <v>164.17</v>
      </c>
      <c r="G1195">
        <v>1258.6199999999999</v>
      </c>
    </row>
    <row r="1196" spans="1:7" x14ac:dyDescent="0.35">
      <c r="A1196" s="178" t="s">
        <v>2697</v>
      </c>
      <c r="B1196" s="178" t="s">
        <v>2698</v>
      </c>
      <c r="C1196" s="178" t="s">
        <v>915</v>
      </c>
      <c r="D1196" s="178" t="s">
        <v>57</v>
      </c>
      <c r="E1196">
        <v>2593.75</v>
      </c>
      <c r="F1196">
        <v>389.06</v>
      </c>
      <c r="G1196">
        <v>2982.81</v>
      </c>
    </row>
    <row r="1197" spans="1:7" x14ac:dyDescent="0.35">
      <c r="A1197" s="178" t="s">
        <v>961</v>
      </c>
      <c r="B1197" s="178" t="s">
        <v>2699</v>
      </c>
      <c r="C1197" s="178" t="s">
        <v>915</v>
      </c>
      <c r="D1197" s="178" t="s">
        <v>57</v>
      </c>
      <c r="E1197">
        <v>1188.2</v>
      </c>
      <c r="F1197">
        <v>178.23</v>
      </c>
      <c r="G1197">
        <v>1366.43</v>
      </c>
    </row>
    <row r="1198" spans="1:7" x14ac:dyDescent="0.35">
      <c r="A1198" s="178" t="s">
        <v>2700</v>
      </c>
      <c r="B1198" s="178" t="s">
        <v>2701</v>
      </c>
      <c r="C1198" s="178" t="s">
        <v>915</v>
      </c>
      <c r="D1198" s="178" t="s">
        <v>57</v>
      </c>
      <c r="E1198">
        <v>3953.05</v>
      </c>
      <c r="F1198">
        <v>592.96</v>
      </c>
      <c r="G1198">
        <v>4546.01</v>
      </c>
    </row>
    <row r="1199" spans="1:7" x14ac:dyDescent="0.35">
      <c r="A1199" s="178" t="s">
        <v>1919</v>
      </c>
      <c r="B1199" s="178" t="s">
        <v>2702</v>
      </c>
      <c r="C1199" s="178" t="s">
        <v>915</v>
      </c>
      <c r="D1199" s="178" t="s">
        <v>1921</v>
      </c>
      <c r="E1199">
        <v>2339.25</v>
      </c>
      <c r="F1199">
        <v>350.89</v>
      </c>
      <c r="G1199">
        <v>2690.14</v>
      </c>
    </row>
    <row r="1200" spans="1:7" x14ac:dyDescent="0.35">
      <c r="A1200" s="178" t="s">
        <v>1475</v>
      </c>
      <c r="B1200" s="178" t="s">
        <v>2703</v>
      </c>
      <c r="C1200" s="178" t="s">
        <v>915</v>
      </c>
      <c r="D1200" s="178" t="s">
        <v>57</v>
      </c>
      <c r="E1200">
        <v>2985.42</v>
      </c>
      <c r="F1200">
        <v>447.82</v>
      </c>
      <c r="G1200">
        <v>3433.24</v>
      </c>
    </row>
    <row r="1201" spans="1:7" x14ac:dyDescent="0.35">
      <c r="A1201" s="178" t="s">
        <v>1786</v>
      </c>
      <c r="B1201" s="178" t="s">
        <v>2704</v>
      </c>
      <c r="C1201" s="178" t="s">
        <v>915</v>
      </c>
      <c r="D1201" s="178" t="s">
        <v>1788</v>
      </c>
      <c r="E1201">
        <v>1353</v>
      </c>
      <c r="F1201">
        <v>202.95</v>
      </c>
      <c r="G1201">
        <v>1555.95</v>
      </c>
    </row>
    <row r="1202" spans="1:7" x14ac:dyDescent="0.35">
      <c r="A1202" s="178" t="s">
        <v>925</v>
      </c>
      <c r="B1202" s="178" t="s">
        <v>2705</v>
      </c>
      <c r="C1202" s="178" t="s">
        <v>915</v>
      </c>
      <c r="D1202" s="178" t="s">
        <v>57</v>
      </c>
      <c r="E1202">
        <v>4390.3</v>
      </c>
      <c r="F1202">
        <v>658.55</v>
      </c>
      <c r="G1202">
        <v>5048.8500000000004</v>
      </c>
    </row>
    <row r="1203" spans="1:7" x14ac:dyDescent="0.35">
      <c r="A1203" s="178" t="s">
        <v>2634</v>
      </c>
      <c r="B1203" s="178" t="s">
        <v>2706</v>
      </c>
      <c r="C1203" s="178" t="s">
        <v>915</v>
      </c>
      <c r="D1203" s="178" t="s">
        <v>57</v>
      </c>
      <c r="E1203">
        <v>5331.6</v>
      </c>
      <c r="F1203">
        <v>799.74</v>
      </c>
      <c r="G1203">
        <v>6131.34</v>
      </c>
    </row>
    <row r="1204" spans="1:7" x14ac:dyDescent="0.35">
      <c r="A1204" s="178" t="s">
        <v>1194</v>
      </c>
      <c r="B1204" s="178" t="s">
        <v>2707</v>
      </c>
      <c r="C1204" s="178" t="s">
        <v>915</v>
      </c>
      <c r="D1204" s="178" t="s">
        <v>57</v>
      </c>
      <c r="E1204">
        <v>6820.26</v>
      </c>
      <c r="F1204">
        <v>1023.05</v>
      </c>
      <c r="G1204">
        <v>7843.31</v>
      </c>
    </row>
    <row r="1205" spans="1:7" x14ac:dyDescent="0.35">
      <c r="A1205" s="178" t="s">
        <v>1391</v>
      </c>
      <c r="B1205" s="178" t="s">
        <v>2708</v>
      </c>
      <c r="C1205" s="178" t="s">
        <v>915</v>
      </c>
      <c r="D1205" s="178" t="s">
        <v>57</v>
      </c>
      <c r="E1205">
        <v>15170.95</v>
      </c>
      <c r="F1205">
        <v>2275.64</v>
      </c>
      <c r="G1205">
        <v>17446.59</v>
      </c>
    </row>
    <row r="1206" spans="1:7" x14ac:dyDescent="0.35">
      <c r="A1206" s="178" t="s">
        <v>2709</v>
      </c>
      <c r="B1206" s="178" t="s">
        <v>2710</v>
      </c>
      <c r="C1206" s="178" t="s">
        <v>915</v>
      </c>
      <c r="D1206" s="178" t="s">
        <v>57</v>
      </c>
      <c r="E1206">
        <v>6092.8</v>
      </c>
      <c r="F1206">
        <v>913.92</v>
      </c>
      <c r="G1206">
        <v>7006.72</v>
      </c>
    </row>
    <row r="1207" spans="1:7" x14ac:dyDescent="0.35">
      <c r="A1207" s="178" t="s">
        <v>1120</v>
      </c>
      <c r="B1207" s="178" t="s">
        <v>2711</v>
      </c>
      <c r="C1207" s="178" t="s">
        <v>915</v>
      </c>
      <c r="D1207" s="178" t="s">
        <v>57</v>
      </c>
      <c r="E1207">
        <v>1537.2</v>
      </c>
      <c r="F1207">
        <v>230.58</v>
      </c>
      <c r="G1207">
        <v>1767.78</v>
      </c>
    </row>
    <row r="1208" spans="1:7" x14ac:dyDescent="0.35">
      <c r="A1208" s="178" t="s">
        <v>1742</v>
      </c>
      <c r="B1208" s="178" t="s">
        <v>2712</v>
      </c>
      <c r="C1208" s="178" t="s">
        <v>915</v>
      </c>
      <c r="D1208" s="178" t="s">
        <v>57</v>
      </c>
      <c r="E1208">
        <v>1000</v>
      </c>
      <c r="F1208">
        <v>150</v>
      </c>
      <c r="G1208">
        <v>1150</v>
      </c>
    </row>
    <row r="1209" spans="1:7" x14ac:dyDescent="0.35">
      <c r="A1209" s="178" t="s">
        <v>1305</v>
      </c>
      <c r="B1209" s="178" t="s">
        <v>2713</v>
      </c>
      <c r="C1209" s="178" t="s">
        <v>915</v>
      </c>
      <c r="D1209" s="178" t="s">
        <v>57</v>
      </c>
      <c r="E1209">
        <v>8870.4</v>
      </c>
      <c r="F1209">
        <v>1330.56</v>
      </c>
      <c r="G1209">
        <v>10200.959999999999</v>
      </c>
    </row>
    <row r="1210" spans="1:7" x14ac:dyDescent="0.35">
      <c r="A1210" s="178" t="s">
        <v>1893</v>
      </c>
      <c r="B1210" s="178" t="s">
        <v>2714</v>
      </c>
      <c r="C1210" s="178" t="s">
        <v>915</v>
      </c>
      <c r="D1210" s="178" t="s">
        <v>57</v>
      </c>
      <c r="E1210">
        <v>2419</v>
      </c>
      <c r="F1210">
        <v>362.85</v>
      </c>
      <c r="G1210">
        <v>2781.85</v>
      </c>
    </row>
    <row r="1211" spans="1:7" x14ac:dyDescent="0.35">
      <c r="A1211" s="178" t="s">
        <v>2715</v>
      </c>
      <c r="B1211" s="178" t="s">
        <v>2716</v>
      </c>
      <c r="C1211" s="178" t="s">
        <v>915</v>
      </c>
      <c r="D1211" s="178" t="s">
        <v>2717</v>
      </c>
      <c r="E1211">
        <v>11310.3</v>
      </c>
      <c r="F1211">
        <v>1696.55</v>
      </c>
      <c r="G1211">
        <v>13006.85</v>
      </c>
    </row>
    <row r="1212" spans="1:7" x14ac:dyDescent="0.35">
      <c r="A1212" s="178" t="s">
        <v>1874</v>
      </c>
      <c r="B1212" s="178" t="s">
        <v>2718</v>
      </c>
      <c r="C1212" s="178" t="s">
        <v>915</v>
      </c>
      <c r="D1212" s="178" t="s">
        <v>2719</v>
      </c>
      <c r="E1212">
        <v>16580.7</v>
      </c>
      <c r="F1212">
        <v>2487.11</v>
      </c>
      <c r="G1212">
        <v>19067.810000000001</v>
      </c>
    </row>
    <row r="1213" spans="1:7" x14ac:dyDescent="0.35">
      <c r="A1213" s="178" t="s">
        <v>795</v>
      </c>
      <c r="B1213" s="178" t="s">
        <v>2720</v>
      </c>
      <c r="C1213" s="178" t="s">
        <v>915</v>
      </c>
      <c r="D1213" s="178" t="s">
        <v>57</v>
      </c>
      <c r="E1213">
        <v>3148.15</v>
      </c>
      <c r="F1213">
        <v>472.22</v>
      </c>
      <c r="G1213">
        <v>3620.37</v>
      </c>
    </row>
    <row r="1214" spans="1:7" x14ac:dyDescent="0.35">
      <c r="A1214" s="178" t="s">
        <v>1489</v>
      </c>
      <c r="B1214" s="178" t="s">
        <v>2721</v>
      </c>
      <c r="C1214" s="178" t="s">
        <v>915</v>
      </c>
      <c r="D1214" s="178" t="s">
        <v>57</v>
      </c>
      <c r="E1214">
        <v>8118</v>
      </c>
      <c r="F1214">
        <v>1217.7</v>
      </c>
      <c r="G1214">
        <v>9335.7000000000007</v>
      </c>
    </row>
    <row r="1215" spans="1:7" x14ac:dyDescent="0.35">
      <c r="A1215" s="178" t="s">
        <v>2722</v>
      </c>
      <c r="B1215" s="178" t="s">
        <v>2723</v>
      </c>
      <c r="C1215" s="178" t="s">
        <v>915</v>
      </c>
      <c r="D1215" s="178" t="s">
        <v>57</v>
      </c>
      <c r="E1215">
        <v>2443.75</v>
      </c>
      <c r="F1215">
        <v>366.56</v>
      </c>
      <c r="G1215">
        <v>2810.31</v>
      </c>
    </row>
    <row r="1216" spans="1:7" x14ac:dyDescent="0.35">
      <c r="A1216" s="178" t="s">
        <v>2724</v>
      </c>
      <c r="B1216" s="178" t="s">
        <v>2725</v>
      </c>
      <c r="C1216" s="178" t="s">
        <v>915</v>
      </c>
      <c r="D1216" s="178" t="s">
        <v>57</v>
      </c>
      <c r="E1216">
        <v>1051.95</v>
      </c>
      <c r="F1216">
        <v>157.79</v>
      </c>
      <c r="G1216">
        <v>1209.74</v>
      </c>
    </row>
    <row r="1217" spans="1:7" x14ac:dyDescent="0.35">
      <c r="A1217" s="178" t="s">
        <v>2726</v>
      </c>
      <c r="B1217" s="178" t="s">
        <v>2727</v>
      </c>
      <c r="C1217" s="178" t="s">
        <v>915</v>
      </c>
      <c r="D1217" s="178" t="s">
        <v>57</v>
      </c>
      <c r="E1217">
        <v>11338.6</v>
      </c>
      <c r="F1217">
        <v>1700.79</v>
      </c>
      <c r="G1217">
        <v>13039.39</v>
      </c>
    </row>
    <row r="1218" spans="1:7" x14ac:dyDescent="0.35">
      <c r="A1218" s="178" t="s">
        <v>786</v>
      </c>
      <c r="B1218" s="178" t="s">
        <v>2728</v>
      </c>
      <c r="C1218" s="178" t="s">
        <v>915</v>
      </c>
      <c r="D1218" s="178" t="s">
        <v>57</v>
      </c>
      <c r="E1218">
        <v>5989.65</v>
      </c>
      <c r="F1218">
        <v>898.45</v>
      </c>
      <c r="G1218">
        <v>6888.1</v>
      </c>
    </row>
    <row r="1219" spans="1:7" x14ac:dyDescent="0.35">
      <c r="A1219" s="178" t="s">
        <v>750</v>
      </c>
      <c r="B1219" s="178" t="s">
        <v>2729</v>
      </c>
      <c r="C1219" s="178" t="s">
        <v>915</v>
      </c>
      <c r="D1219" s="178" t="s">
        <v>2730</v>
      </c>
      <c r="E1219">
        <v>5500</v>
      </c>
      <c r="F1219">
        <v>825</v>
      </c>
      <c r="G1219">
        <v>6325</v>
      </c>
    </row>
    <row r="1220" spans="1:7" x14ac:dyDescent="0.35">
      <c r="A1220" s="178" t="s">
        <v>2382</v>
      </c>
      <c r="B1220" s="178" t="s">
        <v>2731</v>
      </c>
      <c r="C1220" s="178" t="s">
        <v>915</v>
      </c>
      <c r="D1220" s="178" t="s">
        <v>57</v>
      </c>
      <c r="E1220">
        <v>600</v>
      </c>
      <c r="F1220">
        <v>90</v>
      </c>
      <c r="G1220">
        <v>690</v>
      </c>
    </row>
    <row r="1221" spans="1:7" x14ac:dyDescent="0.35">
      <c r="A1221" s="178" t="s">
        <v>2732</v>
      </c>
      <c r="B1221" s="178" t="s">
        <v>2733</v>
      </c>
      <c r="C1221" s="178" t="s">
        <v>915</v>
      </c>
      <c r="D1221" s="178" t="s">
        <v>57</v>
      </c>
      <c r="E1221">
        <v>896.4</v>
      </c>
      <c r="F1221">
        <v>134.46</v>
      </c>
      <c r="G1221">
        <v>1030.8599999999999</v>
      </c>
    </row>
    <row r="1222" spans="1:7" x14ac:dyDescent="0.35">
      <c r="A1222" s="178" t="s">
        <v>1070</v>
      </c>
      <c r="B1222" s="178" t="s">
        <v>2734</v>
      </c>
      <c r="C1222" s="178" t="s">
        <v>915</v>
      </c>
      <c r="D1222" s="178" t="s">
        <v>57</v>
      </c>
      <c r="E1222">
        <v>1294.0999999999999</v>
      </c>
      <c r="F1222">
        <v>194.12</v>
      </c>
      <c r="G1222">
        <v>1488.22</v>
      </c>
    </row>
    <row r="1223" spans="1:7" x14ac:dyDescent="0.35">
      <c r="A1223" s="178" t="s">
        <v>1070</v>
      </c>
      <c r="B1223" s="178" t="s">
        <v>2735</v>
      </c>
      <c r="C1223" s="178" t="s">
        <v>915</v>
      </c>
      <c r="D1223" s="178" t="s">
        <v>57</v>
      </c>
      <c r="E1223">
        <v>1320.2</v>
      </c>
      <c r="F1223">
        <v>198.03</v>
      </c>
      <c r="G1223">
        <v>1518.23</v>
      </c>
    </row>
    <row r="1224" spans="1:7" x14ac:dyDescent="0.35">
      <c r="A1224" s="178" t="s">
        <v>1254</v>
      </c>
      <c r="B1224" s="178" t="s">
        <v>2736</v>
      </c>
      <c r="C1224" s="178" t="s">
        <v>915</v>
      </c>
      <c r="D1224" s="178" t="s">
        <v>57</v>
      </c>
      <c r="E1224">
        <v>27959.5</v>
      </c>
      <c r="F1224">
        <v>4193.93</v>
      </c>
      <c r="G1224">
        <v>32153.43</v>
      </c>
    </row>
    <row r="1225" spans="1:7" x14ac:dyDescent="0.35">
      <c r="A1225" s="178" t="s">
        <v>1391</v>
      </c>
      <c r="B1225" s="178" t="s">
        <v>2737</v>
      </c>
      <c r="C1225" s="178" t="s">
        <v>915</v>
      </c>
      <c r="D1225" s="178" t="s">
        <v>2738</v>
      </c>
      <c r="E1225">
        <v>7698.55</v>
      </c>
      <c r="F1225">
        <v>1154.78</v>
      </c>
      <c r="G1225">
        <v>8853.33</v>
      </c>
    </row>
    <row r="1226" spans="1:7" x14ac:dyDescent="0.35">
      <c r="A1226" s="178" t="s">
        <v>2072</v>
      </c>
      <c r="B1226" s="178" t="s">
        <v>2739</v>
      </c>
      <c r="C1226" s="178" t="s">
        <v>915</v>
      </c>
      <c r="D1226" s="178" t="s">
        <v>57</v>
      </c>
      <c r="E1226">
        <v>1293.33</v>
      </c>
      <c r="F1226">
        <v>194</v>
      </c>
      <c r="G1226">
        <v>1487.33</v>
      </c>
    </row>
    <row r="1227" spans="1:7" x14ac:dyDescent="0.35">
      <c r="A1227" s="178" t="s">
        <v>818</v>
      </c>
      <c r="B1227" s="178" t="s">
        <v>2740</v>
      </c>
      <c r="C1227" s="178" t="s">
        <v>915</v>
      </c>
      <c r="D1227" s="178" t="s">
        <v>57</v>
      </c>
      <c r="E1227">
        <v>1561.8</v>
      </c>
      <c r="F1227">
        <v>234.27</v>
      </c>
      <c r="G1227">
        <v>1796.07</v>
      </c>
    </row>
    <row r="1228" spans="1:7" x14ac:dyDescent="0.35">
      <c r="A1228" s="178" t="s">
        <v>789</v>
      </c>
      <c r="B1228" s="178" t="s">
        <v>2741</v>
      </c>
      <c r="C1228" s="178" t="s">
        <v>915</v>
      </c>
      <c r="D1228" s="178" t="s">
        <v>57</v>
      </c>
      <c r="E1228">
        <v>9374.4</v>
      </c>
      <c r="F1228">
        <v>1406.16</v>
      </c>
      <c r="G1228">
        <v>10780.56</v>
      </c>
    </row>
    <row r="1229" spans="1:7" x14ac:dyDescent="0.35">
      <c r="A1229" s="178" t="s">
        <v>1095</v>
      </c>
      <c r="B1229" s="178" t="s">
        <v>2742</v>
      </c>
      <c r="C1229" s="178" t="s">
        <v>915</v>
      </c>
      <c r="D1229" s="178" t="s">
        <v>57</v>
      </c>
      <c r="E1229">
        <v>70518.100000000006</v>
      </c>
      <c r="F1229">
        <v>10577.72</v>
      </c>
      <c r="G1229">
        <v>81095.820000000007</v>
      </c>
    </row>
    <row r="1230" spans="1:7" x14ac:dyDescent="0.35">
      <c r="A1230" s="178" t="s">
        <v>839</v>
      </c>
      <c r="B1230" s="178" t="s">
        <v>2743</v>
      </c>
      <c r="C1230" s="178" t="s">
        <v>915</v>
      </c>
      <c r="D1230" s="178" t="s">
        <v>57</v>
      </c>
      <c r="E1230">
        <v>2340.8000000000002</v>
      </c>
      <c r="F1230">
        <v>351.12</v>
      </c>
      <c r="G1230">
        <v>2691.92</v>
      </c>
    </row>
    <row r="1231" spans="1:7" x14ac:dyDescent="0.35">
      <c r="A1231" s="178" t="s">
        <v>1113</v>
      </c>
      <c r="B1231" s="178" t="s">
        <v>2744</v>
      </c>
      <c r="C1231" s="178" t="s">
        <v>915</v>
      </c>
      <c r="D1231" s="178" t="s">
        <v>57</v>
      </c>
      <c r="E1231">
        <v>967.2</v>
      </c>
      <c r="F1231">
        <v>145.08000000000001</v>
      </c>
      <c r="G1231">
        <v>1112.28</v>
      </c>
    </row>
    <row r="1232" spans="1:7" x14ac:dyDescent="0.35">
      <c r="A1232" s="178" t="s">
        <v>2745</v>
      </c>
      <c r="B1232" s="178" t="s">
        <v>2746</v>
      </c>
      <c r="C1232" s="178" t="s">
        <v>915</v>
      </c>
      <c r="D1232" s="178" t="s">
        <v>57</v>
      </c>
      <c r="E1232">
        <v>705.2</v>
      </c>
      <c r="F1232">
        <v>105.78</v>
      </c>
      <c r="G1232">
        <v>810.98</v>
      </c>
    </row>
    <row r="1233" spans="1:7" x14ac:dyDescent="0.35">
      <c r="A1233" s="178" t="s">
        <v>929</v>
      </c>
      <c r="B1233" s="178" t="s">
        <v>2747</v>
      </c>
      <c r="C1233" s="178" t="s">
        <v>927</v>
      </c>
      <c r="D1233" s="178" t="s">
        <v>2748</v>
      </c>
      <c r="E1233">
        <v>1535.5</v>
      </c>
      <c r="F1233">
        <v>230.33</v>
      </c>
      <c r="G1233">
        <v>1765.83</v>
      </c>
    </row>
    <row r="1234" spans="1:7" x14ac:dyDescent="0.35">
      <c r="A1234" s="178" t="s">
        <v>741</v>
      </c>
      <c r="B1234" s="178" t="s">
        <v>2749</v>
      </c>
      <c r="C1234" s="178" t="s">
        <v>927</v>
      </c>
      <c r="D1234" s="178" t="s">
        <v>57</v>
      </c>
      <c r="E1234">
        <v>8321.5</v>
      </c>
      <c r="F1234">
        <v>1248.23</v>
      </c>
      <c r="G1234">
        <v>9569.73</v>
      </c>
    </row>
    <row r="1235" spans="1:7" x14ac:dyDescent="0.35">
      <c r="A1235" s="178" t="s">
        <v>1445</v>
      </c>
      <c r="B1235" s="178" t="s">
        <v>2750</v>
      </c>
      <c r="C1235" s="178" t="s">
        <v>927</v>
      </c>
      <c r="D1235" s="178" t="s">
        <v>57</v>
      </c>
      <c r="E1235">
        <v>783.7</v>
      </c>
      <c r="F1235">
        <v>117.56</v>
      </c>
      <c r="G1235">
        <v>901.26</v>
      </c>
    </row>
    <row r="1236" spans="1:7" x14ac:dyDescent="0.35">
      <c r="A1236" s="178" t="s">
        <v>2751</v>
      </c>
      <c r="B1236" s="178" t="s">
        <v>2752</v>
      </c>
      <c r="C1236" s="178" t="s">
        <v>927</v>
      </c>
      <c r="D1236" s="178" t="s">
        <v>57</v>
      </c>
      <c r="E1236">
        <v>1457.55</v>
      </c>
      <c r="F1236">
        <v>218.63</v>
      </c>
      <c r="G1236">
        <v>1676.18</v>
      </c>
    </row>
    <row r="1237" spans="1:7" x14ac:dyDescent="0.35">
      <c r="A1237" s="178" t="s">
        <v>2753</v>
      </c>
      <c r="B1237" s="178" t="s">
        <v>2754</v>
      </c>
      <c r="C1237" s="178" t="s">
        <v>927</v>
      </c>
      <c r="D1237" s="178" t="s">
        <v>57</v>
      </c>
      <c r="E1237">
        <v>9538</v>
      </c>
      <c r="F1237">
        <v>1430.7</v>
      </c>
      <c r="G1237">
        <v>10968.7</v>
      </c>
    </row>
    <row r="1238" spans="1:7" x14ac:dyDescent="0.35">
      <c r="A1238" s="178" t="s">
        <v>1620</v>
      </c>
      <c r="B1238" s="178" t="s">
        <v>2755</v>
      </c>
      <c r="C1238" s="178" t="s">
        <v>927</v>
      </c>
      <c r="D1238" s="178" t="s">
        <v>2756</v>
      </c>
      <c r="E1238">
        <v>3252.3</v>
      </c>
      <c r="F1238">
        <v>487.85</v>
      </c>
      <c r="G1238">
        <v>3740.15</v>
      </c>
    </row>
    <row r="1239" spans="1:7" x14ac:dyDescent="0.35">
      <c r="A1239" s="178" t="s">
        <v>870</v>
      </c>
      <c r="B1239" s="178" t="s">
        <v>2757</v>
      </c>
      <c r="C1239" s="178" t="s">
        <v>927</v>
      </c>
      <c r="D1239" s="178" t="s">
        <v>2758</v>
      </c>
      <c r="E1239">
        <v>4317.6000000000004</v>
      </c>
      <c r="F1239">
        <v>647.64</v>
      </c>
      <c r="G1239">
        <v>4965.24</v>
      </c>
    </row>
    <row r="1240" spans="1:7" x14ac:dyDescent="0.35">
      <c r="A1240" s="178" t="s">
        <v>802</v>
      </c>
      <c r="B1240" s="178" t="s">
        <v>2759</v>
      </c>
      <c r="C1240" s="178" t="s">
        <v>927</v>
      </c>
      <c r="D1240" s="178" t="s">
        <v>57</v>
      </c>
      <c r="E1240">
        <v>4627.55</v>
      </c>
      <c r="F1240">
        <v>694.14</v>
      </c>
      <c r="G1240">
        <v>5321.69</v>
      </c>
    </row>
    <row r="1241" spans="1:7" x14ac:dyDescent="0.35">
      <c r="A1241" s="178" t="s">
        <v>1742</v>
      </c>
      <c r="B1241" s="178" t="s">
        <v>2760</v>
      </c>
      <c r="C1241" s="178" t="s">
        <v>927</v>
      </c>
      <c r="D1241" s="178" t="s">
        <v>57</v>
      </c>
      <c r="E1241">
        <v>2650.8</v>
      </c>
      <c r="F1241">
        <v>397.62</v>
      </c>
      <c r="G1241">
        <v>3048.42</v>
      </c>
    </row>
    <row r="1242" spans="1:7" x14ac:dyDescent="0.35">
      <c r="A1242" s="178" t="s">
        <v>1342</v>
      </c>
      <c r="B1242" s="178" t="s">
        <v>2761</v>
      </c>
      <c r="C1242" s="178" t="s">
        <v>927</v>
      </c>
      <c r="D1242" s="178" t="s">
        <v>57</v>
      </c>
      <c r="E1242">
        <v>12235.75</v>
      </c>
      <c r="F1242">
        <v>1835.37</v>
      </c>
      <c r="G1242">
        <v>14071.12</v>
      </c>
    </row>
    <row r="1243" spans="1:7" x14ac:dyDescent="0.35">
      <c r="A1243" s="178" t="s">
        <v>737</v>
      </c>
      <c r="B1243" s="178" t="s">
        <v>2762</v>
      </c>
      <c r="C1243" s="178" t="s">
        <v>927</v>
      </c>
      <c r="D1243" s="178" t="s">
        <v>57</v>
      </c>
      <c r="E1243">
        <v>11187.15</v>
      </c>
      <c r="F1243">
        <v>1678.08</v>
      </c>
      <c r="G1243">
        <v>12865.23</v>
      </c>
    </row>
    <row r="1244" spans="1:7" x14ac:dyDescent="0.35">
      <c r="A1244" s="178" t="s">
        <v>2763</v>
      </c>
      <c r="B1244" s="178" t="s">
        <v>2764</v>
      </c>
      <c r="C1244" s="178" t="s">
        <v>927</v>
      </c>
      <c r="D1244" s="178" t="s">
        <v>57</v>
      </c>
      <c r="E1244">
        <v>722.4</v>
      </c>
      <c r="F1244">
        <v>108.36</v>
      </c>
      <c r="G1244">
        <v>830.76</v>
      </c>
    </row>
    <row r="1245" spans="1:7" x14ac:dyDescent="0.35">
      <c r="A1245" s="178" t="s">
        <v>929</v>
      </c>
      <c r="B1245" s="178" t="s">
        <v>2765</v>
      </c>
      <c r="C1245" s="178" t="s">
        <v>927</v>
      </c>
      <c r="D1245" s="178" t="s">
        <v>57</v>
      </c>
      <c r="E1245">
        <v>1705.7</v>
      </c>
      <c r="F1245">
        <v>255.86</v>
      </c>
      <c r="G1245">
        <v>1961.56</v>
      </c>
    </row>
    <row r="1246" spans="1:7" x14ac:dyDescent="0.35">
      <c r="A1246" s="178" t="s">
        <v>2766</v>
      </c>
      <c r="B1246" s="178" t="s">
        <v>2767</v>
      </c>
      <c r="C1246" s="178" t="s">
        <v>927</v>
      </c>
      <c r="D1246" s="178" t="s">
        <v>57</v>
      </c>
      <c r="E1246">
        <v>6670.35</v>
      </c>
      <c r="F1246">
        <v>1000.56</v>
      </c>
      <c r="G1246">
        <v>7670.91</v>
      </c>
    </row>
    <row r="1247" spans="1:7" x14ac:dyDescent="0.35">
      <c r="A1247" s="178" t="s">
        <v>1720</v>
      </c>
      <c r="B1247" s="178" t="s">
        <v>2768</v>
      </c>
      <c r="C1247" s="178" t="s">
        <v>927</v>
      </c>
      <c r="D1247" s="178" t="s">
        <v>2769</v>
      </c>
      <c r="E1247">
        <v>2238.3000000000002</v>
      </c>
      <c r="F1247">
        <v>335.75</v>
      </c>
      <c r="G1247">
        <v>2574.0500000000002</v>
      </c>
    </row>
    <row r="1248" spans="1:7" x14ac:dyDescent="0.35">
      <c r="A1248" s="178" t="s">
        <v>1231</v>
      </c>
      <c r="B1248" s="178" t="s">
        <v>2770</v>
      </c>
      <c r="C1248" s="178" t="s">
        <v>927</v>
      </c>
      <c r="D1248" s="178" t="s">
        <v>1233</v>
      </c>
      <c r="E1248">
        <v>9179.6</v>
      </c>
      <c r="F1248">
        <v>1376.95</v>
      </c>
      <c r="G1248">
        <v>10556.55</v>
      </c>
    </row>
    <row r="1249" spans="1:7" x14ac:dyDescent="0.35">
      <c r="A1249" s="178" t="s">
        <v>1168</v>
      </c>
      <c r="B1249" s="178" t="s">
        <v>2771</v>
      </c>
      <c r="C1249" s="178" t="s">
        <v>927</v>
      </c>
      <c r="D1249" s="178" t="s">
        <v>57</v>
      </c>
      <c r="E1249">
        <v>1197.2</v>
      </c>
      <c r="F1249">
        <v>179.59</v>
      </c>
      <c r="G1249">
        <v>1376.79</v>
      </c>
    </row>
    <row r="1250" spans="1:7" x14ac:dyDescent="0.35">
      <c r="A1250" s="178" t="s">
        <v>825</v>
      </c>
      <c r="B1250" s="178" t="s">
        <v>2772</v>
      </c>
      <c r="C1250" s="178" t="s">
        <v>927</v>
      </c>
      <c r="D1250" s="178" t="s">
        <v>57</v>
      </c>
      <c r="E1250">
        <v>11529</v>
      </c>
      <c r="F1250">
        <v>1729.36</v>
      </c>
      <c r="G1250">
        <v>13258.36</v>
      </c>
    </row>
    <row r="1251" spans="1:7" x14ac:dyDescent="0.35">
      <c r="A1251" s="178" t="s">
        <v>1047</v>
      </c>
      <c r="B1251" s="178" t="s">
        <v>2773</v>
      </c>
      <c r="C1251" s="178" t="s">
        <v>927</v>
      </c>
      <c r="D1251" s="178" t="s">
        <v>57</v>
      </c>
      <c r="E1251">
        <v>809.25</v>
      </c>
      <c r="F1251">
        <v>121.39</v>
      </c>
      <c r="G1251">
        <v>930.64</v>
      </c>
    </row>
    <row r="1252" spans="1:7" x14ac:dyDescent="0.35">
      <c r="A1252" s="178" t="s">
        <v>741</v>
      </c>
      <c r="B1252" s="178" t="s">
        <v>2774</v>
      </c>
      <c r="C1252" s="178" t="s">
        <v>927</v>
      </c>
      <c r="D1252" s="178" t="s">
        <v>57</v>
      </c>
      <c r="E1252">
        <v>6319.75</v>
      </c>
      <c r="F1252">
        <v>947.96</v>
      </c>
      <c r="G1252">
        <v>7267.71</v>
      </c>
    </row>
    <row r="1253" spans="1:7" x14ac:dyDescent="0.35">
      <c r="A1253" s="178" t="s">
        <v>1720</v>
      </c>
      <c r="B1253" s="178" t="s">
        <v>2775</v>
      </c>
      <c r="C1253" s="178" t="s">
        <v>927</v>
      </c>
      <c r="D1253" s="178" t="s">
        <v>2776</v>
      </c>
      <c r="E1253">
        <v>1107</v>
      </c>
      <c r="F1253">
        <v>166.05</v>
      </c>
      <c r="G1253">
        <v>1273.05</v>
      </c>
    </row>
    <row r="1254" spans="1:7" x14ac:dyDescent="0.35">
      <c r="A1254" s="178" t="s">
        <v>2777</v>
      </c>
      <c r="B1254" s="178" t="s">
        <v>2778</v>
      </c>
      <c r="C1254" s="178" t="s">
        <v>927</v>
      </c>
      <c r="D1254" s="178" t="s">
        <v>2779</v>
      </c>
      <c r="E1254">
        <v>2311.3000000000002</v>
      </c>
      <c r="F1254">
        <v>346.7</v>
      </c>
      <c r="G1254">
        <v>2658</v>
      </c>
    </row>
    <row r="1255" spans="1:7" x14ac:dyDescent="0.35">
      <c r="A1255" s="178" t="s">
        <v>1265</v>
      </c>
      <c r="B1255" s="178" t="s">
        <v>2780</v>
      </c>
      <c r="C1255" s="178" t="s">
        <v>927</v>
      </c>
      <c r="D1255" s="178" t="s">
        <v>2441</v>
      </c>
      <c r="E1255">
        <v>842.45</v>
      </c>
      <c r="F1255">
        <v>126.37</v>
      </c>
      <c r="G1255">
        <v>968.82</v>
      </c>
    </row>
    <row r="1256" spans="1:7" x14ac:dyDescent="0.35">
      <c r="A1256" s="178" t="s">
        <v>1598</v>
      </c>
      <c r="B1256" s="178" t="s">
        <v>2781</v>
      </c>
      <c r="C1256" s="178" t="s">
        <v>927</v>
      </c>
      <c r="D1256" s="178" t="s">
        <v>57</v>
      </c>
      <c r="E1256">
        <v>2188</v>
      </c>
      <c r="F1256">
        <v>328.2</v>
      </c>
      <c r="G1256">
        <v>2516.1999999999998</v>
      </c>
    </row>
    <row r="1257" spans="1:7" x14ac:dyDescent="0.35">
      <c r="A1257" s="178" t="s">
        <v>2279</v>
      </c>
      <c r="B1257" s="178" t="s">
        <v>2782</v>
      </c>
      <c r="C1257" s="178" t="s">
        <v>927</v>
      </c>
      <c r="D1257" s="178" t="s">
        <v>57</v>
      </c>
      <c r="E1257">
        <v>1500.7</v>
      </c>
      <c r="F1257">
        <v>225.11</v>
      </c>
      <c r="G1257">
        <v>1725.81</v>
      </c>
    </row>
    <row r="1258" spans="1:7" x14ac:dyDescent="0.35">
      <c r="A1258" s="178" t="s">
        <v>1254</v>
      </c>
      <c r="B1258" s="178" t="s">
        <v>2783</v>
      </c>
      <c r="C1258" s="178" t="s">
        <v>927</v>
      </c>
      <c r="D1258" s="178" t="s">
        <v>57</v>
      </c>
      <c r="E1258">
        <v>6800.5</v>
      </c>
      <c r="F1258">
        <v>1020.08</v>
      </c>
      <c r="G1258">
        <v>7820.58</v>
      </c>
    </row>
    <row r="1259" spans="1:7" x14ac:dyDescent="0.35">
      <c r="A1259" s="178" t="s">
        <v>1085</v>
      </c>
      <c r="B1259" s="178" t="s">
        <v>2784</v>
      </c>
      <c r="C1259" s="178" t="s">
        <v>927</v>
      </c>
      <c r="D1259" s="178" t="s">
        <v>2785</v>
      </c>
      <c r="E1259">
        <v>6126.45</v>
      </c>
      <c r="F1259">
        <v>918.97</v>
      </c>
      <c r="G1259">
        <v>7045.42</v>
      </c>
    </row>
    <row r="1260" spans="1:7" x14ac:dyDescent="0.35">
      <c r="A1260" s="178" t="s">
        <v>793</v>
      </c>
      <c r="B1260" s="178" t="s">
        <v>2786</v>
      </c>
      <c r="C1260" s="178" t="s">
        <v>927</v>
      </c>
      <c r="D1260">
        <v>38690</v>
      </c>
      <c r="E1260">
        <v>11930.4</v>
      </c>
      <c r="F1260">
        <v>1789.56</v>
      </c>
      <c r="G1260">
        <v>13719.96</v>
      </c>
    </row>
    <row r="1261" spans="1:7" x14ac:dyDescent="0.35">
      <c r="A1261" s="178" t="s">
        <v>750</v>
      </c>
      <c r="B1261" s="178" t="s">
        <v>2787</v>
      </c>
      <c r="C1261" s="178" t="s">
        <v>927</v>
      </c>
      <c r="D1261" s="178" t="s">
        <v>57</v>
      </c>
      <c r="E1261">
        <v>1329.9</v>
      </c>
      <c r="F1261">
        <v>199.49</v>
      </c>
      <c r="G1261">
        <v>1529.39</v>
      </c>
    </row>
    <row r="1262" spans="1:7" x14ac:dyDescent="0.35">
      <c r="A1262" s="178" t="s">
        <v>1475</v>
      </c>
      <c r="B1262" s="178" t="s">
        <v>2788</v>
      </c>
      <c r="C1262" s="178" t="s">
        <v>927</v>
      </c>
      <c r="D1262" s="178" t="s">
        <v>57</v>
      </c>
      <c r="E1262">
        <v>4241.2700000000004</v>
      </c>
      <c r="F1262">
        <v>636.19000000000005</v>
      </c>
      <c r="G1262">
        <v>4877.46</v>
      </c>
    </row>
    <row r="1263" spans="1:7" x14ac:dyDescent="0.35">
      <c r="A1263" s="178" t="s">
        <v>988</v>
      </c>
      <c r="B1263" s="178" t="s">
        <v>2789</v>
      </c>
      <c r="C1263" s="178" t="s">
        <v>927</v>
      </c>
      <c r="D1263" s="178" t="s">
        <v>57</v>
      </c>
      <c r="E1263">
        <v>1500</v>
      </c>
      <c r="F1263">
        <v>225</v>
      </c>
      <c r="G1263">
        <v>1725</v>
      </c>
    </row>
    <row r="1264" spans="1:7" x14ac:dyDescent="0.35">
      <c r="A1264" s="178" t="s">
        <v>988</v>
      </c>
      <c r="B1264" s="178" t="s">
        <v>2790</v>
      </c>
      <c r="C1264" s="178" t="s">
        <v>927</v>
      </c>
      <c r="D1264" s="178" t="s">
        <v>57</v>
      </c>
      <c r="E1264">
        <v>1684.95</v>
      </c>
      <c r="F1264">
        <v>252.75</v>
      </c>
      <c r="G1264">
        <v>1937.7</v>
      </c>
    </row>
    <row r="1265" spans="1:7" x14ac:dyDescent="0.35">
      <c r="A1265" s="178" t="s">
        <v>1120</v>
      </c>
      <c r="B1265" s="178" t="s">
        <v>2791</v>
      </c>
      <c r="C1265" s="178" t="s">
        <v>927</v>
      </c>
      <c r="D1265" s="178" t="s">
        <v>57</v>
      </c>
      <c r="E1265">
        <v>23100</v>
      </c>
      <c r="F1265">
        <v>3465</v>
      </c>
      <c r="G1265">
        <v>26565</v>
      </c>
    </row>
    <row r="1266" spans="1:7" x14ac:dyDescent="0.35">
      <c r="A1266" s="178" t="s">
        <v>793</v>
      </c>
      <c r="B1266" s="178" t="s">
        <v>2792</v>
      </c>
      <c r="C1266" s="178" t="s">
        <v>927</v>
      </c>
      <c r="D1266">
        <v>38689</v>
      </c>
      <c r="E1266">
        <v>13977.1</v>
      </c>
      <c r="F1266">
        <v>2096.5700000000002</v>
      </c>
      <c r="G1266">
        <v>16073.67</v>
      </c>
    </row>
    <row r="1267" spans="1:7" x14ac:dyDescent="0.35">
      <c r="A1267" s="178" t="s">
        <v>750</v>
      </c>
      <c r="B1267" s="178" t="s">
        <v>2793</v>
      </c>
      <c r="C1267" s="178" t="s">
        <v>927</v>
      </c>
      <c r="D1267" s="178" t="s">
        <v>2794</v>
      </c>
      <c r="E1267">
        <v>1259.55</v>
      </c>
      <c r="F1267">
        <v>188.93</v>
      </c>
      <c r="G1267">
        <v>1448.48</v>
      </c>
    </row>
    <row r="1268" spans="1:7" x14ac:dyDescent="0.35">
      <c r="A1268" s="178" t="s">
        <v>2795</v>
      </c>
      <c r="B1268" s="178" t="s">
        <v>2796</v>
      </c>
      <c r="C1268" s="178" t="s">
        <v>927</v>
      </c>
      <c r="D1268" s="178" t="s">
        <v>57</v>
      </c>
      <c r="E1268">
        <v>2998.05</v>
      </c>
      <c r="F1268">
        <v>449.71</v>
      </c>
      <c r="G1268">
        <v>3447.76</v>
      </c>
    </row>
    <row r="1269" spans="1:7" x14ac:dyDescent="0.35">
      <c r="A1269" s="178" t="s">
        <v>1893</v>
      </c>
      <c r="B1269" s="178" t="s">
        <v>2797</v>
      </c>
      <c r="C1269" s="178" t="s">
        <v>927</v>
      </c>
      <c r="D1269" s="178" t="s">
        <v>57</v>
      </c>
      <c r="E1269">
        <v>5204.1000000000004</v>
      </c>
      <c r="F1269">
        <v>780.62</v>
      </c>
      <c r="G1269">
        <v>5984.72</v>
      </c>
    </row>
    <row r="1270" spans="1:7" x14ac:dyDescent="0.35">
      <c r="A1270" s="178" t="s">
        <v>1095</v>
      </c>
      <c r="B1270" s="178" t="s">
        <v>2798</v>
      </c>
      <c r="C1270" s="178" t="s">
        <v>927</v>
      </c>
      <c r="D1270" s="178" t="s">
        <v>57</v>
      </c>
      <c r="E1270">
        <v>9900.2000000000007</v>
      </c>
      <c r="F1270">
        <v>1485.03</v>
      </c>
      <c r="G1270">
        <v>11385.23</v>
      </c>
    </row>
    <row r="1271" spans="1:7" x14ac:dyDescent="0.35">
      <c r="A1271" s="178" t="s">
        <v>977</v>
      </c>
      <c r="B1271" s="178" t="s">
        <v>2799</v>
      </c>
      <c r="C1271" s="178" t="s">
        <v>927</v>
      </c>
      <c r="D1271" s="178" t="s">
        <v>2800</v>
      </c>
      <c r="E1271">
        <v>714.95</v>
      </c>
      <c r="F1271">
        <v>107.24</v>
      </c>
      <c r="G1271">
        <v>822.19</v>
      </c>
    </row>
    <row r="1272" spans="1:7" x14ac:dyDescent="0.35">
      <c r="A1272" s="178" t="s">
        <v>895</v>
      </c>
      <c r="B1272" s="178" t="s">
        <v>2801</v>
      </c>
      <c r="C1272" s="178" t="s">
        <v>927</v>
      </c>
      <c r="D1272" s="178" t="s">
        <v>2802</v>
      </c>
      <c r="E1272">
        <v>13142.3</v>
      </c>
      <c r="F1272">
        <v>1971.34</v>
      </c>
      <c r="G1272">
        <v>15113.64</v>
      </c>
    </row>
    <row r="1273" spans="1:7" x14ac:dyDescent="0.35">
      <c r="A1273" s="178" t="s">
        <v>1588</v>
      </c>
      <c r="B1273" s="178" t="s">
        <v>2803</v>
      </c>
      <c r="C1273" s="178" t="s">
        <v>927</v>
      </c>
      <c r="D1273" s="178" t="s">
        <v>57</v>
      </c>
      <c r="E1273">
        <v>3425.25</v>
      </c>
      <c r="F1273">
        <v>513.78</v>
      </c>
      <c r="G1273">
        <v>3939.03</v>
      </c>
    </row>
    <row r="1274" spans="1:7" x14ac:dyDescent="0.35">
      <c r="A1274" s="178" t="s">
        <v>750</v>
      </c>
      <c r="B1274" s="178" t="s">
        <v>2804</v>
      </c>
      <c r="C1274" s="178" t="s">
        <v>927</v>
      </c>
      <c r="D1274" s="178" t="s">
        <v>2805</v>
      </c>
      <c r="E1274">
        <v>5986.5</v>
      </c>
      <c r="F1274">
        <v>897.98</v>
      </c>
      <c r="G1274">
        <v>6884.48</v>
      </c>
    </row>
    <row r="1275" spans="1:7" x14ac:dyDescent="0.35">
      <c r="A1275" s="178" t="s">
        <v>750</v>
      </c>
      <c r="B1275" s="178" t="s">
        <v>2806</v>
      </c>
      <c r="C1275" s="178" t="s">
        <v>927</v>
      </c>
      <c r="D1275" s="178" t="s">
        <v>2807</v>
      </c>
      <c r="E1275">
        <v>427.5</v>
      </c>
      <c r="F1275">
        <v>64.13</v>
      </c>
      <c r="G1275">
        <v>491.63</v>
      </c>
    </row>
    <row r="1276" spans="1:7" x14ac:dyDescent="0.35">
      <c r="A1276" s="178" t="s">
        <v>2182</v>
      </c>
      <c r="B1276" s="178" t="s">
        <v>2808</v>
      </c>
      <c r="C1276" s="178" t="s">
        <v>927</v>
      </c>
      <c r="D1276" s="178" t="s">
        <v>57</v>
      </c>
      <c r="E1276">
        <v>3440.35</v>
      </c>
      <c r="F1276">
        <v>516.04999999999995</v>
      </c>
      <c r="G1276">
        <v>3956.4</v>
      </c>
    </row>
    <row r="1277" spans="1:7" x14ac:dyDescent="0.35">
      <c r="A1277" s="178" t="s">
        <v>2809</v>
      </c>
      <c r="B1277" s="178" t="s">
        <v>2810</v>
      </c>
      <c r="C1277" s="178" t="s">
        <v>927</v>
      </c>
      <c r="D1277" s="178" t="s">
        <v>57</v>
      </c>
      <c r="E1277">
        <v>2793.2</v>
      </c>
      <c r="F1277">
        <v>418.98</v>
      </c>
      <c r="G1277">
        <v>3212.18</v>
      </c>
    </row>
    <row r="1278" spans="1:7" x14ac:dyDescent="0.35">
      <c r="A1278" s="178" t="s">
        <v>1214</v>
      </c>
      <c r="B1278" s="178" t="s">
        <v>2811</v>
      </c>
      <c r="C1278" s="178" t="s">
        <v>927</v>
      </c>
      <c r="D1278" s="178" t="s">
        <v>2812</v>
      </c>
      <c r="E1278">
        <v>3090.6</v>
      </c>
      <c r="F1278">
        <v>463.59</v>
      </c>
      <c r="G1278">
        <v>3554.19</v>
      </c>
    </row>
    <row r="1279" spans="1:7" x14ac:dyDescent="0.35">
      <c r="A1279" s="178" t="s">
        <v>988</v>
      </c>
      <c r="B1279" s="178" t="s">
        <v>2813</v>
      </c>
      <c r="C1279" s="178" t="s">
        <v>927</v>
      </c>
      <c r="D1279" s="178" t="s">
        <v>57</v>
      </c>
      <c r="E1279">
        <v>2120.75</v>
      </c>
      <c r="F1279">
        <v>318.12</v>
      </c>
      <c r="G1279">
        <v>2438.87</v>
      </c>
    </row>
    <row r="1280" spans="1:7" x14ac:dyDescent="0.35">
      <c r="A1280" s="178" t="s">
        <v>793</v>
      </c>
      <c r="B1280" s="178" t="s">
        <v>2814</v>
      </c>
      <c r="C1280" s="178" t="s">
        <v>927</v>
      </c>
      <c r="D1280">
        <v>38726</v>
      </c>
      <c r="E1280">
        <v>47018.9</v>
      </c>
      <c r="F1280">
        <v>7052.84</v>
      </c>
      <c r="G1280">
        <v>54071.74</v>
      </c>
    </row>
    <row r="1281" spans="1:7" x14ac:dyDescent="0.35">
      <c r="A1281" s="178" t="s">
        <v>793</v>
      </c>
      <c r="B1281" s="178" t="s">
        <v>2815</v>
      </c>
      <c r="C1281" s="178" t="s">
        <v>927</v>
      </c>
      <c r="D1281">
        <v>38728</v>
      </c>
      <c r="E1281">
        <v>5984.6</v>
      </c>
      <c r="F1281">
        <v>897.69</v>
      </c>
      <c r="G1281">
        <v>6882.29</v>
      </c>
    </row>
    <row r="1282" spans="1:7" x14ac:dyDescent="0.35">
      <c r="A1282" s="178" t="s">
        <v>793</v>
      </c>
      <c r="B1282" s="178" t="s">
        <v>2816</v>
      </c>
      <c r="C1282" s="178" t="s">
        <v>927</v>
      </c>
      <c r="D1282">
        <v>38723</v>
      </c>
      <c r="E1282">
        <v>12652.3</v>
      </c>
      <c r="F1282">
        <v>1897.85</v>
      </c>
      <c r="G1282">
        <v>14550.15</v>
      </c>
    </row>
    <row r="1283" spans="1:7" x14ac:dyDescent="0.35">
      <c r="A1283" s="178" t="s">
        <v>793</v>
      </c>
      <c r="B1283" s="178" t="s">
        <v>2817</v>
      </c>
      <c r="C1283" s="178" t="s">
        <v>927</v>
      </c>
      <c r="D1283">
        <v>38729</v>
      </c>
      <c r="E1283">
        <v>4031.9</v>
      </c>
      <c r="F1283">
        <v>604.79</v>
      </c>
      <c r="G1283">
        <v>4636.6899999999996</v>
      </c>
    </row>
    <row r="1284" spans="1:7" x14ac:dyDescent="0.35">
      <c r="A1284" s="178" t="s">
        <v>1075</v>
      </c>
      <c r="B1284" s="178" t="s">
        <v>2818</v>
      </c>
      <c r="C1284" s="178" t="s">
        <v>927</v>
      </c>
      <c r="D1284" s="178" t="s">
        <v>57</v>
      </c>
      <c r="E1284">
        <v>13171.35</v>
      </c>
      <c r="F1284">
        <v>1975.71</v>
      </c>
      <c r="G1284">
        <v>15147.06</v>
      </c>
    </row>
    <row r="1285" spans="1:7" x14ac:dyDescent="0.35">
      <c r="A1285" s="178" t="s">
        <v>1930</v>
      </c>
      <c r="B1285" s="178" t="s">
        <v>2819</v>
      </c>
      <c r="C1285" s="178" t="s">
        <v>927</v>
      </c>
      <c r="D1285" s="178" t="s">
        <v>57</v>
      </c>
      <c r="E1285">
        <v>3231.3</v>
      </c>
      <c r="F1285">
        <v>484.7</v>
      </c>
      <c r="G1285">
        <v>3716</v>
      </c>
    </row>
    <row r="1286" spans="1:7" x14ac:dyDescent="0.35">
      <c r="A1286" s="178" t="s">
        <v>1118</v>
      </c>
      <c r="B1286" s="178" t="s">
        <v>2820</v>
      </c>
      <c r="C1286" s="178" t="s">
        <v>927</v>
      </c>
      <c r="D1286" s="178" t="s">
        <v>57</v>
      </c>
      <c r="E1286">
        <v>1281.8</v>
      </c>
      <c r="F1286">
        <v>192.27</v>
      </c>
      <c r="G1286">
        <v>1474.07</v>
      </c>
    </row>
    <row r="1287" spans="1:7" x14ac:dyDescent="0.35">
      <c r="A1287" s="178" t="s">
        <v>797</v>
      </c>
      <c r="B1287" s="178" t="s">
        <v>2821</v>
      </c>
      <c r="C1287" s="178" t="s">
        <v>927</v>
      </c>
      <c r="D1287" s="178" t="s">
        <v>2822</v>
      </c>
      <c r="E1287">
        <v>10270.15</v>
      </c>
      <c r="F1287">
        <v>1540.52</v>
      </c>
      <c r="G1287">
        <v>11810.67</v>
      </c>
    </row>
    <row r="1288" spans="1:7" x14ac:dyDescent="0.35">
      <c r="A1288" s="178" t="s">
        <v>1768</v>
      </c>
      <c r="B1288" s="178" t="s">
        <v>2823</v>
      </c>
      <c r="C1288" s="178" t="s">
        <v>927</v>
      </c>
      <c r="D1288" s="178" t="s">
        <v>57</v>
      </c>
      <c r="E1288">
        <v>7438.6</v>
      </c>
      <c r="F1288">
        <v>1115.79</v>
      </c>
      <c r="G1288">
        <v>8554.39</v>
      </c>
    </row>
    <row r="1289" spans="1:7" x14ac:dyDescent="0.35">
      <c r="A1289" s="178" t="s">
        <v>1303</v>
      </c>
      <c r="B1289" s="178" t="s">
        <v>2824</v>
      </c>
      <c r="C1289" s="178" t="s">
        <v>941</v>
      </c>
      <c r="D1289" s="178" t="s">
        <v>57</v>
      </c>
      <c r="E1289">
        <v>1317.9</v>
      </c>
      <c r="F1289">
        <v>197.69</v>
      </c>
      <c r="G1289">
        <v>1515.59</v>
      </c>
    </row>
    <row r="1290" spans="1:7" x14ac:dyDescent="0.35">
      <c r="A1290" s="178" t="s">
        <v>2597</v>
      </c>
      <c r="B1290" s="178" t="s">
        <v>2825</v>
      </c>
      <c r="C1290" s="178" t="s">
        <v>941</v>
      </c>
      <c r="D1290" s="178" t="s">
        <v>57</v>
      </c>
      <c r="E1290">
        <v>930.75</v>
      </c>
      <c r="F1290">
        <v>139.61000000000001</v>
      </c>
      <c r="G1290">
        <v>1070.3599999999999</v>
      </c>
    </row>
    <row r="1291" spans="1:7" x14ac:dyDescent="0.35">
      <c r="A1291" s="178" t="s">
        <v>997</v>
      </c>
      <c r="B1291" s="178" t="s">
        <v>2826</v>
      </c>
      <c r="C1291" s="178" t="s">
        <v>941</v>
      </c>
      <c r="D1291" s="178" t="s">
        <v>2827</v>
      </c>
      <c r="E1291">
        <v>924</v>
      </c>
      <c r="F1291">
        <v>138.6</v>
      </c>
      <c r="G1291">
        <v>1062.5999999999999</v>
      </c>
    </row>
    <row r="1292" spans="1:7" x14ac:dyDescent="0.35">
      <c r="A1292" s="178" t="s">
        <v>1159</v>
      </c>
      <c r="B1292" s="178" t="s">
        <v>2828</v>
      </c>
      <c r="C1292" s="178" t="s">
        <v>941</v>
      </c>
      <c r="D1292" s="178" t="s">
        <v>57</v>
      </c>
      <c r="E1292">
        <v>4573.8</v>
      </c>
      <c r="F1292">
        <v>686.07</v>
      </c>
      <c r="G1292">
        <v>5259.87</v>
      </c>
    </row>
    <row r="1293" spans="1:7" x14ac:dyDescent="0.35">
      <c r="A1293" s="178" t="s">
        <v>1342</v>
      </c>
      <c r="B1293" s="178" t="s">
        <v>2829</v>
      </c>
      <c r="C1293" s="178" t="s">
        <v>941</v>
      </c>
      <c r="D1293" s="178" t="s">
        <v>57</v>
      </c>
      <c r="E1293">
        <v>17782</v>
      </c>
      <c r="F1293">
        <v>2667.3</v>
      </c>
      <c r="G1293">
        <v>20449.3</v>
      </c>
    </row>
    <row r="1294" spans="1:7" x14ac:dyDescent="0.35">
      <c r="A1294" s="178" t="s">
        <v>2830</v>
      </c>
      <c r="B1294" s="178" t="s">
        <v>2831</v>
      </c>
      <c r="C1294" s="178" t="s">
        <v>941</v>
      </c>
      <c r="D1294" s="178" t="s">
        <v>57</v>
      </c>
      <c r="E1294">
        <v>1979.55</v>
      </c>
      <c r="F1294">
        <v>296.93</v>
      </c>
      <c r="G1294">
        <v>2276.48</v>
      </c>
    </row>
    <row r="1295" spans="1:7" x14ac:dyDescent="0.35">
      <c r="A1295" s="178" t="s">
        <v>2751</v>
      </c>
      <c r="B1295" s="178" t="s">
        <v>2832</v>
      </c>
      <c r="C1295" s="178" t="s">
        <v>941</v>
      </c>
      <c r="D1295" s="178" t="s">
        <v>57</v>
      </c>
      <c r="E1295">
        <v>6884.85</v>
      </c>
      <c r="F1295">
        <v>1032.73</v>
      </c>
      <c r="G1295">
        <v>7917.58</v>
      </c>
    </row>
    <row r="1296" spans="1:7" x14ac:dyDescent="0.35">
      <c r="A1296" s="178" t="s">
        <v>2833</v>
      </c>
      <c r="B1296" s="178" t="s">
        <v>2834</v>
      </c>
      <c r="C1296" s="178" t="s">
        <v>941</v>
      </c>
      <c r="D1296" s="178" t="s">
        <v>2835</v>
      </c>
      <c r="E1296">
        <v>1494.8</v>
      </c>
      <c r="F1296">
        <v>224.22</v>
      </c>
      <c r="G1296">
        <v>1719.02</v>
      </c>
    </row>
    <row r="1297" spans="1:7" x14ac:dyDescent="0.35">
      <c r="A1297" s="178" t="s">
        <v>961</v>
      </c>
      <c r="B1297" s="178" t="s">
        <v>2836</v>
      </c>
      <c r="C1297" s="178" t="s">
        <v>941</v>
      </c>
      <c r="D1297" s="178" t="s">
        <v>57</v>
      </c>
      <c r="E1297">
        <v>3052.25</v>
      </c>
      <c r="F1297">
        <v>457.84</v>
      </c>
      <c r="G1297">
        <v>3510.09</v>
      </c>
    </row>
    <row r="1298" spans="1:7" x14ac:dyDescent="0.35">
      <c r="A1298" s="178" t="s">
        <v>2837</v>
      </c>
      <c r="B1298" s="178" t="s">
        <v>2838</v>
      </c>
      <c r="C1298" s="178" t="s">
        <v>941</v>
      </c>
      <c r="D1298" s="178" t="s">
        <v>57</v>
      </c>
      <c r="E1298">
        <v>1215.45</v>
      </c>
      <c r="F1298">
        <v>182.32</v>
      </c>
      <c r="G1298">
        <v>1397.77</v>
      </c>
    </row>
    <row r="1299" spans="1:7" x14ac:dyDescent="0.35">
      <c r="A1299" s="178" t="s">
        <v>873</v>
      </c>
      <c r="B1299" s="178" t="s">
        <v>2839</v>
      </c>
      <c r="C1299" s="178" t="s">
        <v>941</v>
      </c>
      <c r="D1299" s="178" t="s">
        <v>2244</v>
      </c>
      <c r="E1299">
        <v>1426.35</v>
      </c>
      <c r="F1299">
        <v>213.95</v>
      </c>
      <c r="G1299">
        <v>1640.3</v>
      </c>
    </row>
    <row r="1300" spans="1:7" x14ac:dyDescent="0.35">
      <c r="A1300" s="178" t="s">
        <v>1834</v>
      </c>
      <c r="B1300" s="178" t="s">
        <v>2840</v>
      </c>
      <c r="C1300" s="178" t="s">
        <v>941</v>
      </c>
      <c r="D1300" s="178" t="s">
        <v>57</v>
      </c>
      <c r="E1300">
        <v>908.85</v>
      </c>
      <c r="F1300">
        <v>136.33000000000001</v>
      </c>
      <c r="G1300">
        <v>1045.18</v>
      </c>
    </row>
    <row r="1301" spans="1:7" x14ac:dyDescent="0.35">
      <c r="A1301" s="178" t="s">
        <v>932</v>
      </c>
      <c r="B1301" s="178" t="s">
        <v>2841</v>
      </c>
      <c r="C1301" s="178" t="s">
        <v>941</v>
      </c>
      <c r="D1301" s="178" t="s">
        <v>57</v>
      </c>
      <c r="E1301">
        <v>674.4</v>
      </c>
      <c r="F1301">
        <v>101.16</v>
      </c>
      <c r="G1301">
        <v>775.56</v>
      </c>
    </row>
    <row r="1302" spans="1:7" x14ac:dyDescent="0.35">
      <c r="A1302" s="178" t="s">
        <v>771</v>
      </c>
      <c r="B1302" s="178" t="s">
        <v>2842</v>
      </c>
      <c r="C1302" s="178" t="s">
        <v>941</v>
      </c>
      <c r="D1302" s="178" t="s">
        <v>57</v>
      </c>
      <c r="E1302">
        <v>2595.1999999999998</v>
      </c>
      <c r="F1302">
        <v>389.28</v>
      </c>
      <c r="G1302">
        <v>2984.48</v>
      </c>
    </row>
    <row r="1303" spans="1:7" x14ac:dyDescent="0.35">
      <c r="A1303" s="178" t="s">
        <v>1039</v>
      </c>
      <c r="B1303" s="178" t="s">
        <v>2843</v>
      </c>
      <c r="C1303" s="178" t="s">
        <v>941</v>
      </c>
      <c r="D1303" s="178" t="s">
        <v>57</v>
      </c>
      <c r="E1303">
        <v>21337.85</v>
      </c>
      <c r="F1303">
        <v>3200.68</v>
      </c>
      <c r="G1303">
        <v>24538.53</v>
      </c>
    </row>
    <row r="1304" spans="1:7" x14ac:dyDescent="0.35">
      <c r="A1304" s="178" t="s">
        <v>1407</v>
      </c>
      <c r="B1304" s="178" t="s">
        <v>2844</v>
      </c>
      <c r="C1304" s="178" t="s">
        <v>941</v>
      </c>
      <c r="D1304" s="178" t="s">
        <v>57</v>
      </c>
      <c r="E1304">
        <v>3625.2</v>
      </c>
      <c r="F1304">
        <v>543.78</v>
      </c>
      <c r="G1304">
        <v>4168.9799999999996</v>
      </c>
    </row>
    <row r="1305" spans="1:7" x14ac:dyDescent="0.35">
      <c r="A1305" s="178" t="s">
        <v>2845</v>
      </c>
      <c r="B1305" s="178" t="s">
        <v>2846</v>
      </c>
      <c r="C1305" s="178" t="s">
        <v>941</v>
      </c>
      <c r="D1305" s="178" t="s">
        <v>2847</v>
      </c>
      <c r="E1305">
        <v>2588.3000000000002</v>
      </c>
      <c r="F1305">
        <v>388.25</v>
      </c>
      <c r="G1305">
        <v>2976.55</v>
      </c>
    </row>
    <row r="1306" spans="1:7" x14ac:dyDescent="0.35">
      <c r="A1306" s="178" t="s">
        <v>961</v>
      </c>
      <c r="B1306" s="178" t="s">
        <v>2848</v>
      </c>
      <c r="C1306" s="178" t="s">
        <v>941</v>
      </c>
      <c r="D1306" s="178" t="s">
        <v>57</v>
      </c>
      <c r="E1306">
        <v>5900</v>
      </c>
      <c r="F1306">
        <v>885</v>
      </c>
      <c r="G1306">
        <v>6785</v>
      </c>
    </row>
    <row r="1307" spans="1:7" x14ac:dyDescent="0.35">
      <c r="A1307" s="178" t="s">
        <v>1337</v>
      </c>
      <c r="B1307" s="178" t="s">
        <v>2849</v>
      </c>
      <c r="C1307" s="178" t="s">
        <v>941</v>
      </c>
      <c r="D1307" s="178" t="s">
        <v>1339</v>
      </c>
      <c r="E1307">
        <v>8439.1</v>
      </c>
      <c r="F1307">
        <v>1265.8699999999999</v>
      </c>
      <c r="G1307">
        <v>9704.9699999999993</v>
      </c>
    </row>
    <row r="1308" spans="1:7" x14ac:dyDescent="0.35">
      <c r="A1308" s="178" t="s">
        <v>2240</v>
      </c>
      <c r="B1308" s="178" t="s">
        <v>2850</v>
      </c>
      <c r="C1308" s="178" t="s">
        <v>941</v>
      </c>
      <c r="D1308" s="178" t="s">
        <v>57</v>
      </c>
      <c r="E1308">
        <v>604.35</v>
      </c>
      <c r="F1308">
        <v>90.65</v>
      </c>
      <c r="G1308">
        <v>695</v>
      </c>
    </row>
    <row r="1309" spans="1:7" x14ac:dyDescent="0.35">
      <c r="A1309" s="178" t="s">
        <v>1045</v>
      </c>
      <c r="B1309" s="178" t="s">
        <v>2851</v>
      </c>
      <c r="C1309" s="178" t="s">
        <v>941</v>
      </c>
      <c r="D1309" s="178" t="s">
        <v>57</v>
      </c>
      <c r="E1309">
        <v>333.5</v>
      </c>
      <c r="F1309">
        <v>50.03</v>
      </c>
      <c r="G1309">
        <v>383.53</v>
      </c>
    </row>
    <row r="1310" spans="1:7" x14ac:dyDescent="0.35">
      <c r="A1310" s="178" t="s">
        <v>2852</v>
      </c>
      <c r="B1310" s="178" t="s">
        <v>2853</v>
      </c>
      <c r="C1310" s="178" t="s">
        <v>941</v>
      </c>
      <c r="D1310" s="178" t="s">
        <v>57</v>
      </c>
      <c r="E1310">
        <v>2616.6</v>
      </c>
      <c r="F1310">
        <v>392.49</v>
      </c>
      <c r="G1310">
        <v>3009.09</v>
      </c>
    </row>
    <row r="1311" spans="1:7" x14ac:dyDescent="0.35">
      <c r="A1311" s="178" t="s">
        <v>939</v>
      </c>
      <c r="B1311" s="178" t="s">
        <v>2854</v>
      </c>
      <c r="C1311" s="178" t="s">
        <v>941</v>
      </c>
      <c r="D1311" s="178" t="s">
        <v>57</v>
      </c>
      <c r="E1311">
        <v>5600.65</v>
      </c>
      <c r="F1311">
        <v>840.1</v>
      </c>
      <c r="G1311">
        <v>6440.75</v>
      </c>
    </row>
    <row r="1312" spans="1:7" x14ac:dyDescent="0.35">
      <c r="A1312" s="178" t="s">
        <v>1133</v>
      </c>
      <c r="B1312" s="178" t="s">
        <v>2855</v>
      </c>
      <c r="C1312" s="178" t="s">
        <v>941</v>
      </c>
      <c r="D1312" s="178" t="s">
        <v>2856</v>
      </c>
      <c r="E1312">
        <v>34293.599999999999</v>
      </c>
      <c r="F1312">
        <v>5144.04</v>
      </c>
      <c r="G1312">
        <v>39437.64</v>
      </c>
    </row>
    <row r="1313" spans="1:7" x14ac:dyDescent="0.35">
      <c r="A1313" s="178" t="s">
        <v>1877</v>
      </c>
      <c r="B1313" s="178" t="s">
        <v>2857</v>
      </c>
      <c r="C1313" s="178" t="s">
        <v>941</v>
      </c>
      <c r="D1313" s="178" t="s">
        <v>57</v>
      </c>
      <c r="E1313">
        <v>4646.95</v>
      </c>
      <c r="F1313">
        <v>697.04</v>
      </c>
      <c r="G1313">
        <v>5343.99</v>
      </c>
    </row>
    <row r="1314" spans="1:7" x14ac:dyDescent="0.35">
      <c r="A1314" s="178" t="s">
        <v>2858</v>
      </c>
      <c r="B1314" s="178" t="s">
        <v>2859</v>
      </c>
      <c r="C1314" s="178" t="s">
        <v>941</v>
      </c>
      <c r="D1314" s="178" t="s">
        <v>2860</v>
      </c>
      <c r="E1314">
        <v>13712</v>
      </c>
      <c r="F1314">
        <v>2056.8000000000002</v>
      </c>
      <c r="G1314">
        <v>15768.8</v>
      </c>
    </row>
    <row r="1315" spans="1:7" x14ac:dyDescent="0.35">
      <c r="A1315" s="178" t="s">
        <v>1391</v>
      </c>
      <c r="B1315" s="178" t="s">
        <v>2861</v>
      </c>
      <c r="C1315" s="178" t="s">
        <v>941</v>
      </c>
      <c r="D1315" s="178" t="s">
        <v>57</v>
      </c>
      <c r="E1315">
        <v>7303.45</v>
      </c>
      <c r="F1315">
        <v>1095.52</v>
      </c>
      <c r="G1315">
        <v>8398.9699999999993</v>
      </c>
    </row>
    <row r="1316" spans="1:7" x14ac:dyDescent="0.35">
      <c r="A1316" s="178" t="s">
        <v>2862</v>
      </c>
      <c r="B1316" s="178" t="s">
        <v>2863</v>
      </c>
      <c r="C1316" s="178" t="s">
        <v>941</v>
      </c>
      <c r="D1316" s="178" t="s">
        <v>57</v>
      </c>
      <c r="E1316">
        <v>3160</v>
      </c>
      <c r="F1316">
        <v>474</v>
      </c>
      <c r="G1316">
        <v>3634</v>
      </c>
    </row>
    <row r="1317" spans="1:7" x14ac:dyDescent="0.35">
      <c r="A1317" s="178" t="s">
        <v>1006</v>
      </c>
      <c r="B1317" s="178" t="s">
        <v>2864</v>
      </c>
      <c r="C1317" s="178" t="s">
        <v>941</v>
      </c>
      <c r="D1317" s="178" t="s">
        <v>57</v>
      </c>
      <c r="E1317">
        <v>1547.7</v>
      </c>
      <c r="F1317">
        <v>232.16</v>
      </c>
      <c r="G1317">
        <v>1779.86</v>
      </c>
    </row>
    <row r="1318" spans="1:7" x14ac:dyDescent="0.35">
      <c r="A1318" s="178" t="s">
        <v>2865</v>
      </c>
      <c r="B1318" s="178" t="s">
        <v>2866</v>
      </c>
      <c r="C1318" s="178" t="s">
        <v>941</v>
      </c>
      <c r="D1318" s="178" t="s">
        <v>57</v>
      </c>
      <c r="E1318">
        <v>10336.549999999999</v>
      </c>
      <c r="F1318">
        <v>1550.49</v>
      </c>
      <c r="G1318">
        <v>11887.04</v>
      </c>
    </row>
    <row r="1319" spans="1:7" x14ac:dyDescent="0.35">
      <c r="A1319" s="178" t="s">
        <v>825</v>
      </c>
      <c r="B1319" s="178" t="s">
        <v>2867</v>
      </c>
      <c r="C1319" s="178" t="s">
        <v>941</v>
      </c>
      <c r="D1319" s="178" t="s">
        <v>57</v>
      </c>
      <c r="E1319">
        <v>6776.2</v>
      </c>
      <c r="F1319">
        <v>1016.43</v>
      </c>
      <c r="G1319">
        <v>7792.63</v>
      </c>
    </row>
    <row r="1320" spans="1:7" x14ac:dyDescent="0.35">
      <c r="A1320" s="178" t="s">
        <v>1653</v>
      </c>
      <c r="B1320" s="178" t="s">
        <v>2868</v>
      </c>
      <c r="C1320" s="178" t="s">
        <v>941</v>
      </c>
      <c r="D1320" s="178" t="s">
        <v>57</v>
      </c>
      <c r="E1320">
        <v>1395.15</v>
      </c>
      <c r="F1320">
        <v>209.27</v>
      </c>
      <c r="G1320">
        <v>1604.42</v>
      </c>
    </row>
    <row r="1321" spans="1:7" x14ac:dyDescent="0.35">
      <c r="A1321" s="178" t="s">
        <v>2869</v>
      </c>
      <c r="B1321" s="178" t="s">
        <v>2870</v>
      </c>
      <c r="C1321" s="178" t="s">
        <v>941</v>
      </c>
      <c r="D1321" s="178" t="s">
        <v>57</v>
      </c>
      <c r="E1321">
        <v>2205.9</v>
      </c>
      <c r="F1321">
        <v>330.89</v>
      </c>
      <c r="G1321">
        <v>2536.79</v>
      </c>
    </row>
    <row r="1322" spans="1:7" x14ac:dyDescent="0.35">
      <c r="A1322" s="178" t="s">
        <v>988</v>
      </c>
      <c r="B1322" s="178" t="s">
        <v>2871</v>
      </c>
      <c r="C1322" s="178" t="s">
        <v>941</v>
      </c>
      <c r="D1322" s="178" t="s">
        <v>57</v>
      </c>
      <c r="E1322">
        <v>5554.8</v>
      </c>
      <c r="F1322">
        <v>833.22</v>
      </c>
      <c r="G1322">
        <v>6388.02</v>
      </c>
    </row>
    <row r="1323" spans="1:7" x14ac:dyDescent="0.35">
      <c r="A1323" s="178" t="s">
        <v>741</v>
      </c>
      <c r="B1323" s="178" t="s">
        <v>2872</v>
      </c>
      <c r="C1323" s="178" t="s">
        <v>941</v>
      </c>
      <c r="D1323" s="178" t="s">
        <v>57</v>
      </c>
      <c r="E1323">
        <v>8691.25</v>
      </c>
      <c r="F1323">
        <v>1303.69</v>
      </c>
      <c r="G1323">
        <v>9994.94</v>
      </c>
    </row>
    <row r="1324" spans="1:7" x14ac:dyDescent="0.35">
      <c r="A1324" s="178" t="s">
        <v>2873</v>
      </c>
      <c r="B1324" s="178" t="s">
        <v>2874</v>
      </c>
      <c r="C1324" s="178" t="s">
        <v>941</v>
      </c>
      <c r="D1324" s="178" t="s">
        <v>57</v>
      </c>
      <c r="E1324">
        <v>5000</v>
      </c>
      <c r="F1324">
        <v>750</v>
      </c>
      <c r="G1324">
        <v>5750</v>
      </c>
    </row>
    <row r="1325" spans="1:7" x14ac:dyDescent="0.35">
      <c r="A1325" s="178" t="s">
        <v>793</v>
      </c>
      <c r="B1325" s="178" t="s">
        <v>2875</v>
      </c>
      <c r="C1325" s="178" t="s">
        <v>941</v>
      </c>
      <c r="D1325">
        <v>38619</v>
      </c>
      <c r="E1325">
        <v>120590</v>
      </c>
      <c r="F1325">
        <v>18088.53</v>
      </c>
      <c r="G1325">
        <v>138678.53</v>
      </c>
    </row>
    <row r="1326" spans="1:7" x14ac:dyDescent="0.35">
      <c r="A1326" s="178" t="s">
        <v>1140</v>
      </c>
      <c r="B1326" s="178" t="s">
        <v>2876</v>
      </c>
      <c r="C1326" s="178" t="s">
        <v>941</v>
      </c>
      <c r="D1326" s="178" t="s">
        <v>57</v>
      </c>
      <c r="E1326">
        <v>3125</v>
      </c>
      <c r="F1326">
        <v>468.75</v>
      </c>
      <c r="G1326">
        <v>3593.75</v>
      </c>
    </row>
    <row r="1327" spans="1:7" x14ac:dyDescent="0.35">
      <c r="A1327" s="178" t="s">
        <v>2795</v>
      </c>
      <c r="B1327" s="178" t="s">
        <v>2877</v>
      </c>
      <c r="C1327" s="178" t="s">
        <v>941</v>
      </c>
      <c r="D1327" s="178" t="s">
        <v>57</v>
      </c>
      <c r="E1327">
        <v>1355.85</v>
      </c>
      <c r="F1327">
        <v>203.38</v>
      </c>
      <c r="G1327">
        <v>1559.23</v>
      </c>
    </row>
    <row r="1328" spans="1:7" x14ac:dyDescent="0.35">
      <c r="A1328" s="178" t="s">
        <v>2878</v>
      </c>
      <c r="B1328" s="178" t="s">
        <v>2879</v>
      </c>
      <c r="C1328" s="178" t="s">
        <v>941</v>
      </c>
      <c r="D1328" s="178" t="s">
        <v>57</v>
      </c>
      <c r="E1328">
        <v>2566.44</v>
      </c>
      <c r="F1328">
        <v>384.97</v>
      </c>
      <c r="G1328">
        <v>2951.41</v>
      </c>
    </row>
    <row r="1329" spans="1:7" x14ac:dyDescent="0.35">
      <c r="A1329" s="178" t="s">
        <v>2880</v>
      </c>
      <c r="B1329" s="178" t="s">
        <v>2881</v>
      </c>
      <c r="C1329" s="178" t="s">
        <v>941</v>
      </c>
      <c r="D1329" s="178" t="s">
        <v>57</v>
      </c>
      <c r="E1329">
        <v>4226.2</v>
      </c>
      <c r="F1329">
        <v>633.92999999999995</v>
      </c>
      <c r="G1329">
        <v>4860.13</v>
      </c>
    </row>
    <row r="1330" spans="1:7" x14ac:dyDescent="0.35">
      <c r="A1330" s="178" t="s">
        <v>1510</v>
      </c>
      <c r="B1330" s="178" t="s">
        <v>2882</v>
      </c>
      <c r="C1330" s="178" t="s">
        <v>941</v>
      </c>
      <c r="D1330" s="178" t="s">
        <v>57</v>
      </c>
      <c r="E1330">
        <v>87387.75</v>
      </c>
      <c r="F1330">
        <v>13108.16</v>
      </c>
      <c r="G1330">
        <v>100495.91</v>
      </c>
    </row>
    <row r="1331" spans="1:7" x14ac:dyDescent="0.35">
      <c r="A1331" s="178" t="s">
        <v>1231</v>
      </c>
      <c r="B1331" s="178" t="s">
        <v>2883</v>
      </c>
      <c r="C1331" s="178" t="s">
        <v>941</v>
      </c>
      <c r="D1331" s="178" t="s">
        <v>1233</v>
      </c>
      <c r="E1331">
        <v>2005</v>
      </c>
      <c r="F1331">
        <v>300.75</v>
      </c>
      <c r="G1331">
        <v>2305.75</v>
      </c>
    </row>
    <row r="1332" spans="1:7" x14ac:dyDescent="0.35">
      <c r="A1332" s="178" t="s">
        <v>1391</v>
      </c>
      <c r="B1332" s="178" t="s">
        <v>2884</v>
      </c>
      <c r="C1332" s="178" t="s">
        <v>941</v>
      </c>
      <c r="D1332" s="178" t="s">
        <v>57</v>
      </c>
      <c r="E1332">
        <v>12774</v>
      </c>
      <c r="F1332">
        <v>1916.1</v>
      </c>
      <c r="G1332">
        <v>14690.1</v>
      </c>
    </row>
    <row r="1333" spans="1:7" x14ac:dyDescent="0.35">
      <c r="A1333" s="178" t="s">
        <v>1066</v>
      </c>
      <c r="B1333" s="178" t="s">
        <v>2885</v>
      </c>
      <c r="C1333" s="178" t="s">
        <v>941</v>
      </c>
      <c r="D1333" s="178" t="s">
        <v>57</v>
      </c>
      <c r="E1333">
        <v>3200</v>
      </c>
      <c r="F1333">
        <v>480</v>
      </c>
      <c r="G1333">
        <v>3680</v>
      </c>
    </row>
    <row r="1334" spans="1:7" x14ac:dyDescent="0.35">
      <c r="A1334" s="178" t="s">
        <v>2218</v>
      </c>
      <c r="B1334" s="178" t="s">
        <v>2886</v>
      </c>
      <c r="C1334" s="178" t="s">
        <v>941</v>
      </c>
      <c r="D1334" s="178" t="s">
        <v>57</v>
      </c>
      <c r="E1334">
        <v>1229.2</v>
      </c>
      <c r="F1334">
        <v>184.38</v>
      </c>
      <c r="G1334">
        <v>1413.58</v>
      </c>
    </row>
    <row r="1335" spans="1:7" x14ac:dyDescent="0.35">
      <c r="A1335" s="178" t="s">
        <v>860</v>
      </c>
      <c r="B1335" s="178" t="s">
        <v>2887</v>
      </c>
      <c r="C1335" s="178" t="s">
        <v>941</v>
      </c>
      <c r="D1335" s="178" t="s">
        <v>57</v>
      </c>
      <c r="E1335">
        <v>4475.8500000000004</v>
      </c>
      <c r="F1335">
        <v>671.38</v>
      </c>
      <c r="G1335">
        <v>5147.2299999999996</v>
      </c>
    </row>
    <row r="1336" spans="1:7" x14ac:dyDescent="0.35">
      <c r="A1336" s="178" t="s">
        <v>1550</v>
      </c>
      <c r="B1336" s="178" t="s">
        <v>2888</v>
      </c>
      <c r="C1336" s="178" t="s">
        <v>941</v>
      </c>
      <c r="D1336" s="178" t="s">
        <v>57</v>
      </c>
      <c r="E1336">
        <v>1867.4</v>
      </c>
      <c r="F1336">
        <v>280.11</v>
      </c>
      <c r="G1336">
        <v>2147.5100000000002</v>
      </c>
    </row>
    <row r="1337" spans="1:7" x14ac:dyDescent="0.35">
      <c r="A1337" s="178" t="s">
        <v>1529</v>
      </c>
      <c r="B1337" s="178" t="s">
        <v>2889</v>
      </c>
      <c r="C1337" s="178" t="s">
        <v>941</v>
      </c>
      <c r="D1337" s="178" t="s">
        <v>57</v>
      </c>
      <c r="E1337">
        <v>500</v>
      </c>
      <c r="F1337">
        <v>75</v>
      </c>
      <c r="G1337">
        <v>575</v>
      </c>
    </row>
    <row r="1338" spans="1:7" x14ac:dyDescent="0.35">
      <c r="A1338" s="178" t="s">
        <v>1303</v>
      </c>
      <c r="B1338" s="178" t="s">
        <v>2890</v>
      </c>
      <c r="C1338" s="178" t="s">
        <v>954</v>
      </c>
      <c r="D1338" s="178" t="s">
        <v>57</v>
      </c>
      <c r="E1338">
        <v>6092.3</v>
      </c>
      <c r="F1338">
        <v>913.85</v>
      </c>
      <c r="G1338">
        <v>7006.15</v>
      </c>
    </row>
    <row r="1339" spans="1:7" x14ac:dyDescent="0.35">
      <c r="A1339" s="178" t="s">
        <v>1217</v>
      </c>
      <c r="B1339" s="178" t="s">
        <v>2891</v>
      </c>
      <c r="C1339" s="178" t="s">
        <v>954</v>
      </c>
      <c r="D1339" s="178" t="s">
        <v>57</v>
      </c>
      <c r="E1339">
        <v>5437.95</v>
      </c>
      <c r="F1339">
        <v>815.7</v>
      </c>
      <c r="G1339">
        <v>6253.65</v>
      </c>
    </row>
    <row r="1340" spans="1:7" x14ac:dyDescent="0.35">
      <c r="A1340" s="178" t="s">
        <v>1543</v>
      </c>
      <c r="B1340" s="178" t="s">
        <v>2892</v>
      </c>
      <c r="C1340" s="178" t="s">
        <v>954</v>
      </c>
      <c r="D1340" s="178" t="s">
        <v>57</v>
      </c>
      <c r="E1340">
        <v>1398.7</v>
      </c>
      <c r="F1340">
        <v>209.81</v>
      </c>
      <c r="G1340">
        <v>1608.51</v>
      </c>
    </row>
    <row r="1341" spans="1:7" x14ac:dyDescent="0.35">
      <c r="A1341" s="178" t="s">
        <v>2893</v>
      </c>
      <c r="B1341" s="178" t="s">
        <v>2894</v>
      </c>
      <c r="C1341" s="178" t="s">
        <v>954</v>
      </c>
      <c r="D1341" s="178" t="s">
        <v>57</v>
      </c>
      <c r="E1341">
        <v>1930</v>
      </c>
      <c r="F1341">
        <v>289.5</v>
      </c>
      <c r="G1341">
        <v>2219.5</v>
      </c>
    </row>
    <row r="1342" spans="1:7" x14ac:dyDescent="0.35">
      <c r="A1342" s="178" t="s">
        <v>750</v>
      </c>
      <c r="B1342" s="178" t="s">
        <v>2895</v>
      </c>
      <c r="C1342" s="178" t="s">
        <v>954</v>
      </c>
      <c r="D1342" s="178" t="s">
        <v>2896</v>
      </c>
      <c r="E1342">
        <v>2442.4</v>
      </c>
      <c r="F1342">
        <v>366.36</v>
      </c>
      <c r="G1342">
        <v>2808.76</v>
      </c>
    </row>
    <row r="1343" spans="1:7" x14ac:dyDescent="0.35">
      <c r="A1343" s="178" t="s">
        <v>1321</v>
      </c>
      <c r="B1343" s="178" t="s">
        <v>2897</v>
      </c>
      <c r="C1343" s="178" t="s">
        <v>954</v>
      </c>
      <c r="D1343" s="178" t="s">
        <v>57</v>
      </c>
      <c r="E1343">
        <v>1516.8</v>
      </c>
      <c r="F1343">
        <v>227.52</v>
      </c>
      <c r="G1343">
        <v>1744.32</v>
      </c>
    </row>
    <row r="1344" spans="1:7" x14ac:dyDescent="0.35">
      <c r="A1344" s="178" t="s">
        <v>1219</v>
      </c>
      <c r="B1344" s="178" t="s">
        <v>2898</v>
      </c>
      <c r="C1344" s="178" t="s">
        <v>954</v>
      </c>
      <c r="D1344" s="178" t="s">
        <v>57</v>
      </c>
      <c r="E1344">
        <v>12377.5</v>
      </c>
      <c r="F1344">
        <v>1856.63</v>
      </c>
      <c r="G1344">
        <v>14234.13</v>
      </c>
    </row>
    <row r="1345" spans="1:7" x14ac:dyDescent="0.35">
      <c r="A1345" s="178" t="s">
        <v>958</v>
      </c>
      <c r="B1345" s="178" t="s">
        <v>2899</v>
      </c>
      <c r="C1345" s="178" t="s">
        <v>954</v>
      </c>
      <c r="D1345" s="178" t="s">
        <v>57</v>
      </c>
      <c r="E1345">
        <v>2224</v>
      </c>
      <c r="F1345">
        <v>333.6</v>
      </c>
      <c r="G1345">
        <v>2557.6</v>
      </c>
    </row>
    <row r="1346" spans="1:7" x14ac:dyDescent="0.35">
      <c r="A1346" s="178" t="s">
        <v>2900</v>
      </c>
      <c r="B1346" s="178" t="s">
        <v>2901</v>
      </c>
      <c r="C1346" s="178" t="s">
        <v>954</v>
      </c>
      <c r="D1346" s="178" t="s">
        <v>2902</v>
      </c>
      <c r="E1346">
        <v>9881.25</v>
      </c>
      <c r="F1346">
        <v>1482.19</v>
      </c>
      <c r="G1346">
        <v>11363.44</v>
      </c>
    </row>
    <row r="1347" spans="1:7" x14ac:dyDescent="0.35">
      <c r="A1347" s="178" t="s">
        <v>2903</v>
      </c>
      <c r="B1347" s="178" t="s">
        <v>2904</v>
      </c>
      <c r="C1347" s="178" t="s">
        <v>954</v>
      </c>
      <c r="D1347" s="178" t="s">
        <v>1549</v>
      </c>
      <c r="E1347">
        <v>691.65</v>
      </c>
      <c r="F1347">
        <v>103.75</v>
      </c>
      <c r="G1347">
        <v>795.4</v>
      </c>
    </row>
    <row r="1348" spans="1:7" x14ac:dyDescent="0.35">
      <c r="A1348" s="178" t="s">
        <v>2905</v>
      </c>
      <c r="B1348" s="178" t="s">
        <v>2906</v>
      </c>
      <c r="C1348" s="178" t="s">
        <v>954</v>
      </c>
      <c r="D1348" s="178" t="s">
        <v>57</v>
      </c>
      <c r="E1348">
        <v>6896</v>
      </c>
      <c r="F1348">
        <v>1034.4000000000001</v>
      </c>
      <c r="G1348">
        <v>7930.4</v>
      </c>
    </row>
    <row r="1349" spans="1:7" x14ac:dyDescent="0.35">
      <c r="A1349" s="178" t="s">
        <v>2907</v>
      </c>
      <c r="B1349" s="178" t="s">
        <v>2908</v>
      </c>
      <c r="C1349" s="178" t="s">
        <v>954</v>
      </c>
      <c r="D1349" s="178" t="s">
        <v>2909</v>
      </c>
      <c r="E1349">
        <v>6387.8</v>
      </c>
      <c r="F1349">
        <v>958.17</v>
      </c>
      <c r="G1349">
        <v>7345.97</v>
      </c>
    </row>
    <row r="1350" spans="1:7" x14ac:dyDescent="0.35">
      <c r="A1350" s="178" t="s">
        <v>2910</v>
      </c>
      <c r="B1350" s="178" t="s">
        <v>2911</v>
      </c>
      <c r="C1350" s="178" t="s">
        <v>954</v>
      </c>
      <c r="D1350" s="178" t="s">
        <v>57</v>
      </c>
      <c r="E1350">
        <v>1502.5</v>
      </c>
      <c r="F1350">
        <v>225.38</v>
      </c>
      <c r="G1350">
        <v>1727.88</v>
      </c>
    </row>
    <row r="1351" spans="1:7" x14ac:dyDescent="0.35">
      <c r="A1351" s="178" t="s">
        <v>1183</v>
      </c>
      <c r="B1351" s="178" t="s">
        <v>2912</v>
      </c>
      <c r="C1351" s="178" t="s">
        <v>954</v>
      </c>
      <c r="D1351" s="178" t="s">
        <v>57</v>
      </c>
      <c r="E1351">
        <v>683.35</v>
      </c>
      <c r="F1351">
        <v>102.5</v>
      </c>
      <c r="G1351">
        <v>785.85</v>
      </c>
    </row>
    <row r="1352" spans="1:7" x14ac:dyDescent="0.35">
      <c r="A1352" s="178" t="s">
        <v>2913</v>
      </c>
      <c r="B1352" s="178" t="s">
        <v>2914</v>
      </c>
      <c r="C1352" s="178" t="s">
        <v>954</v>
      </c>
      <c r="D1352" s="178" t="s">
        <v>57</v>
      </c>
      <c r="E1352">
        <v>6716.25</v>
      </c>
      <c r="F1352">
        <v>1007.44</v>
      </c>
      <c r="G1352">
        <v>7723.69</v>
      </c>
    </row>
    <row r="1353" spans="1:7" x14ac:dyDescent="0.35">
      <c r="A1353" s="178" t="s">
        <v>2230</v>
      </c>
      <c r="B1353" s="178" t="s">
        <v>2915</v>
      </c>
      <c r="C1353" s="178" t="s">
        <v>954</v>
      </c>
      <c r="D1353" s="178" t="s">
        <v>2916</v>
      </c>
      <c r="E1353">
        <v>12567.65</v>
      </c>
      <c r="F1353">
        <v>1885.16</v>
      </c>
      <c r="G1353">
        <v>14452.81</v>
      </c>
    </row>
    <row r="1354" spans="1:7" x14ac:dyDescent="0.35">
      <c r="A1354" s="178" t="s">
        <v>1720</v>
      </c>
      <c r="B1354" s="178" t="s">
        <v>2917</v>
      </c>
      <c r="C1354" s="178" t="s">
        <v>954</v>
      </c>
      <c r="D1354" s="178" t="s">
        <v>2918</v>
      </c>
      <c r="E1354">
        <v>2187</v>
      </c>
      <c r="F1354">
        <v>328.05</v>
      </c>
      <c r="G1354">
        <v>2515.0500000000002</v>
      </c>
    </row>
    <row r="1355" spans="1:7" x14ac:dyDescent="0.35">
      <c r="A1355" s="178" t="s">
        <v>2919</v>
      </c>
      <c r="B1355" s="178" t="s">
        <v>2920</v>
      </c>
      <c r="C1355" s="178" t="s">
        <v>954</v>
      </c>
      <c r="D1355" s="178" t="s">
        <v>57</v>
      </c>
      <c r="E1355">
        <v>2887.2</v>
      </c>
      <c r="F1355">
        <v>433.08</v>
      </c>
      <c r="G1355">
        <v>3320.28</v>
      </c>
    </row>
    <row r="1356" spans="1:7" x14ac:dyDescent="0.35">
      <c r="A1356" s="178" t="s">
        <v>1440</v>
      </c>
      <c r="B1356" s="178" t="s">
        <v>2921</v>
      </c>
      <c r="C1356" s="178" t="s">
        <v>954</v>
      </c>
      <c r="D1356" s="178" t="s">
        <v>57</v>
      </c>
      <c r="E1356">
        <v>7037.1</v>
      </c>
      <c r="F1356">
        <v>1055.57</v>
      </c>
      <c r="G1356">
        <v>8092.67</v>
      </c>
    </row>
    <row r="1357" spans="1:7" x14ac:dyDescent="0.35">
      <c r="A1357" s="178" t="s">
        <v>929</v>
      </c>
      <c r="B1357" s="178" t="s">
        <v>2922</v>
      </c>
      <c r="C1357" s="178" t="s">
        <v>954</v>
      </c>
      <c r="D1357" s="178" t="s">
        <v>1316</v>
      </c>
      <c r="E1357">
        <v>15151.5</v>
      </c>
      <c r="F1357">
        <v>2272.73</v>
      </c>
      <c r="G1357">
        <v>17424.23</v>
      </c>
    </row>
    <row r="1358" spans="1:7" x14ac:dyDescent="0.35">
      <c r="A1358" s="178" t="s">
        <v>2923</v>
      </c>
      <c r="B1358" s="178" t="s">
        <v>2924</v>
      </c>
      <c r="C1358" s="178" t="s">
        <v>954</v>
      </c>
      <c r="D1358" s="178" t="s">
        <v>57</v>
      </c>
      <c r="E1358">
        <v>12378.1</v>
      </c>
      <c r="F1358">
        <v>1856.74</v>
      </c>
      <c r="G1358">
        <v>14234.84</v>
      </c>
    </row>
    <row r="1359" spans="1:7" x14ac:dyDescent="0.35">
      <c r="A1359" s="178" t="s">
        <v>737</v>
      </c>
      <c r="B1359" s="178" t="s">
        <v>2925</v>
      </c>
      <c r="C1359" s="178" t="s">
        <v>954</v>
      </c>
      <c r="D1359" s="178" t="s">
        <v>57</v>
      </c>
      <c r="E1359">
        <v>3721.85</v>
      </c>
      <c r="F1359">
        <v>558.28</v>
      </c>
      <c r="G1359">
        <v>4280.13</v>
      </c>
    </row>
    <row r="1360" spans="1:7" x14ac:dyDescent="0.35">
      <c r="A1360" s="178" t="s">
        <v>1305</v>
      </c>
      <c r="B1360" s="178" t="s">
        <v>2926</v>
      </c>
      <c r="C1360" s="178" t="s">
        <v>954</v>
      </c>
      <c r="D1360" s="178" t="s">
        <v>57</v>
      </c>
      <c r="E1360">
        <v>1397.4</v>
      </c>
      <c r="F1360">
        <v>209.61</v>
      </c>
      <c r="G1360">
        <v>1607.01</v>
      </c>
    </row>
    <row r="1361" spans="1:7" x14ac:dyDescent="0.35">
      <c r="A1361" s="178" t="s">
        <v>1058</v>
      </c>
      <c r="B1361" s="178" t="s">
        <v>2927</v>
      </c>
      <c r="C1361" s="178" t="s">
        <v>954</v>
      </c>
      <c r="D1361" s="178" t="s">
        <v>57</v>
      </c>
      <c r="E1361">
        <v>2015</v>
      </c>
      <c r="F1361">
        <v>302.25</v>
      </c>
      <c r="G1361">
        <v>2317.25</v>
      </c>
    </row>
    <row r="1362" spans="1:7" x14ac:dyDescent="0.35">
      <c r="A1362" s="178" t="s">
        <v>1045</v>
      </c>
      <c r="B1362" s="178" t="s">
        <v>2928</v>
      </c>
      <c r="C1362" s="178" t="s">
        <v>954</v>
      </c>
      <c r="D1362" s="178" t="s">
        <v>57</v>
      </c>
      <c r="E1362">
        <v>6675.85</v>
      </c>
      <c r="F1362">
        <v>1001.38</v>
      </c>
      <c r="G1362">
        <v>7677.23</v>
      </c>
    </row>
    <row r="1363" spans="1:7" x14ac:dyDescent="0.35">
      <c r="A1363" s="178" t="s">
        <v>781</v>
      </c>
      <c r="B1363" s="178" t="s">
        <v>2929</v>
      </c>
      <c r="C1363" s="178" t="s">
        <v>954</v>
      </c>
      <c r="D1363" s="178" t="s">
        <v>57</v>
      </c>
      <c r="E1363">
        <v>1695.6</v>
      </c>
      <c r="F1363">
        <v>254.34</v>
      </c>
      <c r="G1363">
        <v>1949.94</v>
      </c>
    </row>
    <row r="1364" spans="1:7" x14ac:dyDescent="0.35">
      <c r="A1364" s="178" t="s">
        <v>1202</v>
      </c>
      <c r="B1364" s="178" t="s">
        <v>2930</v>
      </c>
      <c r="C1364" s="178" t="s">
        <v>954</v>
      </c>
      <c r="D1364" s="178" t="s">
        <v>57</v>
      </c>
      <c r="E1364">
        <v>1634</v>
      </c>
      <c r="F1364">
        <v>245.1</v>
      </c>
      <c r="G1364">
        <v>1879.1</v>
      </c>
    </row>
    <row r="1365" spans="1:7" x14ac:dyDescent="0.35">
      <c r="A1365" s="178" t="s">
        <v>2004</v>
      </c>
      <c r="B1365" s="178" t="s">
        <v>2931</v>
      </c>
      <c r="C1365" s="178" t="s">
        <v>954</v>
      </c>
      <c r="D1365" s="178" t="s">
        <v>57</v>
      </c>
      <c r="E1365">
        <v>36807.949999999997</v>
      </c>
      <c r="F1365">
        <v>5521.2</v>
      </c>
      <c r="G1365">
        <v>42329.15</v>
      </c>
    </row>
    <row r="1366" spans="1:7" x14ac:dyDescent="0.35">
      <c r="A1366" s="178" t="s">
        <v>2932</v>
      </c>
      <c r="B1366" s="178" t="s">
        <v>2933</v>
      </c>
      <c r="C1366" s="178" t="s">
        <v>954</v>
      </c>
      <c r="D1366" s="178" t="s">
        <v>2934</v>
      </c>
      <c r="E1366">
        <v>1760</v>
      </c>
      <c r="F1366">
        <v>264</v>
      </c>
      <c r="G1366">
        <v>2024</v>
      </c>
    </row>
    <row r="1367" spans="1:7" x14ac:dyDescent="0.35">
      <c r="A1367" s="178" t="s">
        <v>2845</v>
      </c>
      <c r="B1367" s="178" t="s">
        <v>2935</v>
      </c>
      <c r="C1367" s="178" t="s">
        <v>954</v>
      </c>
      <c r="D1367" s="178" t="s">
        <v>2847</v>
      </c>
      <c r="E1367">
        <v>3092</v>
      </c>
      <c r="F1367">
        <v>463.8</v>
      </c>
      <c r="G1367">
        <v>3555.8</v>
      </c>
    </row>
    <row r="1368" spans="1:7" x14ac:dyDescent="0.35">
      <c r="A1368" s="178" t="s">
        <v>1535</v>
      </c>
      <c r="B1368" s="178" t="s">
        <v>2936</v>
      </c>
      <c r="C1368" s="178" t="s">
        <v>954</v>
      </c>
      <c r="D1368" s="178" t="s">
        <v>57</v>
      </c>
      <c r="E1368">
        <v>882.9</v>
      </c>
      <c r="F1368">
        <v>132.44</v>
      </c>
      <c r="G1368">
        <v>1015.34</v>
      </c>
    </row>
    <row r="1369" spans="1:7" x14ac:dyDescent="0.35">
      <c r="A1369" s="178" t="s">
        <v>1246</v>
      </c>
      <c r="B1369" s="178" t="s">
        <v>2937</v>
      </c>
      <c r="C1369" s="178" t="s">
        <v>954</v>
      </c>
      <c r="D1369" s="178" t="s">
        <v>57</v>
      </c>
      <c r="E1369">
        <v>774</v>
      </c>
      <c r="F1369">
        <v>116.1</v>
      </c>
      <c r="G1369">
        <v>890.1</v>
      </c>
    </row>
    <row r="1370" spans="1:7" x14ac:dyDescent="0.35">
      <c r="A1370" s="178" t="s">
        <v>997</v>
      </c>
      <c r="B1370" s="178" t="s">
        <v>2938</v>
      </c>
      <c r="C1370" s="178" t="s">
        <v>954</v>
      </c>
      <c r="D1370" s="178" t="s">
        <v>2939</v>
      </c>
      <c r="E1370">
        <v>1027.5999999999999</v>
      </c>
      <c r="F1370">
        <v>154.13999999999999</v>
      </c>
      <c r="G1370">
        <v>1181.74</v>
      </c>
    </row>
    <row r="1371" spans="1:7" x14ac:dyDescent="0.35">
      <c r="A1371" s="178" t="s">
        <v>1440</v>
      </c>
      <c r="B1371" s="178" t="s">
        <v>2940</v>
      </c>
      <c r="C1371" s="178" t="s">
        <v>954</v>
      </c>
      <c r="D1371" s="178" t="s">
        <v>57</v>
      </c>
      <c r="E1371">
        <v>7930.7</v>
      </c>
      <c r="F1371">
        <v>1189.6099999999999</v>
      </c>
      <c r="G1371">
        <v>9120.31</v>
      </c>
    </row>
    <row r="1372" spans="1:7" x14ac:dyDescent="0.35">
      <c r="A1372" s="178" t="s">
        <v>1344</v>
      </c>
      <c r="B1372" s="178" t="s">
        <v>2941</v>
      </c>
      <c r="C1372" s="178" t="s">
        <v>954</v>
      </c>
      <c r="D1372" s="178" t="s">
        <v>57</v>
      </c>
      <c r="E1372">
        <v>1703.7</v>
      </c>
      <c r="F1372">
        <v>255.56</v>
      </c>
      <c r="G1372">
        <v>1959.26</v>
      </c>
    </row>
    <row r="1373" spans="1:7" x14ac:dyDescent="0.35">
      <c r="A1373" s="178" t="s">
        <v>2942</v>
      </c>
      <c r="B1373" s="178" t="s">
        <v>2943</v>
      </c>
      <c r="C1373" s="178" t="s">
        <v>954</v>
      </c>
      <c r="D1373" s="178" t="s">
        <v>57</v>
      </c>
      <c r="E1373">
        <v>6008.5</v>
      </c>
      <c r="F1373">
        <v>901.28</v>
      </c>
      <c r="G1373">
        <v>6909.78</v>
      </c>
    </row>
    <row r="1374" spans="1:7" x14ac:dyDescent="0.35">
      <c r="A1374" s="178" t="s">
        <v>895</v>
      </c>
      <c r="B1374" s="178" t="s">
        <v>2944</v>
      </c>
      <c r="C1374" s="178" t="s">
        <v>954</v>
      </c>
      <c r="D1374" s="178" t="s">
        <v>2945</v>
      </c>
      <c r="E1374">
        <v>15974.4</v>
      </c>
      <c r="F1374">
        <v>2396.16</v>
      </c>
      <c r="G1374">
        <v>18370.560000000001</v>
      </c>
    </row>
    <row r="1375" spans="1:7" x14ac:dyDescent="0.35">
      <c r="A1375" s="178" t="s">
        <v>977</v>
      </c>
      <c r="B1375" s="178" t="s">
        <v>2946</v>
      </c>
      <c r="C1375" s="178" t="s">
        <v>954</v>
      </c>
      <c r="D1375" s="178" t="s">
        <v>57</v>
      </c>
      <c r="E1375">
        <v>41984.6</v>
      </c>
      <c r="F1375">
        <v>6297.7</v>
      </c>
      <c r="G1375">
        <v>48282.3</v>
      </c>
    </row>
    <row r="1376" spans="1:7" x14ac:dyDescent="0.35">
      <c r="A1376" s="178" t="s">
        <v>2947</v>
      </c>
      <c r="B1376" s="178" t="s">
        <v>2948</v>
      </c>
      <c r="C1376" s="178" t="s">
        <v>954</v>
      </c>
      <c r="D1376" s="178" t="s">
        <v>57</v>
      </c>
      <c r="E1376">
        <v>2194.5</v>
      </c>
      <c r="F1376">
        <v>329.18</v>
      </c>
      <c r="G1376">
        <v>2523.6799999999998</v>
      </c>
    </row>
    <row r="1377" spans="1:7" x14ac:dyDescent="0.35">
      <c r="A1377" s="178" t="s">
        <v>2550</v>
      </c>
      <c r="B1377" s="178" t="s">
        <v>2949</v>
      </c>
      <c r="C1377" s="178" t="s">
        <v>954</v>
      </c>
      <c r="D1377" s="178" t="s">
        <v>57</v>
      </c>
      <c r="E1377">
        <v>1791.4</v>
      </c>
      <c r="F1377">
        <v>268.70999999999998</v>
      </c>
      <c r="G1377">
        <v>2060.11</v>
      </c>
    </row>
    <row r="1378" spans="1:7" x14ac:dyDescent="0.35">
      <c r="A1378" s="178" t="s">
        <v>1915</v>
      </c>
      <c r="B1378" s="178" t="s">
        <v>2950</v>
      </c>
      <c r="C1378" s="178" t="s">
        <v>954</v>
      </c>
      <c r="D1378" s="178" t="s">
        <v>57</v>
      </c>
      <c r="E1378">
        <v>4135.2</v>
      </c>
      <c r="F1378">
        <v>620.28</v>
      </c>
      <c r="G1378">
        <v>4755.4799999999996</v>
      </c>
    </row>
    <row r="1379" spans="1:7" x14ac:dyDescent="0.35">
      <c r="A1379" s="178" t="s">
        <v>988</v>
      </c>
      <c r="B1379" s="178" t="s">
        <v>2951</v>
      </c>
      <c r="C1379" s="178" t="s">
        <v>954</v>
      </c>
      <c r="D1379" s="178" t="s">
        <v>57</v>
      </c>
      <c r="E1379">
        <v>2223</v>
      </c>
      <c r="F1379">
        <v>333.45</v>
      </c>
      <c r="G1379">
        <v>2556.4499999999998</v>
      </c>
    </row>
    <row r="1380" spans="1:7" x14ac:dyDescent="0.35">
      <c r="A1380" s="178" t="s">
        <v>1604</v>
      </c>
      <c r="B1380" s="178" t="s">
        <v>2952</v>
      </c>
      <c r="C1380" s="178" t="s">
        <v>954</v>
      </c>
      <c r="D1380" s="178" t="s">
        <v>57</v>
      </c>
      <c r="E1380">
        <v>5436.4</v>
      </c>
      <c r="F1380">
        <v>815.46</v>
      </c>
      <c r="G1380">
        <v>6251.86</v>
      </c>
    </row>
    <row r="1381" spans="1:7" x14ac:dyDescent="0.35">
      <c r="A1381" s="178" t="s">
        <v>1850</v>
      </c>
      <c r="B1381" s="178" t="s">
        <v>2953</v>
      </c>
      <c r="C1381" s="178" t="s">
        <v>954</v>
      </c>
      <c r="D1381" s="178" t="s">
        <v>2954</v>
      </c>
      <c r="E1381">
        <v>1900.95</v>
      </c>
      <c r="F1381">
        <v>285.14999999999998</v>
      </c>
      <c r="G1381">
        <v>2186.1</v>
      </c>
    </row>
    <row r="1382" spans="1:7" x14ac:dyDescent="0.35">
      <c r="A1382" s="178" t="s">
        <v>958</v>
      </c>
      <c r="B1382" s="178" t="s">
        <v>2955</v>
      </c>
      <c r="C1382" s="178" t="s">
        <v>954</v>
      </c>
      <c r="D1382" s="178" t="s">
        <v>2956</v>
      </c>
      <c r="E1382">
        <v>2224</v>
      </c>
      <c r="F1382">
        <v>333.6</v>
      </c>
      <c r="G1382">
        <v>2557.6</v>
      </c>
    </row>
    <row r="1383" spans="1:7" x14ac:dyDescent="0.35">
      <c r="A1383" s="178" t="s">
        <v>1359</v>
      </c>
      <c r="B1383" s="178" t="s">
        <v>2957</v>
      </c>
      <c r="C1383" s="178" t="s">
        <v>954</v>
      </c>
      <c r="D1383" s="178" t="s">
        <v>57</v>
      </c>
      <c r="E1383">
        <v>790.5</v>
      </c>
      <c r="F1383">
        <v>118.58</v>
      </c>
      <c r="G1383">
        <v>909.08</v>
      </c>
    </row>
    <row r="1384" spans="1:7" x14ac:dyDescent="0.35">
      <c r="A1384" s="178" t="s">
        <v>1312</v>
      </c>
      <c r="B1384" s="178" t="s">
        <v>2958</v>
      </c>
      <c r="C1384" s="178" t="s">
        <v>954</v>
      </c>
      <c r="D1384" s="178" t="s">
        <v>57</v>
      </c>
      <c r="E1384">
        <v>8144.3</v>
      </c>
      <c r="F1384">
        <v>1221.6500000000001</v>
      </c>
      <c r="G1384">
        <v>9365.9500000000007</v>
      </c>
    </row>
    <row r="1385" spans="1:7" x14ac:dyDescent="0.35">
      <c r="A1385" s="178" t="s">
        <v>789</v>
      </c>
      <c r="B1385" s="178" t="s">
        <v>2959</v>
      </c>
      <c r="C1385" s="178" t="s">
        <v>954</v>
      </c>
      <c r="D1385" s="178" t="s">
        <v>57</v>
      </c>
      <c r="E1385">
        <v>26343.599999999999</v>
      </c>
      <c r="F1385">
        <v>3951.54</v>
      </c>
      <c r="G1385">
        <v>30295.14</v>
      </c>
    </row>
    <row r="1386" spans="1:7" x14ac:dyDescent="0.35">
      <c r="A1386" s="178" t="s">
        <v>1120</v>
      </c>
      <c r="B1386" s="178" t="s">
        <v>2960</v>
      </c>
      <c r="C1386" s="178" t="s">
        <v>954</v>
      </c>
      <c r="D1386" s="178" t="s">
        <v>57</v>
      </c>
      <c r="E1386">
        <v>21040.400000000001</v>
      </c>
      <c r="F1386">
        <v>3156.06</v>
      </c>
      <c r="G1386">
        <v>24196.46</v>
      </c>
    </row>
    <row r="1387" spans="1:7" x14ac:dyDescent="0.35">
      <c r="A1387" s="178" t="s">
        <v>2862</v>
      </c>
      <c r="B1387" s="178" t="s">
        <v>2961</v>
      </c>
      <c r="C1387" s="178" t="s">
        <v>954</v>
      </c>
      <c r="D1387" s="178" t="s">
        <v>57</v>
      </c>
      <c r="E1387">
        <v>1763</v>
      </c>
      <c r="F1387">
        <v>264.45</v>
      </c>
      <c r="G1387">
        <v>2027.45</v>
      </c>
    </row>
    <row r="1388" spans="1:7" x14ac:dyDescent="0.35">
      <c r="A1388" s="178" t="s">
        <v>907</v>
      </c>
      <c r="B1388" s="178" t="s">
        <v>2962</v>
      </c>
      <c r="C1388" s="178" t="s">
        <v>954</v>
      </c>
      <c r="D1388" s="178" t="s">
        <v>57</v>
      </c>
      <c r="E1388">
        <v>896.7</v>
      </c>
      <c r="F1388">
        <v>134.51</v>
      </c>
      <c r="G1388">
        <v>1031.21</v>
      </c>
    </row>
    <row r="1389" spans="1:7" x14ac:dyDescent="0.35">
      <c r="A1389" s="178" t="s">
        <v>750</v>
      </c>
      <c r="B1389" s="178" t="s">
        <v>2963</v>
      </c>
      <c r="C1389" s="178" t="s">
        <v>954</v>
      </c>
      <c r="D1389" s="178" t="s">
        <v>2964</v>
      </c>
      <c r="E1389">
        <v>1513.6</v>
      </c>
      <c r="F1389">
        <v>227.05</v>
      </c>
      <c r="G1389">
        <v>1740.65</v>
      </c>
    </row>
    <row r="1390" spans="1:7" x14ac:dyDescent="0.35">
      <c r="A1390" s="178" t="s">
        <v>904</v>
      </c>
      <c r="B1390" s="178" t="s">
        <v>2965</v>
      </c>
      <c r="C1390" s="178" t="s">
        <v>954</v>
      </c>
      <c r="D1390" s="178" t="s">
        <v>2966</v>
      </c>
      <c r="E1390">
        <v>2516.5500000000002</v>
      </c>
      <c r="F1390">
        <v>377.48</v>
      </c>
      <c r="G1390">
        <v>2894.03</v>
      </c>
    </row>
    <row r="1391" spans="1:7" x14ac:dyDescent="0.35">
      <c r="A1391" s="178" t="s">
        <v>904</v>
      </c>
      <c r="B1391" s="178" t="s">
        <v>2967</v>
      </c>
      <c r="C1391" s="178" t="s">
        <v>954</v>
      </c>
      <c r="D1391" s="178" t="s">
        <v>2968</v>
      </c>
      <c r="E1391">
        <v>3779.1</v>
      </c>
      <c r="F1391">
        <v>566.87</v>
      </c>
      <c r="G1391">
        <v>4345.97</v>
      </c>
    </row>
    <row r="1392" spans="1:7" x14ac:dyDescent="0.35">
      <c r="A1392" s="178" t="s">
        <v>2969</v>
      </c>
      <c r="B1392" s="178" t="s">
        <v>2970</v>
      </c>
      <c r="C1392" s="178" t="s">
        <v>954</v>
      </c>
      <c r="D1392" s="178" t="s">
        <v>2971</v>
      </c>
      <c r="E1392">
        <v>7105.91</v>
      </c>
      <c r="F1392" s="178" t="s">
        <v>57</v>
      </c>
      <c r="G1392">
        <v>7105.91</v>
      </c>
    </row>
    <row r="1393" spans="1:7" x14ac:dyDescent="0.35">
      <c r="A1393" s="178" t="s">
        <v>898</v>
      </c>
      <c r="B1393" s="178" t="s">
        <v>2972</v>
      </c>
      <c r="C1393" s="178" t="s">
        <v>887</v>
      </c>
      <c r="D1393" s="178" t="s">
        <v>2973</v>
      </c>
      <c r="E1393">
        <v>2887.2</v>
      </c>
      <c r="F1393">
        <v>433.08</v>
      </c>
      <c r="G1393">
        <v>3320.28</v>
      </c>
    </row>
    <row r="1394" spans="1:7" x14ac:dyDescent="0.35">
      <c r="A1394" s="178" t="s">
        <v>93</v>
      </c>
      <c r="B1394" s="178" t="s">
        <v>57</v>
      </c>
      <c r="C1394" s="178" t="s">
        <v>57</v>
      </c>
      <c r="D1394" s="178" t="s">
        <v>57</v>
      </c>
      <c r="E1394">
        <v>9328928.8799999803</v>
      </c>
      <c r="F1394">
        <v>1379163.7</v>
      </c>
      <c r="G1394">
        <v>10708092.58</v>
      </c>
    </row>
    <row r="1395" spans="1:7" x14ac:dyDescent="0.35">
      <c r="A1395" s="178"/>
      <c r="B1395" s="178"/>
      <c r="C1395" s="178"/>
      <c r="D1395" s="178"/>
      <c r="E1395"/>
    </row>
    <row r="1396" spans="1:7" x14ac:dyDescent="0.35">
      <c r="A1396" s="178"/>
      <c r="B1396" s="178"/>
      <c r="C1396" s="178"/>
      <c r="D1396" s="178"/>
      <c r="E1396"/>
    </row>
    <row r="1397" spans="1:7" x14ac:dyDescent="0.35">
      <c r="A1397" s="178"/>
      <c r="B1397" s="178"/>
      <c r="C1397" s="178"/>
      <c r="D1397" s="178"/>
      <c r="E1397"/>
      <c r="F1397" s="178"/>
    </row>
    <row r="1398" spans="1:7" x14ac:dyDescent="0.35">
      <c r="A1398" s="178"/>
      <c r="B1398" s="178"/>
      <c r="C1398" s="178"/>
      <c r="D1398" s="178"/>
      <c r="E1398"/>
    </row>
    <row r="1399" spans="1:7" x14ac:dyDescent="0.35">
      <c r="A1399" s="178"/>
      <c r="B1399" s="178"/>
      <c r="C1399" s="178"/>
      <c r="D1399" s="178"/>
      <c r="E1399"/>
    </row>
    <row r="1400" spans="1:7" x14ac:dyDescent="0.35">
      <c r="A1400" s="178"/>
      <c r="B1400" s="178"/>
      <c r="C1400" s="178"/>
      <c r="E1400"/>
    </row>
    <row r="1401" spans="1:7" x14ac:dyDescent="0.35">
      <c r="A1401" s="178"/>
      <c r="B1401" s="178"/>
      <c r="C1401" s="178"/>
      <c r="D1401" s="178"/>
      <c r="E1401"/>
    </row>
    <row r="1402" spans="1:7" x14ac:dyDescent="0.35">
      <c r="A1402" s="178"/>
      <c r="B1402" s="178"/>
      <c r="C1402" s="178"/>
      <c r="D1402" s="178"/>
      <c r="E1402"/>
    </row>
    <row r="1403" spans="1:7" x14ac:dyDescent="0.35">
      <c r="A1403" s="178"/>
      <c r="B1403" s="178"/>
      <c r="C1403" s="178"/>
      <c r="E1403"/>
    </row>
    <row r="1404" spans="1:7" x14ac:dyDescent="0.35">
      <c r="A1404" s="178"/>
      <c r="B1404" s="178"/>
      <c r="C1404" s="178"/>
      <c r="D1404" s="178"/>
      <c r="E1404"/>
    </row>
    <row r="1405" spans="1:7" x14ac:dyDescent="0.35">
      <c r="A1405" s="178"/>
      <c r="B1405" s="178"/>
      <c r="C1405" s="178"/>
      <c r="D1405" s="178"/>
      <c r="E1405"/>
    </row>
    <row r="1406" spans="1:7" x14ac:dyDescent="0.35">
      <c r="A1406" s="178"/>
      <c r="B1406" s="178"/>
      <c r="C1406" s="178"/>
      <c r="D1406" s="178"/>
      <c r="E1406"/>
    </row>
    <row r="1407" spans="1:7" x14ac:dyDescent="0.35">
      <c r="A1407" s="178"/>
      <c r="B1407" s="178"/>
      <c r="C1407" s="178"/>
      <c r="D1407" s="178"/>
      <c r="E1407"/>
    </row>
    <row r="1408" spans="1:7" x14ac:dyDescent="0.35">
      <c r="A1408" s="178"/>
      <c r="B1408" s="178"/>
      <c r="C1408" s="178"/>
      <c r="D1408" s="178"/>
      <c r="E1408"/>
    </row>
    <row r="1409" spans="1:5" x14ac:dyDescent="0.35">
      <c r="A1409" s="178"/>
      <c r="B1409" s="178"/>
      <c r="C1409" s="178"/>
      <c r="D1409" s="178"/>
      <c r="E1409"/>
    </row>
    <row r="1410" spans="1:5" x14ac:dyDescent="0.35">
      <c r="A1410" s="178"/>
      <c r="B1410" s="178"/>
      <c r="C1410" s="178"/>
      <c r="D1410" s="178"/>
      <c r="E1410"/>
    </row>
    <row r="1411" spans="1:5" x14ac:dyDescent="0.35">
      <c r="A1411" s="178"/>
      <c r="B1411" s="178"/>
      <c r="C1411" s="178"/>
      <c r="D1411" s="178"/>
      <c r="E1411"/>
    </row>
    <row r="1412" spans="1:5" x14ac:dyDescent="0.35">
      <c r="A1412" s="178"/>
      <c r="B1412" s="178"/>
      <c r="C1412" s="178"/>
      <c r="D1412" s="178"/>
      <c r="E1412"/>
    </row>
    <row r="1413" spans="1:5" x14ac:dyDescent="0.35">
      <c r="A1413" s="178"/>
      <c r="B1413" s="178"/>
      <c r="C1413" s="178"/>
      <c r="D1413" s="178"/>
      <c r="E1413"/>
    </row>
    <row r="1414" spans="1:5" x14ac:dyDescent="0.35">
      <c r="A1414" s="178"/>
      <c r="B1414" s="178"/>
      <c r="C1414" s="178"/>
      <c r="D1414" s="178"/>
      <c r="E1414"/>
    </row>
    <row r="1415" spans="1:5" x14ac:dyDescent="0.35">
      <c r="A1415" s="178"/>
      <c r="B1415" s="178"/>
      <c r="C1415" s="178"/>
      <c r="D1415" s="178"/>
      <c r="E1415"/>
    </row>
    <row r="1416" spans="1:5" x14ac:dyDescent="0.35">
      <c r="A1416" s="178"/>
      <c r="B1416" s="178"/>
      <c r="C1416" s="178"/>
      <c r="D1416" s="178"/>
      <c r="E1416"/>
    </row>
    <row r="1417" spans="1:5" x14ac:dyDescent="0.35">
      <c r="A1417" s="178"/>
      <c r="B1417" s="178"/>
      <c r="C1417" s="178"/>
      <c r="D1417" s="178"/>
      <c r="E1417"/>
    </row>
    <row r="1418" spans="1:5" x14ac:dyDescent="0.35">
      <c r="A1418" s="178"/>
      <c r="B1418" s="178"/>
      <c r="C1418" s="178"/>
      <c r="D1418" s="178"/>
      <c r="E1418"/>
    </row>
    <row r="1419" spans="1:5" x14ac:dyDescent="0.35">
      <c r="A1419" s="178"/>
      <c r="B1419" s="178"/>
      <c r="C1419" s="178"/>
      <c r="D1419" s="178"/>
      <c r="E1419"/>
    </row>
    <row r="1420" spans="1:5" x14ac:dyDescent="0.35">
      <c r="A1420" s="178"/>
      <c r="B1420" s="178"/>
      <c r="C1420" s="178"/>
      <c r="D1420" s="178"/>
      <c r="E1420"/>
    </row>
    <row r="1421" spans="1:5" x14ac:dyDescent="0.35">
      <c r="A1421" s="178"/>
      <c r="B1421" s="178"/>
      <c r="C1421" s="178"/>
      <c r="D1421" s="178"/>
      <c r="E1421"/>
    </row>
    <row r="1422" spans="1:5" x14ac:dyDescent="0.35">
      <c r="A1422" s="178"/>
      <c r="B1422" s="178"/>
      <c r="C1422" s="178"/>
      <c r="D1422" s="178"/>
      <c r="E1422"/>
    </row>
    <row r="1423" spans="1:5" x14ac:dyDescent="0.35">
      <c r="A1423" s="178"/>
      <c r="B1423" s="178"/>
      <c r="C1423" s="178"/>
      <c r="D1423" s="178"/>
      <c r="E1423"/>
    </row>
    <row r="1424" spans="1:5" x14ac:dyDescent="0.35">
      <c r="A1424" s="178"/>
      <c r="B1424" s="178"/>
      <c r="C1424" s="178"/>
      <c r="D1424" s="178"/>
      <c r="E1424"/>
    </row>
    <row r="1425" spans="1:5" x14ac:dyDescent="0.35">
      <c r="A1425" s="178"/>
      <c r="B1425" s="178"/>
      <c r="C1425" s="178"/>
      <c r="D1425" s="178"/>
      <c r="E1425"/>
    </row>
    <row r="1426" spans="1:5" x14ac:dyDescent="0.35">
      <c r="A1426" s="178"/>
      <c r="B1426" s="178"/>
      <c r="C1426" s="178"/>
      <c r="D1426" s="178"/>
      <c r="E1426"/>
    </row>
    <row r="1427" spans="1:5" x14ac:dyDescent="0.35">
      <c r="A1427" s="178"/>
      <c r="B1427" s="178"/>
      <c r="C1427" s="178"/>
      <c r="D1427" s="178"/>
      <c r="E1427"/>
    </row>
    <row r="1428" spans="1:5" x14ac:dyDescent="0.35">
      <c r="A1428" s="178"/>
      <c r="B1428" s="178"/>
      <c r="C1428" s="178"/>
      <c r="D1428" s="178"/>
      <c r="E1428"/>
    </row>
    <row r="1429" spans="1:5" x14ac:dyDescent="0.35">
      <c r="A1429" s="178"/>
      <c r="B1429" s="178"/>
      <c r="C1429" s="178"/>
      <c r="D1429" s="178"/>
      <c r="E1429"/>
    </row>
    <row r="1430" spans="1:5" x14ac:dyDescent="0.35">
      <c r="A1430" s="178"/>
      <c r="B1430" s="178"/>
      <c r="C1430" s="178"/>
      <c r="D1430" s="178"/>
      <c r="E1430"/>
    </row>
    <row r="1431" spans="1:5" x14ac:dyDescent="0.35">
      <c r="A1431" s="178"/>
      <c r="B1431" s="178"/>
      <c r="C1431" s="178"/>
      <c r="D1431" s="178"/>
      <c r="E1431"/>
    </row>
    <row r="1432" spans="1:5" x14ac:dyDescent="0.35">
      <c r="A1432" s="178"/>
      <c r="B1432" s="178"/>
      <c r="C1432" s="178"/>
      <c r="D1432" s="178"/>
      <c r="E1432"/>
    </row>
    <row r="1433" spans="1:5" x14ac:dyDescent="0.35">
      <c r="A1433" s="178"/>
      <c r="B1433" s="178"/>
      <c r="C1433" s="178"/>
      <c r="D1433" s="178"/>
      <c r="E1433"/>
    </row>
    <row r="1434" spans="1:5" x14ac:dyDescent="0.35">
      <c r="A1434" s="178"/>
      <c r="B1434" s="178"/>
      <c r="C1434" s="178"/>
      <c r="D1434" s="178"/>
      <c r="E1434"/>
    </row>
    <row r="1435" spans="1:5" x14ac:dyDescent="0.35">
      <c r="A1435" s="178"/>
      <c r="B1435" s="178"/>
      <c r="C1435" s="178"/>
      <c r="D1435" s="178"/>
      <c r="E1435"/>
    </row>
    <row r="1436" spans="1:5" x14ac:dyDescent="0.35">
      <c r="A1436" s="178"/>
      <c r="B1436" s="178"/>
      <c r="C1436" s="178"/>
      <c r="D1436" s="178"/>
      <c r="E1436"/>
    </row>
    <row r="1437" spans="1:5" x14ac:dyDescent="0.35">
      <c r="A1437" s="178"/>
      <c r="B1437" s="178"/>
      <c r="C1437" s="178"/>
      <c r="D1437" s="178"/>
      <c r="E1437"/>
    </row>
    <row r="1438" spans="1:5" x14ac:dyDescent="0.35">
      <c r="A1438" s="178"/>
      <c r="B1438" s="178"/>
      <c r="C1438" s="178"/>
      <c r="D1438" s="178"/>
      <c r="E1438"/>
    </row>
    <row r="1439" spans="1:5" x14ac:dyDescent="0.35">
      <c r="A1439" s="178"/>
      <c r="B1439" s="178"/>
      <c r="C1439" s="178"/>
      <c r="D1439" s="178"/>
      <c r="E1439"/>
    </row>
    <row r="1440" spans="1:5" x14ac:dyDescent="0.35">
      <c r="A1440" s="178"/>
      <c r="B1440" s="178"/>
      <c r="C1440" s="178"/>
      <c r="D1440" s="178"/>
      <c r="E1440"/>
    </row>
    <row r="1441" spans="1:5" x14ac:dyDescent="0.35">
      <c r="A1441" s="178"/>
      <c r="B1441" s="178"/>
      <c r="C1441" s="178"/>
      <c r="D1441" s="178"/>
      <c r="E1441"/>
    </row>
    <row r="1442" spans="1:5" x14ac:dyDescent="0.35">
      <c r="A1442" s="178"/>
      <c r="B1442" s="178"/>
      <c r="C1442" s="178"/>
      <c r="D1442" s="178"/>
      <c r="E1442"/>
    </row>
    <row r="1443" spans="1:5" x14ac:dyDescent="0.35">
      <c r="A1443" s="178"/>
      <c r="B1443" s="178"/>
      <c r="C1443" s="178"/>
      <c r="D1443" s="178"/>
      <c r="E1443"/>
    </row>
    <row r="1444" spans="1:5" x14ac:dyDescent="0.35">
      <c r="A1444" s="178"/>
      <c r="B1444" s="178"/>
      <c r="C1444" s="178"/>
      <c r="D1444" s="178"/>
      <c r="E1444"/>
    </row>
    <row r="1445" spans="1:5" x14ac:dyDescent="0.35">
      <c r="A1445" s="178"/>
      <c r="B1445" s="178"/>
      <c r="C1445" s="178"/>
      <c r="D1445" s="178"/>
      <c r="E1445"/>
    </row>
    <row r="1446" spans="1:5" x14ac:dyDescent="0.35">
      <c r="A1446" s="178"/>
      <c r="B1446" s="178"/>
      <c r="C1446" s="178"/>
      <c r="D1446" s="178"/>
      <c r="E1446"/>
    </row>
    <row r="1447" spans="1:5" x14ac:dyDescent="0.35">
      <c r="A1447" s="178"/>
      <c r="B1447" s="178"/>
      <c r="C1447" s="178"/>
      <c r="D1447" s="178"/>
      <c r="E1447"/>
    </row>
    <row r="1448" spans="1:5" x14ac:dyDescent="0.35">
      <c r="A1448" s="178"/>
      <c r="B1448" s="178"/>
      <c r="C1448" s="178"/>
      <c r="D1448" s="178"/>
      <c r="E1448"/>
    </row>
    <row r="1449" spans="1:5" x14ac:dyDescent="0.35">
      <c r="A1449" s="178"/>
      <c r="B1449" s="178"/>
      <c r="C1449" s="178"/>
      <c r="D1449" s="178"/>
      <c r="E1449"/>
    </row>
    <row r="1450" spans="1:5" x14ac:dyDescent="0.35">
      <c r="A1450" s="178"/>
      <c r="B1450" s="178"/>
      <c r="C1450" s="178"/>
      <c r="D1450" s="178"/>
      <c r="E1450"/>
    </row>
    <row r="1451" spans="1:5" x14ac:dyDescent="0.35">
      <c r="A1451" s="178"/>
      <c r="B1451" s="178"/>
      <c r="C1451" s="178"/>
      <c r="D1451" s="178"/>
      <c r="E1451"/>
    </row>
    <row r="1452" spans="1:5" x14ac:dyDescent="0.35">
      <c r="A1452" s="178"/>
      <c r="B1452" s="178"/>
      <c r="C1452" s="178"/>
      <c r="D1452" s="178"/>
      <c r="E1452"/>
    </row>
    <row r="1453" spans="1:5" x14ac:dyDescent="0.35">
      <c r="A1453" s="178"/>
      <c r="B1453" s="178"/>
      <c r="C1453" s="178"/>
      <c r="D1453" s="178"/>
      <c r="E1453"/>
    </row>
    <row r="1454" spans="1:5" x14ac:dyDescent="0.35">
      <c r="A1454" s="178"/>
      <c r="B1454" s="178"/>
      <c r="C1454" s="178"/>
      <c r="D1454" s="178"/>
      <c r="E1454"/>
    </row>
    <row r="1455" spans="1:5" x14ac:dyDescent="0.35">
      <c r="A1455" s="178"/>
      <c r="B1455" s="178"/>
      <c r="C1455" s="178"/>
      <c r="D1455" s="178"/>
      <c r="E1455"/>
    </row>
    <row r="1456" spans="1:5" x14ac:dyDescent="0.35">
      <c r="A1456" s="178"/>
      <c r="B1456" s="178"/>
      <c r="C1456" s="178"/>
      <c r="D1456" s="178"/>
      <c r="E1456"/>
    </row>
    <row r="1457" spans="1:6" x14ac:dyDescent="0.35">
      <c r="A1457" s="178"/>
      <c r="B1457" s="178"/>
      <c r="C1457" s="178"/>
      <c r="D1457" s="178"/>
      <c r="E1457"/>
    </row>
    <row r="1458" spans="1:6" x14ac:dyDescent="0.35">
      <c r="A1458" s="178"/>
      <c r="B1458" s="178"/>
      <c r="C1458" s="178"/>
      <c r="D1458" s="178"/>
      <c r="E1458"/>
    </row>
    <row r="1459" spans="1:6" x14ac:dyDescent="0.35">
      <c r="A1459" s="178"/>
      <c r="B1459" s="178"/>
      <c r="C1459" s="178"/>
      <c r="D1459" s="178"/>
      <c r="E1459"/>
    </row>
    <row r="1460" spans="1:6" x14ac:dyDescent="0.35">
      <c r="A1460" s="178"/>
      <c r="B1460" s="178"/>
      <c r="C1460" s="178"/>
      <c r="D1460" s="178"/>
      <c r="E1460"/>
    </row>
    <row r="1461" spans="1:6" x14ac:dyDescent="0.35">
      <c r="A1461" s="178"/>
      <c r="B1461" s="178"/>
      <c r="C1461" s="178"/>
      <c r="D1461" s="178"/>
      <c r="E1461"/>
    </row>
    <row r="1462" spans="1:6" x14ac:dyDescent="0.35">
      <c r="A1462" s="178"/>
      <c r="B1462" s="178"/>
      <c r="C1462" s="178"/>
      <c r="D1462" s="178"/>
      <c r="E1462"/>
    </row>
    <row r="1463" spans="1:6" x14ac:dyDescent="0.35">
      <c r="A1463" s="178"/>
      <c r="B1463" s="178"/>
      <c r="C1463" s="178"/>
      <c r="D1463" s="178"/>
      <c r="E1463"/>
      <c r="F1463" s="178"/>
    </row>
    <row r="1464" spans="1:6" x14ac:dyDescent="0.35">
      <c r="A1464" s="178"/>
      <c r="B1464" s="178"/>
      <c r="C1464" s="178"/>
      <c r="D1464" s="178"/>
      <c r="E1464"/>
      <c r="F1464" s="178"/>
    </row>
    <row r="1465" spans="1:6" x14ac:dyDescent="0.35">
      <c r="A1465" s="178"/>
      <c r="B1465" s="178"/>
      <c r="C1465" s="178"/>
      <c r="D1465" s="178"/>
      <c r="E1465"/>
    </row>
    <row r="1466" spans="1:6" x14ac:dyDescent="0.35">
      <c r="A1466" s="178"/>
      <c r="B1466" s="178"/>
      <c r="C1466" s="178"/>
      <c r="D1466" s="178"/>
      <c r="E1466"/>
    </row>
    <row r="1467" spans="1:6" x14ac:dyDescent="0.35">
      <c r="A1467" s="178"/>
      <c r="B1467" s="178"/>
      <c r="C1467" s="178"/>
      <c r="D1467" s="178"/>
      <c r="E1467"/>
      <c r="F1467" s="178"/>
    </row>
    <row r="1468" spans="1:6" x14ac:dyDescent="0.35">
      <c r="A1468" s="178"/>
      <c r="B1468" s="178"/>
      <c r="C1468" s="178"/>
      <c r="D1468" s="178"/>
      <c r="E1468"/>
    </row>
    <row r="1469" spans="1:6" x14ac:dyDescent="0.35">
      <c r="A1469" s="178"/>
      <c r="B1469" s="178"/>
      <c r="C1469" s="178"/>
      <c r="D1469" s="178"/>
      <c r="E1469"/>
      <c r="F1469" s="178"/>
    </row>
    <row r="1470" spans="1:6" x14ac:dyDescent="0.35">
      <c r="A1470" s="178"/>
      <c r="B1470" s="178"/>
      <c r="C1470" s="178"/>
      <c r="D1470" s="178"/>
      <c r="E1470"/>
      <c r="F1470" s="178"/>
    </row>
    <row r="1471" spans="1:6" x14ac:dyDescent="0.35">
      <c r="A1471" s="178"/>
      <c r="B1471" s="178"/>
      <c r="C1471" s="178"/>
      <c r="D1471" s="178"/>
      <c r="E1471"/>
    </row>
    <row r="1472" spans="1:6" x14ac:dyDescent="0.35">
      <c r="A1472" s="178"/>
      <c r="B1472" s="178"/>
      <c r="C1472" s="178"/>
      <c r="D1472" s="178"/>
      <c r="E1472"/>
    </row>
    <row r="1473" spans="1:5" x14ac:dyDescent="0.35">
      <c r="A1473" s="178"/>
      <c r="B1473" s="178"/>
      <c r="C1473" s="178"/>
      <c r="D1473" s="178"/>
      <c r="E1473"/>
    </row>
    <row r="1474" spans="1:5" x14ac:dyDescent="0.35">
      <c r="A1474" s="178"/>
      <c r="B1474" s="178"/>
      <c r="C1474" s="178"/>
      <c r="D1474" s="178"/>
      <c r="E1474"/>
    </row>
    <row r="1475" spans="1:5" x14ac:dyDescent="0.35">
      <c r="A1475" s="178"/>
      <c r="B1475" s="178"/>
      <c r="C1475" s="178"/>
      <c r="D1475" s="178"/>
      <c r="E1475"/>
    </row>
    <row r="1476" spans="1:5" x14ac:dyDescent="0.35">
      <c r="A1476" s="178"/>
      <c r="B1476" s="178"/>
      <c r="C1476" s="178"/>
      <c r="D1476" s="178"/>
      <c r="E1476"/>
    </row>
    <row r="1477" spans="1:5" x14ac:dyDescent="0.35">
      <c r="A1477" s="178"/>
      <c r="B1477" s="178"/>
      <c r="C1477" s="178"/>
      <c r="D1477" s="178"/>
      <c r="E1477"/>
    </row>
    <row r="1478" spans="1:5" x14ac:dyDescent="0.35">
      <c r="A1478" s="178"/>
      <c r="B1478" s="178"/>
      <c r="C1478" s="178"/>
      <c r="D1478" s="178"/>
      <c r="E1478"/>
    </row>
    <row r="1479" spans="1:5" x14ac:dyDescent="0.35">
      <c r="A1479" s="178"/>
      <c r="B1479" s="178"/>
      <c r="C1479" s="178"/>
      <c r="D1479" s="178"/>
      <c r="E1479"/>
    </row>
    <row r="1480" spans="1:5" x14ac:dyDescent="0.35">
      <c r="A1480" s="178"/>
      <c r="B1480" s="178"/>
      <c r="C1480" s="178"/>
      <c r="D1480" s="178"/>
      <c r="E1480"/>
    </row>
    <row r="1481" spans="1:5" x14ac:dyDescent="0.35">
      <c r="A1481" s="178"/>
      <c r="B1481" s="178"/>
      <c r="C1481" s="178"/>
      <c r="D1481" s="178"/>
      <c r="E1481"/>
    </row>
    <row r="1482" spans="1:5" x14ac:dyDescent="0.35">
      <c r="A1482" s="178"/>
      <c r="B1482" s="178"/>
      <c r="C1482" s="178"/>
      <c r="D1482" s="178"/>
      <c r="E1482"/>
    </row>
    <row r="1483" spans="1:5" x14ac:dyDescent="0.35">
      <c r="A1483" s="178"/>
      <c r="B1483" s="178"/>
      <c r="C1483" s="178"/>
      <c r="D1483" s="178"/>
      <c r="E1483"/>
    </row>
    <row r="1484" spans="1:5" x14ac:dyDescent="0.35">
      <c r="A1484" s="178"/>
      <c r="B1484" s="178"/>
      <c r="C1484" s="178"/>
      <c r="D1484" s="178"/>
      <c r="E1484"/>
    </row>
    <row r="1485" spans="1:5" x14ac:dyDescent="0.35">
      <c r="A1485" s="178"/>
      <c r="B1485" s="178"/>
      <c r="C1485" s="178"/>
      <c r="D1485" s="178"/>
      <c r="E1485"/>
    </row>
    <row r="1486" spans="1:5" x14ac:dyDescent="0.35">
      <c r="A1486" s="178"/>
      <c r="B1486" s="178"/>
      <c r="C1486" s="178"/>
      <c r="D1486" s="178"/>
      <c r="E1486"/>
    </row>
    <row r="1487" spans="1:5" x14ac:dyDescent="0.35">
      <c r="A1487" s="178"/>
      <c r="B1487" s="178"/>
      <c r="C1487" s="178"/>
      <c r="D1487" s="178"/>
      <c r="E1487"/>
    </row>
    <row r="1488" spans="1:5" x14ac:dyDescent="0.35">
      <c r="A1488" s="178"/>
      <c r="B1488" s="178"/>
      <c r="C1488" s="178"/>
      <c r="D1488" s="178"/>
      <c r="E1488"/>
    </row>
    <row r="1489" spans="1:5" x14ac:dyDescent="0.35">
      <c r="A1489" s="178"/>
      <c r="B1489" s="178"/>
      <c r="C1489" s="178"/>
      <c r="E1489"/>
    </row>
    <row r="1490" spans="1:5" x14ac:dyDescent="0.35">
      <c r="A1490" s="178"/>
      <c r="B1490" s="178"/>
      <c r="C1490" s="178"/>
      <c r="D1490" s="178"/>
      <c r="E1490"/>
    </row>
    <row r="1491" spans="1:5" x14ac:dyDescent="0.35">
      <c r="A1491" s="178"/>
      <c r="B1491" s="178"/>
      <c r="C1491" s="178"/>
      <c r="D1491" s="178"/>
      <c r="E1491"/>
    </row>
    <row r="1492" spans="1:5" x14ac:dyDescent="0.35">
      <c r="A1492" s="178"/>
      <c r="B1492" s="178"/>
      <c r="C1492" s="178"/>
      <c r="E1492"/>
    </row>
    <row r="1493" spans="1:5" x14ac:dyDescent="0.35">
      <c r="A1493" s="178"/>
      <c r="B1493" s="178"/>
      <c r="C1493" s="178"/>
      <c r="D1493" s="178"/>
      <c r="E1493"/>
    </row>
    <row r="1494" spans="1:5" x14ac:dyDescent="0.35">
      <c r="A1494" s="178"/>
      <c r="B1494" s="178"/>
      <c r="C1494" s="178"/>
      <c r="D1494" s="178"/>
      <c r="E1494"/>
    </row>
    <row r="1495" spans="1:5" x14ac:dyDescent="0.35">
      <c r="A1495" s="178"/>
      <c r="B1495" s="178"/>
      <c r="C1495" s="178"/>
      <c r="D1495" s="178"/>
      <c r="E1495"/>
    </row>
    <row r="1496" spans="1:5" x14ac:dyDescent="0.35">
      <c r="A1496" s="178"/>
      <c r="B1496" s="178"/>
      <c r="C1496" s="178"/>
      <c r="D1496" s="178"/>
      <c r="E1496"/>
    </row>
    <row r="1497" spans="1:5" x14ac:dyDescent="0.35">
      <c r="A1497" s="178"/>
      <c r="B1497" s="178"/>
      <c r="C1497" s="178"/>
      <c r="D1497" s="178"/>
      <c r="E1497"/>
    </row>
    <row r="1498" spans="1:5" x14ac:dyDescent="0.35">
      <c r="A1498" s="178"/>
      <c r="B1498" s="178"/>
      <c r="C1498" s="178"/>
      <c r="D1498" s="178"/>
      <c r="E1498"/>
    </row>
    <row r="1499" spans="1:5" x14ac:dyDescent="0.35">
      <c r="A1499" s="178"/>
      <c r="B1499" s="178"/>
      <c r="C1499" s="178"/>
      <c r="D1499" s="178"/>
      <c r="E1499"/>
    </row>
    <row r="1500" spans="1:5" x14ac:dyDescent="0.35">
      <c r="A1500" s="178"/>
      <c r="B1500" s="178"/>
      <c r="C1500" s="178"/>
      <c r="D1500" s="178"/>
      <c r="E1500"/>
    </row>
    <row r="1501" spans="1:5" x14ac:dyDescent="0.35">
      <c r="A1501" s="178"/>
      <c r="B1501" s="178"/>
      <c r="C1501" s="178"/>
      <c r="D1501" s="178"/>
      <c r="E1501"/>
    </row>
    <row r="1502" spans="1:5" x14ac:dyDescent="0.35">
      <c r="A1502" s="178"/>
      <c r="B1502" s="178"/>
      <c r="C1502" s="178"/>
      <c r="D1502" s="178"/>
      <c r="E1502"/>
    </row>
    <row r="1503" spans="1:5" x14ac:dyDescent="0.35">
      <c r="A1503" s="178"/>
      <c r="B1503" s="178"/>
      <c r="C1503" s="178"/>
      <c r="E1503"/>
    </row>
    <row r="1504" spans="1:5" x14ac:dyDescent="0.35">
      <c r="A1504" s="178"/>
      <c r="B1504" s="178"/>
      <c r="C1504" s="178"/>
      <c r="D1504" s="178"/>
      <c r="E1504"/>
    </row>
    <row r="1505" spans="1:5" x14ac:dyDescent="0.35">
      <c r="A1505" s="178"/>
      <c r="B1505" s="178"/>
      <c r="C1505" s="178"/>
      <c r="D1505" s="178"/>
      <c r="E1505"/>
    </row>
    <row r="1506" spans="1:5" x14ac:dyDescent="0.35">
      <c r="A1506" s="178"/>
      <c r="B1506" s="178"/>
      <c r="C1506" s="178"/>
      <c r="D1506" s="178"/>
      <c r="E1506"/>
    </row>
    <row r="1507" spans="1:5" x14ac:dyDescent="0.35">
      <c r="A1507" s="178"/>
      <c r="B1507" s="178"/>
      <c r="C1507" s="178"/>
      <c r="D1507" s="178"/>
      <c r="E1507"/>
    </row>
    <row r="1508" spans="1:5" x14ac:dyDescent="0.35">
      <c r="A1508" s="178"/>
      <c r="B1508" s="178"/>
      <c r="C1508" s="178"/>
      <c r="D1508" s="178"/>
      <c r="E1508"/>
    </row>
    <row r="1509" spans="1:5" x14ac:dyDescent="0.35">
      <c r="A1509" s="178"/>
      <c r="B1509" s="178"/>
      <c r="C1509" s="178"/>
      <c r="D1509" s="178"/>
      <c r="E1509"/>
    </row>
    <row r="1510" spans="1:5" x14ac:dyDescent="0.35">
      <c r="A1510" s="178"/>
      <c r="B1510" s="178"/>
      <c r="C1510" s="178"/>
      <c r="D1510" s="178"/>
      <c r="E1510"/>
    </row>
    <row r="1511" spans="1:5" x14ac:dyDescent="0.35">
      <c r="A1511" s="178"/>
      <c r="B1511" s="178"/>
      <c r="C1511" s="178"/>
      <c r="D1511" s="178"/>
      <c r="E1511"/>
    </row>
    <row r="1512" spans="1:5" x14ac:dyDescent="0.35">
      <c r="A1512" s="178"/>
      <c r="B1512" s="178"/>
      <c r="C1512" s="178"/>
      <c r="D1512" s="178"/>
      <c r="E1512"/>
    </row>
    <row r="1513" spans="1:5" x14ac:dyDescent="0.35">
      <c r="A1513" s="178"/>
      <c r="B1513" s="178"/>
      <c r="C1513" s="178"/>
      <c r="D1513" s="178"/>
      <c r="E1513"/>
    </row>
    <row r="1514" spans="1:5" x14ac:dyDescent="0.35">
      <c r="A1514" s="178"/>
      <c r="B1514" s="178"/>
      <c r="C1514" s="178"/>
      <c r="D1514" s="178"/>
      <c r="E1514"/>
    </row>
    <row r="1515" spans="1:5" x14ac:dyDescent="0.35">
      <c r="A1515" s="178"/>
      <c r="B1515" s="178"/>
      <c r="C1515" s="178"/>
      <c r="D1515" s="178"/>
      <c r="E1515"/>
    </row>
    <row r="1516" spans="1:5" x14ac:dyDescent="0.35">
      <c r="A1516" s="178"/>
      <c r="B1516" s="178"/>
      <c r="C1516" s="178"/>
      <c r="E1516"/>
    </row>
    <row r="1517" spans="1:5" x14ac:dyDescent="0.35">
      <c r="A1517" s="178"/>
      <c r="B1517" s="178"/>
      <c r="C1517" s="178"/>
      <c r="D1517" s="178"/>
      <c r="E1517"/>
    </row>
    <row r="1518" spans="1:5" x14ac:dyDescent="0.35">
      <c r="A1518" s="178"/>
      <c r="B1518" s="178"/>
      <c r="C1518" s="178"/>
      <c r="E1518"/>
    </row>
    <row r="1519" spans="1:5" x14ac:dyDescent="0.35">
      <c r="A1519" s="178"/>
      <c r="B1519" s="178"/>
      <c r="C1519" s="178"/>
      <c r="D1519" s="178"/>
      <c r="E1519"/>
    </row>
    <row r="1520" spans="1:5" x14ac:dyDescent="0.35">
      <c r="A1520" s="178"/>
      <c r="B1520" s="178"/>
      <c r="C1520" s="178"/>
      <c r="D1520" s="178"/>
      <c r="E1520"/>
    </row>
    <row r="1521" spans="1:5" x14ac:dyDescent="0.35">
      <c r="A1521" s="178"/>
      <c r="B1521" s="178"/>
      <c r="C1521" s="178"/>
      <c r="D1521" s="178"/>
      <c r="E1521"/>
    </row>
    <row r="1522" spans="1:5" x14ac:dyDescent="0.35">
      <c r="A1522" s="178"/>
      <c r="B1522" s="178"/>
      <c r="C1522" s="178"/>
      <c r="D1522" s="178"/>
      <c r="E1522"/>
    </row>
    <row r="1523" spans="1:5" x14ac:dyDescent="0.35">
      <c r="A1523" s="178"/>
      <c r="B1523" s="178"/>
      <c r="C1523" s="178"/>
      <c r="D1523" s="178"/>
      <c r="E1523"/>
    </row>
    <row r="1524" spans="1:5" x14ac:dyDescent="0.35">
      <c r="A1524" s="178"/>
      <c r="B1524" s="178"/>
      <c r="C1524" s="178"/>
      <c r="D1524" s="178"/>
      <c r="E1524"/>
    </row>
    <row r="1525" spans="1:5" x14ac:dyDescent="0.35">
      <c r="A1525" s="178"/>
      <c r="B1525" s="178"/>
      <c r="C1525" s="178"/>
      <c r="D1525" s="178"/>
      <c r="E1525"/>
    </row>
    <row r="1526" spans="1:5" x14ac:dyDescent="0.35">
      <c r="A1526" s="178"/>
      <c r="B1526" s="178"/>
      <c r="C1526" s="178"/>
      <c r="D1526" s="178"/>
      <c r="E1526"/>
    </row>
    <row r="1527" spans="1:5" x14ac:dyDescent="0.35">
      <c r="A1527" s="178"/>
      <c r="B1527" s="178"/>
      <c r="C1527" s="178"/>
      <c r="D1527" s="178"/>
      <c r="E1527"/>
    </row>
    <row r="1528" spans="1:5" x14ac:dyDescent="0.35">
      <c r="A1528" s="178"/>
      <c r="B1528" s="178"/>
      <c r="C1528" s="178"/>
      <c r="D1528" s="178"/>
      <c r="E1528"/>
    </row>
    <row r="1529" spans="1:5" x14ac:dyDescent="0.35">
      <c r="A1529" s="178"/>
      <c r="B1529" s="178"/>
      <c r="C1529" s="178"/>
      <c r="D1529" s="178"/>
      <c r="E1529"/>
    </row>
    <row r="1530" spans="1:5" x14ac:dyDescent="0.35">
      <c r="A1530" s="178"/>
      <c r="B1530" s="178"/>
      <c r="C1530" s="178"/>
      <c r="D1530" s="178"/>
      <c r="E1530"/>
    </row>
    <row r="1531" spans="1:5" x14ac:dyDescent="0.35">
      <c r="A1531" s="178"/>
      <c r="B1531" s="178"/>
      <c r="C1531" s="178"/>
      <c r="D1531" s="178"/>
      <c r="E1531"/>
    </row>
    <row r="1532" spans="1:5" x14ac:dyDescent="0.35">
      <c r="A1532" s="178"/>
      <c r="B1532" s="178"/>
      <c r="C1532" s="178"/>
      <c r="D1532" s="178"/>
      <c r="E1532"/>
    </row>
    <row r="1533" spans="1:5" x14ac:dyDescent="0.35">
      <c r="A1533" s="178"/>
      <c r="B1533" s="178"/>
      <c r="C1533" s="178"/>
      <c r="D1533" s="178"/>
      <c r="E1533"/>
    </row>
    <row r="1534" spans="1:5" x14ac:dyDescent="0.35">
      <c r="A1534" s="178"/>
      <c r="B1534" s="178"/>
      <c r="C1534" s="178"/>
      <c r="D1534" s="178"/>
      <c r="E1534"/>
    </row>
    <row r="1535" spans="1:5" x14ac:dyDescent="0.35">
      <c r="A1535" s="178"/>
      <c r="B1535" s="178"/>
      <c r="C1535" s="178"/>
      <c r="D1535" s="178"/>
      <c r="E1535"/>
    </row>
    <row r="1536" spans="1:5" x14ac:dyDescent="0.35">
      <c r="A1536" s="178"/>
      <c r="B1536" s="178"/>
      <c r="C1536" s="178"/>
      <c r="D1536" s="178"/>
      <c r="E1536"/>
    </row>
    <row r="1537" spans="1:6" x14ac:dyDescent="0.35">
      <c r="A1537" s="178"/>
      <c r="B1537" s="178"/>
      <c r="C1537" s="178"/>
      <c r="D1537" s="178"/>
      <c r="E1537"/>
    </row>
    <row r="1538" spans="1:6" x14ac:dyDescent="0.35">
      <c r="A1538" s="178"/>
      <c r="B1538" s="178"/>
      <c r="C1538" s="178"/>
      <c r="D1538" s="178"/>
      <c r="E1538"/>
    </row>
    <row r="1539" spans="1:6" x14ac:dyDescent="0.35">
      <c r="A1539" s="178"/>
      <c r="B1539" s="178"/>
      <c r="C1539" s="178"/>
      <c r="D1539" s="178"/>
      <c r="E1539"/>
    </row>
    <row r="1540" spans="1:6" x14ac:dyDescent="0.35">
      <c r="A1540" s="178"/>
      <c r="B1540" s="178"/>
      <c r="C1540" s="178"/>
      <c r="D1540" s="178"/>
      <c r="E1540"/>
    </row>
    <row r="1541" spans="1:6" x14ac:dyDescent="0.35">
      <c r="A1541" s="178"/>
      <c r="B1541" s="178"/>
      <c r="C1541" s="178"/>
      <c r="D1541" s="178"/>
      <c r="E1541"/>
    </row>
    <row r="1542" spans="1:6" x14ac:dyDescent="0.35">
      <c r="A1542" s="178"/>
      <c r="B1542" s="178"/>
      <c r="C1542" s="178"/>
      <c r="D1542" s="178"/>
      <c r="E1542"/>
    </row>
    <row r="1543" spans="1:6" x14ac:dyDescent="0.35">
      <c r="A1543" s="178"/>
      <c r="B1543" s="178"/>
      <c r="C1543" s="178"/>
      <c r="D1543" s="178"/>
      <c r="E1543"/>
      <c r="F1543" s="178"/>
    </row>
    <row r="1544" spans="1:6" x14ac:dyDescent="0.35">
      <c r="A1544" s="178"/>
      <c r="B1544" s="178"/>
      <c r="C1544" s="178"/>
      <c r="D1544" s="178"/>
      <c r="E1544"/>
    </row>
    <row r="1545" spans="1:6" x14ac:dyDescent="0.35">
      <c r="A1545" s="178"/>
      <c r="B1545" s="178"/>
      <c r="C1545" s="178"/>
      <c r="D1545" s="178"/>
      <c r="E1545"/>
    </row>
    <row r="1546" spans="1:6" x14ac:dyDescent="0.35">
      <c r="A1546" s="178"/>
      <c r="B1546" s="178"/>
      <c r="C1546" s="178"/>
      <c r="D1546" s="178"/>
      <c r="E1546"/>
    </row>
    <row r="1547" spans="1:6" x14ac:dyDescent="0.35">
      <c r="A1547" s="178"/>
      <c r="B1547" s="178"/>
      <c r="C1547" s="178"/>
      <c r="D1547" s="178"/>
      <c r="E1547"/>
    </row>
    <row r="1548" spans="1:6" x14ac:dyDescent="0.35">
      <c r="A1548" s="178"/>
      <c r="B1548" s="178"/>
      <c r="C1548" s="178"/>
      <c r="D1548" s="178"/>
      <c r="E1548"/>
    </row>
    <row r="1549" spans="1:6" x14ac:dyDescent="0.35">
      <c r="A1549" s="178"/>
      <c r="B1549" s="178"/>
      <c r="C1549" s="178"/>
      <c r="D1549" s="178"/>
      <c r="E1549"/>
    </row>
    <row r="1550" spans="1:6" x14ac:dyDescent="0.35">
      <c r="A1550" s="178"/>
      <c r="B1550" s="178"/>
      <c r="C1550" s="178"/>
      <c r="D1550" s="178"/>
      <c r="E1550"/>
    </row>
    <row r="1551" spans="1:6" x14ac:dyDescent="0.35">
      <c r="A1551" s="178"/>
      <c r="B1551" s="178"/>
      <c r="C1551" s="178"/>
      <c r="D1551" s="178"/>
      <c r="E1551"/>
    </row>
    <row r="1552" spans="1:6" x14ac:dyDescent="0.35">
      <c r="A1552" s="178"/>
      <c r="B1552" s="178"/>
      <c r="C1552" s="178"/>
      <c r="D1552" s="178"/>
      <c r="E1552"/>
    </row>
    <row r="1553" spans="1:5" x14ac:dyDescent="0.35">
      <c r="A1553" s="178"/>
      <c r="B1553" s="178"/>
      <c r="C1553" s="178"/>
      <c r="D1553" s="178"/>
      <c r="E1553"/>
    </row>
    <row r="1554" spans="1:5" x14ac:dyDescent="0.35">
      <c r="A1554" s="178"/>
      <c r="B1554" s="178"/>
      <c r="C1554" s="178"/>
      <c r="D1554" s="178"/>
      <c r="E1554"/>
    </row>
    <row r="1555" spans="1:5" x14ac:dyDescent="0.35">
      <c r="A1555" s="178"/>
      <c r="B1555" s="178"/>
      <c r="C1555" s="178"/>
      <c r="D1555" s="178"/>
      <c r="E1555"/>
    </row>
    <row r="1556" spans="1:5" x14ac:dyDescent="0.35">
      <c r="A1556" s="178"/>
      <c r="B1556" s="178"/>
      <c r="C1556" s="178"/>
      <c r="D1556" s="178"/>
      <c r="E1556"/>
    </row>
    <row r="1557" spans="1:5" x14ac:dyDescent="0.35">
      <c r="A1557" s="178"/>
      <c r="B1557" s="178"/>
      <c r="C1557" s="178"/>
      <c r="D1557" s="178"/>
      <c r="E1557"/>
    </row>
    <row r="1558" spans="1:5" x14ac:dyDescent="0.35">
      <c r="A1558" s="178"/>
      <c r="B1558" s="178"/>
      <c r="C1558" s="178"/>
      <c r="D1558" s="178"/>
      <c r="E1558"/>
    </row>
    <row r="1559" spans="1:5" x14ac:dyDescent="0.35">
      <c r="A1559" s="178"/>
      <c r="B1559" s="178"/>
      <c r="C1559" s="178"/>
      <c r="D1559" s="178"/>
      <c r="E1559"/>
    </row>
    <row r="1560" spans="1:5" x14ac:dyDescent="0.35">
      <c r="A1560" s="178"/>
      <c r="B1560" s="178"/>
      <c r="C1560" s="178"/>
      <c r="D1560" s="178"/>
      <c r="E1560"/>
    </row>
    <row r="1561" spans="1:5" x14ac:dyDescent="0.35">
      <c r="A1561" s="178"/>
      <c r="B1561" s="178"/>
      <c r="C1561" s="178"/>
      <c r="E1561"/>
    </row>
    <row r="1562" spans="1:5" x14ac:dyDescent="0.35">
      <c r="A1562" s="178"/>
      <c r="B1562" s="178"/>
      <c r="C1562" s="178"/>
      <c r="D1562" s="178"/>
      <c r="E1562"/>
    </row>
    <row r="1563" spans="1:5" x14ac:dyDescent="0.35">
      <c r="A1563" s="178"/>
      <c r="B1563" s="178"/>
      <c r="C1563" s="178"/>
      <c r="D1563" s="178"/>
      <c r="E1563"/>
    </row>
    <row r="1564" spans="1:5" x14ac:dyDescent="0.35">
      <c r="A1564" s="178"/>
      <c r="B1564" s="178"/>
      <c r="C1564" s="178"/>
      <c r="D1564" s="178"/>
      <c r="E1564"/>
    </row>
    <row r="1565" spans="1:5" x14ac:dyDescent="0.35">
      <c r="A1565" s="178"/>
      <c r="B1565" s="178"/>
      <c r="C1565" s="178"/>
      <c r="D1565" s="178"/>
      <c r="E1565"/>
    </row>
    <row r="1566" spans="1:5" x14ac:dyDescent="0.35">
      <c r="A1566" s="178"/>
      <c r="B1566" s="178"/>
      <c r="C1566" s="178"/>
      <c r="D1566" s="178"/>
      <c r="E1566"/>
    </row>
    <row r="1567" spans="1:5" x14ac:dyDescent="0.35">
      <c r="A1567" s="178"/>
      <c r="B1567" s="178"/>
      <c r="C1567" s="178"/>
      <c r="D1567" s="178"/>
      <c r="E1567"/>
    </row>
    <row r="1568" spans="1:5" x14ac:dyDescent="0.35">
      <c r="A1568" s="178"/>
      <c r="B1568" s="178"/>
      <c r="C1568" s="178"/>
      <c r="D1568" s="178"/>
      <c r="E1568"/>
    </row>
    <row r="1569" spans="1:5" x14ac:dyDescent="0.35">
      <c r="A1569" s="178"/>
      <c r="B1569" s="178"/>
      <c r="C1569" s="178"/>
      <c r="D1569" s="178"/>
      <c r="E1569"/>
    </row>
    <row r="1570" spans="1:5" x14ac:dyDescent="0.35">
      <c r="A1570" s="178"/>
      <c r="B1570" s="178"/>
      <c r="C1570" s="178"/>
      <c r="D1570" s="178"/>
      <c r="E1570"/>
    </row>
    <row r="1571" spans="1:5" x14ac:dyDescent="0.35">
      <c r="A1571" s="178"/>
      <c r="B1571" s="178"/>
      <c r="C1571" s="178"/>
      <c r="D1571" s="178"/>
      <c r="E1571"/>
    </row>
    <row r="1572" spans="1:5" x14ac:dyDescent="0.35">
      <c r="A1572" s="178"/>
      <c r="B1572" s="178"/>
      <c r="C1572" s="178"/>
      <c r="D1572" s="178"/>
      <c r="E1572"/>
    </row>
    <row r="1573" spans="1:5" x14ac:dyDescent="0.35">
      <c r="A1573" s="178"/>
      <c r="B1573" s="178"/>
      <c r="C1573" s="178"/>
      <c r="D1573" s="178"/>
      <c r="E1573"/>
    </row>
    <row r="1574" spans="1:5" x14ac:dyDescent="0.35">
      <c r="A1574" s="178"/>
      <c r="B1574" s="178"/>
      <c r="C1574" s="178"/>
      <c r="D1574" s="178"/>
      <c r="E1574"/>
    </row>
    <row r="1575" spans="1:5" x14ac:dyDescent="0.35">
      <c r="A1575" s="178"/>
      <c r="B1575" s="178"/>
      <c r="C1575" s="178"/>
      <c r="D1575" s="178"/>
      <c r="E1575"/>
    </row>
    <row r="1576" spans="1:5" x14ac:dyDescent="0.35">
      <c r="A1576" s="178"/>
      <c r="B1576" s="178"/>
      <c r="C1576" s="178"/>
      <c r="D1576" s="178"/>
      <c r="E1576"/>
    </row>
    <row r="1577" spans="1:5" x14ac:dyDescent="0.35">
      <c r="A1577" s="178"/>
      <c r="B1577" s="178"/>
      <c r="C1577" s="178"/>
      <c r="D1577" s="178"/>
      <c r="E1577"/>
    </row>
    <row r="1578" spans="1:5" x14ac:dyDescent="0.35">
      <c r="A1578" s="178"/>
      <c r="B1578" s="178"/>
      <c r="C1578" s="178"/>
      <c r="D1578" s="178"/>
      <c r="E1578"/>
    </row>
    <row r="1579" spans="1:5" x14ac:dyDescent="0.35">
      <c r="A1579" s="178"/>
      <c r="B1579" s="178"/>
      <c r="C1579" s="178"/>
      <c r="D1579" s="178"/>
      <c r="E1579"/>
    </row>
    <row r="1580" spans="1:5" x14ac:dyDescent="0.35">
      <c r="A1580" s="178"/>
      <c r="B1580" s="178"/>
      <c r="C1580" s="178"/>
      <c r="D1580" s="178"/>
      <c r="E1580"/>
    </row>
    <row r="1581" spans="1:5" x14ac:dyDescent="0.35">
      <c r="A1581" s="178"/>
      <c r="B1581" s="178"/>
      <c r="C1581" s="178"/>
      <c r="D1581" s="178"/>
      <c r="E1581"/>
    </row>
    <row r="1582" spans="1:5" x14ac:dyDescent="0.35">
      <c r="A1582" s="178"/>
      <c r="B1582" s="178"/>
      <c r="C1582" s="178"/>
      <c r="D1582" s="178"/>
      <c r="E1582"/>
    </row>
    <row r="1583" spans="1:5" x14ac:dyDescent="0.35">
      <c r="A1583" s="178"/>
      <c r="B1583" s="178"/>
      <c r="C1583" s="178"/>
      <c r="D1583" s="178"/>
      <c r="E1583"/>
    </row>
    <row r="1584" spans="1:5" x14ac:dyDescent="0.35">
      <c r="A1584" s="178"/>
      <c r="B1584" s="178"/>
      <c r="C1584" s="178"/>
      <c r="D1584" s="178"/>
      <c r="E1584"/>
    </row>
    <row r="1585" spans="1:5" x14ac:dyDescent="0.35">
      <c r="A1585" s="178"/>
      <c r="B1585" s="178"/>
      <c r="C1585" s="178"/>
      <c r="D1585" s="178"/>
      <c r="E1585"/>
    </row>
    <row r="1586" spans="1:5" x14ac:dyDescent="0.35">
      <c r="A1586" s="178"/>
      <c r="B1586" s="178"/>
      <c r="C1586" s="178"/>
      <c r="D1586" s="178"/>
      <c r="E1586"/>
    </row>
    <row r="1587" spans="1:5" x14ac:dyDescent="0.35">
      <c r="A1587" s="178"/>
      <c r="B1587" s="178"/>
      <c r="C1587" s="178"/>
      <c r="D1587" s="178"/>
      <c r="E1587"/>
    </row>
    <row r="1588" spans="1:5" x14ac:dyDescent="0.35">
      <c r="A1588" s="178"/>
      <c r="B1588" s="178"/>
      <c r="C1588" s="178"/>
      <c r="D1588" s="178"/>
      <c r="E1588"/>
    </row>
    <row r="1589" spans="1:5" x14ac:dyDescent="0.35">
      <c r="A1589" s="178"/>
      <c r="B1589" s="178"/>
      <c r="C1589" s="178"/>
      <c r="D1589" s="178"/>
      <c r="E1589"/>
    </row>
    <row r="1590" spans="1:5" x14ac:dyDescent="0.35">
      <c r="A1590" s="178"/>
      <c r="B1590" s="178"/>
      <c r="C1590" s="178"/>
      <c r="D1590" s="178"/>
      <c r="E1590"/>
    </row>
    <row r="1591" spans="1:5" x14ac:dyDescent="0.35">
      <c r="A1591" s="178"/>
      <c r="B1591" s="178"/>
      <c r="C1591" s="178"/>
      <c r="D1591" s="178"/>
      <c r="E1591"/>
    </row>
    <row r="1592" spans="1:5" x14ac:dyDescent="0.35">
      <c r="A1592" s="178"/>
      <c r="B1592" s="178"/>
      <c r="C1592" s="178"/>
      <c r="D1592" s="178"/>
      <c r="E1592"/>
    </row>
    <row r="1593" spans="1:5" x14ac:dyDescent="0.35">
      <c r="A1593" s="178"/>
      <c r="B1593" s="178"/>
      <c r="C1593" s="178"/>
      <c r="D1593" s="178"/>
      <c r="E1593"/>
    </row>
    <row r="1594" spans="1:5" x14ac:dyDescent="0.35">
      <c r="A1594" s="178"/>
      <c r="B1594" s="178"/>
      <c r="C1594" s="178"/>
      <c r="D1594" s="178"/>
      <c r="E1594"/>
    </row>
    <row r="1595" spans="1:5" x14ac:dyDescent="0.35">
      <c r="A1595" s="178"/>
      <c r="B1595" s="178"/>
      <c r="C1595" s="178"/>
      <c r="D1595" s="178"/>
      <c r="E1595"/>
    </row>
    <row r="1596" spans="1:5" x14ac:dyDescent="0.35">
      <c r="A1596" s="178"/>
      <c r="B1596" s="178"/>
      <c r="C1596" s="178"/>
      <c r="D1596" s="178"/>
      <c r="E1596"/>
    </row>
    <row r="1597" spans="1:5" x14ac:dyDescent="0.35">
      <c r="A1597" s="178"/>
      <c r="B1597" s="178"/>
      <c r="C1597" s="178"/>
      <c r="D1597" s="178"/>
      <c r="E1597"/>
    </row>
    <row r="1598" spans="1:5" x14ac:dyDescent="0.35">
      <c r="A1598" s="178"/>
      <c r="B1598" s="178"/>
      <c r="C1598" s="178"/>
      <c r="D1598" s="178"/>
      <c r="E1598"/>
    </row>
    <row r="1599" spans="1:5" x14ac:dyDescent="0.35">
      <c r="A1599" s="178"/>
      <c r="B1599" s="178"/>
      <c r="C1599" s="178"/>
      <c r="D1599" s="178"/>
      <c r="E1599"/>
    </row>
    <row r="1600" spans="1:5" x14ac:dyDescent="0.35">
      <c r="A1600" s="178"/>
      <c r="B1600" s="178"/>
      <c r="C1600" s="178"/>
      <c r="D1600" s="178"/>
      <c r="E1600"/>
    </row>
    <row r="1601" spans="1:5" x14ac:dyDescent="0.35">
      <c r="A1601" s="178"/>
      <c r="B1601" s="178"/>
      <c r="C1601" s="178"/>
      <c r="D1601" s="178"/>
      <c r="E1601"/>
    </row>
    <row r="1602" spans="1:5" x14ac:dyDescent="0.35">
      <c r="A1602" s="178"/>
      <c r="B1602" s="178"/>
      <c r="C1602" s="178"/>
      <c r="D1602" s="178"/>
      <c r="E1602"/>
    </row>
    <row r="1603" spans="1:5" x14ac:dyDescent="0.35">
      <c r="A1603" s="178"/>
      <c r="B1603" s="178"/>
      <c r="C1603" s="178"/>
      <c r="D1603" s="178"/>
      <c r="E1603"/>
    </row>
    <row r="1604" spans="1:5" x14ac:dyDescent="0.35">
      <c r="A1604" s="178"/>
      <c r="B1604" s="178"/>
      <c r="C1604" s="178"/>
      <c r="D1604" s="178"/>
      <c r="E1604"/>
    </row>
    <row r="1605" spans="1:5" x14ac:dyDescent="0.35">
      <c r="A1605" s="178"/>
      <c r="B1605" s="178"/>
      <c r="C1605" s="178"/>
      <c r="D1605" s="178"/>
      <c r="E1605"/>
    </row>
    <row r="1606" spans="1:5" x14ac:dyDescent="0.35">
      <c r="A1606" s="178"/>
      <c r="B1606" s="178"/>
      <c r="C1606" s="178"/>
      <c r="D1606" s="178"/>
      <c r="E1606"/>
    </row>
    <row r="1607" spans="1:5" x14ac:dyDescent="0.35">
      <c r="A1607" s="178"/>
      <c r="B1607" s="178"/>
      <c r="C1607" s="178"/>
      <c r="D1607" s="178"/>
      <c r="E1607"/>
    </row>
    <row r="1608" spans="1:5" x14ac:dyDescent="0.35">
      <c r="A1608" s="178"/>
      <c r="B1608" s="178"/>
      <c r="C1608" s="178"/>
      <c r="D1608" s="178"/>
      <c r="E1608"/>
    </row>
    <row r="1609" spans="1:5" x14ac:dyDescent="0.35">
      <c r="A1609" s="178"/>
      <c r="B1609" s="178"/>
      <c r="C1609" s="178"/>
      <c r="D1609" s="178"/>
      <c r="E1609"/>
    </row>
    <row r="1610" spans="1:5" x14ac:dyDescent="0.35">
      <c r="A1610" s="178"/>
      <c r="B1610" s="178"/>
      <c r="C1610" s="178"/>
      <c r="D1610" s="178"/>
      <c r="E1610"/>
    </row>
    <row r="1611" spans="1:5" x14ac:dyDescent="0.35">
      <c r="A1611" s="178"/>
      <c r="B1611" s="178"/>
      <c r="C1611" s="178"/>
      <c r="D1611" s="178"/>
      <c r="E1611"/>
    </row>
    <row r="1612" spans="1:5" x14ac:dyDescent="0.35">
      <c r="A1612" s="178"/>
      <c r="B1612" s="178"/>
      <c r="C1612" s="178"/>
      <c r="D1612" s="178"/>
      <c r="E1612"/>
    </row>
    <row r="1613" spans="1:5" x14ac:dyDescent="0.35">
      <c r="A1613" s="178"/>
      <c r="B1613" s="178"/>
      <c r="C1613" s="178"/>
      <c r="D1613" s="178"/>
      <c r="E1613"/>
    </row>
    <row r="1614" spans="1:5" x14ac:dyDescent="0.35">
      <c r="A1614" s="178"/>
      <c r="B1614" s="178"/>
      <c r="C1614" s="178"/>
      <c r="D1614" s="178"/>
      <c r="E1614"/>
    </row>
    <row r="1615" spans="1:5" x14ac:dyDescent="0.35">
      <c r="A1615" s="178"/>
      <c r="B1615" s="178"/>
      <c r="C1615" s="178"/>
      <c r="D1615" s="178"/>
      <c r="E1615"/>
    </row>
    <row r="1616" spans="1:5" x14ac:dyDescent="0.35">
      <c r="A1616" s="178"/>
      <c r="B1616" s="178"/>
      <c r="C1616" s="178"/>
      <c r="D1616" s="178"/>
      <c r="E1616"/>
    </row>
    <row r="1617" spans="1:5" x14ac:dyDescent="0.35">
      <c r="A1617" s="178"/>
      <c r="B1617" s="178"/>
      <c r="C1617" s="178"/>
      <c r="D1617" s="178"/>
      <c r="E1617"/>
    </row>
    <row r="1618" spans="1:5" x14ac:dyDescent="0.35">
      <c r="A1618" s="178"/>
      <c r="B1618" s="178"/>
      <c r="C1618" s="178"/>
      <c r="D1618" s="178"/>
      <c r="E1618"/>
    </row>
    <row r="1619" spans="1:5" x14ac:dyDescent="0.35">
      <c r="A1619" s="178"/>
      <c r="B1619" s="178"/>
      <c r="C1619" s="178"/>
      <c r="D1619" s="178"/>
      <c r="E1619"/>
    </row>
    <row r="1620" spans="1:5" x14ac:dyDescent="0.35">
      <c r="A1620" s="178"/>
      <c r="B1620" s="178"/>
      <c r="C1620" s="178"/>
      <c r="D1620" s="178"/>
      <c r="E1620"/>
    </row>
    <row r="1621" spans="1:5" x14ac:dyDescent="0.35">
      <c r="A1621" s="178"/>
      <c r="B1621" s="178"/>
      <c r="C1621" s="178"/>
      <c r="D1621" s="178"/>
      <c r="E1621"/>
    </row>
    <row r="1622" spans="1:5" x14ac:dyDescent="0.35">
      <c r="A1622" s="178"/>
      <c r="B1622" s="178"/>
      <c r="C1622" s="178"/>
      <c r="D1622" s="178"/>
      <c r="E1622"/>
    </row>
    <row r="1623" spans="1:5" x14ac:dyDescent="0.35">
      <c r="A1623" s="178"/>
      <c r="B1623" s="178"/>
      <c r="C1623" s="178"/>
      <c r="D1623" s="178"/>
      <c r="E1623"/>
    </row>
    <row r="1624" spans="1:5" x14ac:dyDescent="0.35">
      <c r="A1624" s="178"/>
      <c r="B1624" s="178"/>
      <c r="C1624" s="178"/>
      <c r="D1624" s="178"/>
      <c r="E1624"/>
    </row>
    <row r="1625" spans="1:5" x14ac:dyDescent="0.35">
      <c r="A1625" s="178"/>
      <c r="B1625" s="178"/>
      <c r="C1625" s="178"/>
      <c r="D1625" s="178"/>
      <c r="E1625"/>
    </row>
    <row r="1626" spans="1:5" x14ac:dyDescent="0.35">
      <c r="A1626" s="178"/>
      <c r="B1626" s="178"/>
      <c r="C1626" s="178"/>
      <c r="D1626" s="178"/>
      <c r="E1626"/>
    </row>
    <row r="1627" spans="1:5" x14ac:dyDescent="0.35">
      <c r="A1627" s="178"/>
      <c r="B1627" s="178"/>
      <c r="C1627" s="178"/>
      <c r="D1627" s="178"/>
      <c r="E1627"/>
    </row>
    <row r="1628" spans="1:5" x14ac:dyDescent="0.35">
      <c r="A1628" s="178"/>
      <c r="B1628" s="178"/>
      <c r="C1628" s="178"/>
      <c r="D1628" s="178"/>
      <c r="E1628"/>
    </row>
    <row r="1629" spans="1:5" x14ac:dyDescent="0.35">
      <c r="A1629" s="178"/>
      <c r="B1629" s="178"/>
      <c r="C1629" s="178"/>
      <c r="D1629" s="178"/>
      <c r="E1629"/>
    </row>
    <row r="1630" spans="1:5" x14ac:dyDescent="0.35">
      <c r="A1630" s="178"/>
      <c r="B1630" s="178"/>
      <c r="C1630" s="178"/>
      <c r="D1630" s="178"/>
      <c r="E1630"/>
    </row>
    <row r="1631" spans="1:5" x14ac:dyDescent="0.35">
      <c r="A1631" s="178"/>
      <c r="B1631" s="178"/>
      <c r="C1631" s="178"/>
      <c r="D1631" s="178"/>
      <c r="E1631"/>
    </row>
    <row r="1632" spans="1:5" x14ac:dyDescent="0.35">
      <c r="A1632" s="178"/>
      <c r="B1632" s="178"/>
      <c r="C1632" s="178"/>
      <c r="D1632" s="178"/>
      <c r="E1632"/>
    </row>
    <row r="1633" spans="1:5" x14ac:dyDescent="0.35">
      <c r="A1633" s="178"/>
      <c r="B1633" s="178"/>
      <c r="C1633" s="178"/>
      <c r="D1633" s="178"/>
      <c r="E1633"/>
    </row>
    <row r="1634" spans="1:5" x14ac:dyDescent="0.35">
      <c r="A1634" s="178"/>
      <c r="B1634" s="178"/>
      <c r="C1634" s="178"/>
      <c r="D1634" s="178"/>
      <c r="E1634"/>
    </row>
    <row r="1635" spans="1:5" x14ac:dyDescent="0.35">
      <c r="A1635" s="178"/>
      <c r="B1635" s="178"/>
      <c r="C1635" s="178"/>
      <c r="D1635" s="178"/>
      <c r="E1635"/>
    </row>
    <row r="1636" spans="1:5" x14ac:dyDescent="0.35">
      <c r="A1636" s="178"/>
      <c r="B1636" s="178"/>
      <c r="C1636" s="178"/>
      <c r="D1636" s="178"/>
      <c r="E1636"/>
    </row>
    <row r="1637" spans="1:5" x14ac:dyDescent="0.35">
      <c r="A1637" s="178"/>
      <c r="B1637" s="178"/>
      <c r="C1637" s="178"/>
      <c r="D1637" s="178"/>
      <c r="E1637"/>
    </row>
    <row r="1638" spans="1:5" x14ac:dyDescent="0.35">
      <c r="A1638" s="178"/>
      <c r="B1638" s="178"/>
      <c r="C1638" s="178"/>
      <c r="D1638" s="178"/>
      <c r="E1638"/>
    </row>
    <row r="1639" spans="1:5" x14ac:dyDescent="0.35">
      <c r="A1639" s="178"/>
      <c r="B1639" s="178"/>
      <c r="C1639" s="178"/>
      <c r="D1639" s="178"/>
      <c r="E1639"/>
    </row>
    <row r="1640" spans="1:5" x14ac:dyDescent="0.35">
      <c r="A1640" s="178"/>
      <c r="B1640" s="178"/>
      <c r="C1640" s="178"/>
      <c r="D1640" s="178"/>
      <c r="E1640"/>
    </row>
    <row r="1641" spans="1:5" x14ac:dyDescent="0.35">
      <c r="A1641" s="178"/>
      <c r="B1641" s="178"/>
      <c r="C1641" s="178"/>
      <c r="D1641" s="178"/>
      <c r="E1641"/>
    </row>
    <row r="1642" spans="1:5" x14ac:dyDescent="0.35">
      <c r="A1642" s="178"/>
      <c r="B1642" s="178"/>
      <c r="C1642" s="178"/>
      <c r="D1642" s="178"/>
      <c r="E1642"/>
    </row>
    <row r="1643" spans="1:5" x14ac:dyDescent="0.35">
      <c r="A1643" s="178"/>
      <c r="B1643" s="178"/>
      <c r="C1643" s="178"/>
      <c r="D1643" s="178"/>
      <c r="E1643"/>
    </row>
    <row r="1644" spans="1:5" x14ac:dyDescent="0.35">
      <c r="A1644" s="178"/>
      <c r="B1644" s="178"/>
      <c r="C1644" s="178"/>
      <c r="D1644" s="178"/>
      <c r="E1644"/>
    </row>
    <row r="1645" spans="1:5" x14ac:dyDescent="0.35">
      <c r="A1645" s="178"/>
      <c r="B1645" s="178"/>
      <c r="C1645" s="178"/>
      <c r="D1645" s="178"/>
      <c r="E1645"/>
    </row>
    <row r="1646" spans="1:5" x14ac:dyDescent="0.35">
      <c r="A1646" s="178"/>
      <c r="B1646" s="178"/>
      <c r="C1646" s="178"/>
      <c r="D1646" s="178"/>
      <c r="E1646"/>
    </row>
    <row r="1647" spans="1:5" x14ac:dyDescent="0.35">
      <c r="A1647" s="178"/>
      <c r="B1647" s="178"/>
      <c r="C1647" s="178"/>
      <c r="D1647" s="178"/>
      <c r="E1647"/>
    </row>
    <row r="1648" spans="1:5" x14ac:dyDescent="0.35">
      <c r="A1648" s="178"/>
      <c r="B1648" s="178"/>
      <c r="C1648" s="178"/>
      <c r="D1648" s="178"/>
      <c r="E1648"/>
    </row>
    <row r="1649" spans="1:5" x14ac:dyDescent="0.35">
      <c r="A1649" s="178"/>
      <c r="B1649" s="178"/>
      <c r="C1649" s="178"/>
      <c r="D1649" s="178"/>
      <c r="E1649"/>
    </row>
    <row r="1650" spans="1:5" x14ac:dyDescent="0.35">
      <c r="A1650" s="178"/>
      <c r="B1650" s="178"/>
      <c r="C1650" s="178"/>
      <c r="D1650" s="178"/>
      <c r="E1650"/>
    </row>
    <row r="1651" spans="1:5" x14ac:dyDescent="0.35">
      <c r="A1651" s="178"/>
      <c r="B1651" s="178"/>
      <c r="C1651" s="178"/>
      <c r="D1651" s="178"/>
      <c r="E1651"/>
    </row>
    <row r="1652" spans="1:5" x14ac:dyDescent="0.35">
      <c r="A1652" s="178"/>
      <c r="B1652" s="178"/>
      <c r="C1652" s="178"/>
      <c r="D1652" s="178"/>
      <c r="E1652"/>
    </row>
    <row r="1653" spans="1:5" x14ac:dyDescent="0.35">
      <c r="A1653" s="178"/>
      <c r="B1653" s="178"/>
      <c r="C1653" s="178"/>
      <c r="D1653" s="178"/>
      <c r="E1653"/>
    </row>
    <row r="1654" spans="1:5" x14ac:dyDescent="0.35">
      <c r="A1654" s="178"/>
      <c r="B1654" s="178"/>
      <c r="C1654" s="178"/>
      <c r="D1654" s="178"/>
      <c r="E1654"/>
    </row>
    <row r="1655" spans="1:5" x14ac:dyDescent="0.35">
      <c r="A1655" s="178"/>
      <c r="B1655" s="178"/>
      <c r="C1655" s="178"/>
      <c r="D1655" s="178"/>
      <c r="E1655"/>
    </row>
    <row r="1656" spans="1:5" x14ac:dyDescent="0.35">
      <c r="A1656" s="178"/>
      <c r="B1656" s="178"/>
      <c r="C1656" s="178"/>
      <c r="D1656" s="178"/>
      <c r="E1656"/>
    </row>
    <row r="1657" spans="1:5" x14ac:dyDescent="0.35">
      <c r="A1657" s="178"/>
      <c r="B1657" s="178"/>
      <c r="C1657" s="178"/>
      <c r="D1657" s="178"/>
      <c r="E1657"/>
    </row>
    <row r="1658" spans="1:5" x14ac:dyDescent="0.35">
      <c r="A1658" s="178"/>
      <c r="B1658" s="178"/>
      <c r="C1658" s="178"/>
      <c r="D1658" s="178"/>
      <c r="E1658"/>
    </row>
    <row r="1659" spans="1:5" x14ac:dyDescent="0.35">
      <c r="A1659" s="178"/>
      <c r="B1659" s="178"/>
      <c r="C1659" s="178"/>
      <c r="D1659" s="178"/>
      <c r="E1659"/>
    </row>
    <row r="1660" spans="1:5" x14ac:dyDescent="0.35">
      <c r="A1660" s="178"/>
      <c r="B1660" s="178"/>
      <c r="C1660" s="178"/>
      <c r="D1660" s="178"/>
      <c r="E1660"/>
    </row>
    <row r="1661" spans="1:5" x14ac:dyDescent="0.35">
      <c r="A1661" s="178"/>
      <c r="B1661" s="178"/>
      <c r="C1661" s="178"/>
      <c r="D1661" s="178"/>
      <c r="E1661"/>
    </row>
    <row r="1662" spans="1:5" x14ac:dyDescent="0.35">
      <c r="A1662" s="178"/>
      <c r="B1662" s="178"/>
      <c r="C1662" s="178"/>
      <c r="D1662" s="178"/>
      <c r="E1662"/>
    </row>
    <row r="1663" spans="1:5" x14ac:dyDescent="0.35">
      <c r="A1663" s="178"/>
      <c r="B1663" s="178"/>
      <c r="C1663" s="178"/>
      <c r="D1663" s="178"/>
      <c r="E1663"/>
    </row>
    <row r="1664" spans="1:5" x14ac:dyDescent="0.35">
      <c r="A1664" s="178"/>
      <c r="B1664" s="178"/>
      <c r="C1664" s="178"/>
      <c r="D1664" s="178"/>
      <c r="E1664"/>
    </row>
    <row r="1665" spans="1:5" x14ac:dyDescent="0.35">
      <c r="A1665" s="178"/>
      <c r="B1665" s="178"/>
      <c r="C1665" s="178"/>
      <c r="D1665" s="178"/>
      <c r="E1665"/>
    </row>
    <row r="1666" spans="1:5" x14ac:dyDescent="0.35">
      <c r="A1666" s="178"/>
      <c r="B1666" s="178"/>
      <c r="C1666" s="178"/>
      <c r="D1666" s="178"/>
      <c r="E1666"/>
    </row>
    <row r="1667" spans="1:5" x14ac:dyDescent="0.35">
      <c r="A1667" s="178"/>
      <c r="B1667" s="178"/>
      <c r="C1667" s="178"/>
      <c r="D1667" s="178"/>
      <c r="E1667"/>
    </row>
    <row r="1668" spans="1:5" x14ac:dyDescent="0.35">
      <c r="A1668" s="178"/>
      <c r="B1668" s="178"/>
      <c r="C1668" s="178"/>
      <c r="D1668" s="178"/>
      <c r="E1668"/>
    </row>
    <row r="1669" spans="1:5" x14ac:dyDescent="0.35">
      <c r="A1669" s="178"/>
      <c r="B1669" s="178"/>
      <c r="C1669" s="178"/>
      <c r="D1669" s="178"/>
      <c r="E1669"/>
    </row>
    <row r="1670" spans="1:5" x14ac:dyDescent="0.35">
      <c r="A1670" s="178"/>
      <c r="B1670" s="178"/>
      <c r="C1670" s="178"/>
      <c r="D1670" s="178"/>
      <c r="E1670"/>
    </row>
    <row r="1671" spans="1:5" x14ac:dyDescent="0.35">
      <c r="A1671" s="178"/>
      <c r="B1671" s="178"/>
      <c r="C1671" s="178"/>
      <c r="D1671" s="178"/>
      <c r="E1671"/>
    </row>
    <row r="1672" spans="1:5" x14ac:dyDescent="0.35">
      <c r="A1672" s="178"/>
      <c r="B1672" s="178"/>
      <c r="C1672" s="178"/>
      <c r="D1672" s="178"/>
      <c r="E1672"/>
    </row>
    <row r="1673" spans="1:5" x14ac:dyDescent="0.35">
      <c r="A1673" s="178"/>
      <c r="B1673" s="178"/>
      <c r="C1673" s="178"/>
      <c r="D1673" s="178"/>
      <c r="E1673"/>
    </row>
    <row r="1674" spans="1:5" x14ac:dyDescent="0.35">
      <c r="A1674" s="178"/>
      <c r="B1674" s="178"/>
      <c r="C1674" s="178"/>
      <c r="D1674" s="178"/>
      <c r="E1674"/>
    </row>
    <row r="1675" spans="1:5" x14ac:dyDescent="0.35">
      <c r="A1675" s="178"/>
      <c r="B1675" s="178"/>
      <c r="C1675" s="178"/>
      <c r="D1675" s="178"/>
      <c r="E1675"/>
    </row>
    <row r="1676" spans="1:5" x14ac:dyDescent="0.35">
      <c r="A1676" s="178"/>
      <c r="B1676" s="178"/>
      <c r="C1676" s="178"/>
      <c r="D1676" s="178"/>
      <c r="E1676"/>
    </row>
    <row r="1677" spans="1:5" x14ac:dyDescent="0.35">
      <c r="A1677" s="178"/>
      <c r="B1677" s="178"/>
      <c r="C1677" s="178"/>
      <c r="D1677" s="178"/>
      <c r="E1677"/>
    </row>
    <row r="1678" spans="1:5" x14ac:dyDescent="0.35">
      <c r="A1678" s="178"/>
      <c r="B1678" s="178"/>
      <c r="C1678" s="178"/>
      <c r="D1678" s="178"/>
      <c r="E1678"/>
    </row>
    <row r="1679" spans="1:5" x14ac:dyDescent="0.35">
      <c r="A1679" s="178"/>
      <c r="B1679" s="178"/>
      <c r="C1679" s="178"/>
      <c r="D1679" s="178"/>
      <c r="E1679"/>
    </row>
    <row r="1680" spans="1:5" x14ac:dyDescent="0.35">
      <c r="A1680" s="178"/>
      <c r="B1680" s="178"/>
      <c r="C1680" s="178"/>
      <c r="D1680" s="178"/>
      <c r="E1680"/>
    </row>
    <row r="1681" spans="1:6" x14ac:dyDescent="0.35">
      <c r="A1681" s="178"/>
      <c r="B1681" s="178"/>
      <c r="C1681" s="178"/>
      <c r="D1681" s="178"/>
      <c r="E1681"/>
    </row>
    <row r="1682" spans="1:6" x14ac:dyDescent="0.35">
      <c r="A1682" s="178"/>
      <c r="B1682" s="178"/>
      <c r="C1682" s="178"/>
      <c r="D1682" s="178"/>
      <c r="E1682"/>
    </row>
    <row r="1683" spans="1:6" x14ac:dyDescent="0.35">
      <c r="A1683" s="178"/>
      <c r="B1683" s="178"/>
      <c r="C1683" s="178"/>
      <c r="D1683" s="178"/>
      <c r="E1683"/>
    </row>
    <row r="1684" spans="1:6" x14ac:dyDescent="0.35">
      <c r="A1684" s="178"/>
      <c r="B1684" s="178"/>
      <c r="C1684" s="178"/>
      <c r="D1684" s="178"/>
      <c r="E1684"/>
    </row>
    <row r="1685" spans="1:6" x14ac:dyDescent="0.35">
      <c r="A1685" s="178"/>
      <c r="B1685" s="178"/>
      <c r="C1685" s="178"/>
      <c r="D1685" s="178"/>
      <c r="E1685"/>
    </row>
    <row r="1686" spans="1:6" x14ac:dyDescent="0.35">
      <c r="A1686" s="178"/>
      <c r="B1686" s="178"/>
      <c r="C1686" s="178"/>
      <c r="D1686" s="178"/>
      <c r="E1686"/>
    </row>
    <row r="1687" spans="1:6" x14ac:dyDescent="0.35">
      <c r="A1687" s="178"/>
      <c r="B1687" s="178"/>
      <c r="C1687" s="178"/>
      <c r="D1687" s="178"/>
      <c r="E1687"/>
    </row>
    <row r="1688" spans="1:6" x14ac:dyDescent="0.35">
      <c r="A1688" s="178"/>
      <c r="B1688" s="178"/>
      <c r="C1688" s="178"/>
      <c r="D1688" s="178"/>
      <c r="E1688"/>
    </row>
    <row r="1689" spans="1:6" x14ac:dyDescent="0.35">
      <c r="A1689" s="178"/>
      <c r="B1689" s="178"/>
      <c r="C1689" s="178"/>
      <c r="D1689" s="178"/>
      <c r="E1689"/>
    </row>
    <row r="1690" spans="1:6" x14ac:dyDescent="0.35">
      <c r="A1690" s="178"/>
      <c r="B1690" s="178"/>
      <c r="C1690" s="178"/>
      <c r="D1690" s="178"/>
      <c r="E1690"/>
    </row>
    <row r="1691" spans="1:6" x14ac:dyDescent="0.35">
      <c r="A1691" s="178"/>
      <c r="B1691" s="178"/>
      <c r="C1691" s="178"/>
      <c r="D1691" s="178"/>
      <c r="E1691"/>
    </row>
    <row r="1692" spans="1:6" x14ac:dyDescent="0.35">
      <c r="A1692" s="178"/>
      <c r="B1692" s="178"/>
      <c r="C1692" s="178"/>
      <c r="D1692" s="178"/>
      <c r="E1692"/>
    </row>
    <row r="1693" spans="1:6" x14ac:dyDescent="0.35">
      <c r="A1693" s="178"/>
      <c r="B1693" s="178"/>
      <c r="C1693" s="178"/>
      <c r="D1693" s="178"/>
      <c r="E1693" s="178"/>
      <c r="F1693" s="178"/>
    </row>
    <row r="1694" spans="1:6" x14ac:dyDescent="0.35">
      <c r="A1694" s="178"/>
      <c r="B1694" s="178"/>
      <c r="C1694" s="178"/>
      <c r="D1694" s="178"/>
      <c r="E1694"/>
    </row>
    <row r="1695" spans="1:6" x14ac:dyDescent="0.35">
      <c r="A1695" s="178"/>
      <c r="B1695" s="178"/>
      <c r="C1695" s="178"/>
      <c r="D1695" s="178"/>
      <c r="E1695"/>
    </row>
    <row r="1696" spans="1:6" x14ac:dyDescent="0.35">
      <c r="A1696" s="178"/>
      <c r="B1696" s="178"/>
      <c r="C1696" s="178"/>
      <c r="D1696" s="178"/>
      <c r="E1696"/>
    </row>
    <row r="1697" spans="1:5" x14ac:dyDescent="0.35">
      <c r="A1697" s="178"/>
      <c r="B1697" s="178"/>
      <c r="C1697" s="178"/>
      <c r="D1697" s="178"/>
      <c r="E1697"/>
    </row>
    <row r="1698" spans="1:5" x14ac:dyDescent="0.35">
      <c r="A1698" s="178"/>
      <c r="B1698" s="178"/>
      <c r="C1698" s="178"/>
      <c r="D1698" s="178"/>
      <c r="E1698"/>
    </row>
    <row r="1699" spans="1:5" x14ac:dyDescent="0.35">
      <c r="A1699" s="178"/>
      <c r="B1699" s="178"/>
      <c r="C1699" s="178"/>
      <c r="D1699" s="178"/>
      <c r="E1699"/>
    </row>
    <row r="1700" spans="1:5" x14ac:dyDescent="0.35">
      <c r="A1700" s="178"/>
      <c r="B1700" s="178"/>
      <c r="C1700" s="178"/>
      <c r="D1700" s="178"/>
      <c r="E1700"/>
    </row>
    <row r="1701" spans="1:5" x14ac:dyDescent="0.35">
      <c r="A1701" s="178"/>
      <c r="B1701" s="178"/>
      <c r="C1701" s="178"/>
      <c r="D1701" s="178"/>
      <c r="E1701"/>
    </row>
    <row r="1702" spans="1:5" x14ac:dyDescent="0.35">
      <c r="A1702" s="178"/>
      <c r="B1702" s="178"/>
      <c r="C1702" s="178"/>
      <c r="D1702" s="178"/>
      <c r="E1702"/>
    </row>
    <row r="1703" spans="1:5" x14ac:dyDescent="0.35">
      <c r="A1703" s="178"/>
      <c r="B1703" s="178"/>
      <c r="C1703" s="178"/>
      <c r="D1703" s="178"/>
      <c r="E1703"/>
    </row>
    <row r="1704" spans="1:5" x14ac:dyDescent="0.35">
      <c r="A1704" s="178"/>
      <c r="B1704" s="178"/>
      <c r="C1704" s="178"/>
      <c r="D1704" s="178"/>
      <c r="E1704"/>
    </row>
    <row r="1705" spans="1:5" x14ac:dyDescent="0.35">
      <c r="A1705" s="178"/>
      <c r="B1705" s="178"/>
      <c r="C1705" s="178"/>
      <c r="D1705" s="178"/>
      <c r="E1705"/>
    </row>
    <row r="1706" spans="1:5" x14ac:dyDescent="0.35">
      <c r="A1706" s="178"/>
      <c r="B1706" s="178"/>
      <c r="C1706" s="178"/>
      <c r="D1706" s="178"/>
      <c r="E1706"/>
    </row>
    <row r="1707" spans="1:5" x14ac:dyDescent="0.35">
      <c r="A1707" s="178"/>
      <c r="B1707" s="178"/>
      <c r="C1707" s="178"/>
      <c r="D1707" s="178"/>
      <c r="E1707"/>
    </row>
    <row r="1708" spans="1:5" x14ac:dyDescent="0.35">
      <c r="A1708" s="178"/>
      <c r="B1708" s="178"/>
      <c r="C1708" s="178"/>
      <c r="D1708" s="178"/>
      <c r="E1708"/>
    </row>
    <row r="1709" spans="1:5" x14ac:dyDescent="0.35">
      <c r="A1709" s="178"/>
      <c r="B1709" s="178"/>
      <c r="C1709" s="178"/>
      <c r="D1709" s="178"/>
      <c r="E1709"/>
    </row>
    <row r="1710" spans="1:5" x14ac:dyDescent="0.35">
      <c r="A1710" s="178"/>
      <c r="B1710" s="178"/>
      <c r="C1710" s="178"/>
      <c r="D1710" s="178"/>
      <c r="E1710"/>
    </row>
    <row r="1711" spans="1:5" x14ac:dyDescent="0.35">
      <c r="A1711" s="178"/>
      <c r="B1711" s="178"/>
      <c r="C1711" s="178"/>
      <c r="D1711" s="178"/>
      <c r="E1711"/>
    </row>
    <row r="1712" spans="1:5" x14ac:dyDescent="0.35">
      <c r="A1712" s="178"/>
      <c r="B1712" s="178"/>
      <c r="C1712" s="178"/>
      <c r="D1712" s="178"/>
      <c r="E1712"/>
    </row>
    <row r="1713" spans="1:5" x14ac:dyDescent="0.35">
      <c r="A1713" s="178"/>
      <c r="B1713" s="178"/>
      <c r="C1713" s="178"/>
      <c r="D1713" s="178"/>
      <c r="E1713"/>
    </row>
    <row r="1714" spans="1:5" x14ac:dyDescent="0.35">
      <c r="A1714" s="178"/>
      <c r="B1714" s="178"/>
      <c r="C1714" s="178"/>
      <c r="D1714" s="178"/>
      <c r="E1714"/>
    </row>
    <row r="1715" spans="1:5" x14ac:dyDescent="0.35">
      <c r="A1715" s="178"/>
      <c r="B1715" s="178"/>
      <c r="C1715" s="178"/>
      <c r="D1715" s="178"/>
      <c r="E1715"/>
    </row>
    <row r="1716" spans="1:5" x14ac:dyDescent="0.35">
      <c r="A1716" s="178"/>
      <c r="B1716" s="178"/>
      <c r="C1716" s="178"/>
      <c r="D1716" s="178"/>
      <c r="E1716"/>
    </row>
    <row r="1717" spans="1:5" x14ac:dyDescent="0.35">
      <c r="A1717" s="178"/>
      <c r="B1717" s="178"/>
      <c r="C1717" s="178"/>
      <c r="D1717" s="178"/>
      <c r="E1717"/>
    </row>
    <row r="1718" spans="1:5" x14ac:dyDescent="0.35">
      <c r="A1718" s="178"/>
      <c r="B1718" s="178"/>
      <c r="C1718" s="178"/>
      <c r="D1718" s="178"/>
      <c r="E1718"/>
    </row>
    <row r="1719" spans="1:5" x14ac:dyDescent="0.35">
      <c r="A1719" s="178"/>
      <c r="B1719" s="178"/>
      <c r="C1719" s="178"/>
      <c r="D1719" s="178"/>
      <c r="E1719"/>
    </row>
    <row r="1720" spans="1:5" x14ac:dyDescent="0.35">
      <c r="A1720" s="178"/>
      <c r="B1720" s="178"/>
      <c r="C1720" s="178"/>
      <c r="D1720" s="178"/>
      <c r="E1720"/>
    </row>
    <row r="1721" spans="1:5" x14ac:dyDescent="0.35">
      <c r="A1721" s="178"/>
      <c r="B1721" s="178"/>
      <c r="C1721" s="178"/>
      <c r="D1721" s="178"/>
      <c r="E1721"/>
    </row>
    <row r="1722" spans="1:5" x14ac:dyDescent="0.35">
      <c r="A1722" s="178"/>
      <c r="B1722" s="178"/>
      <c r="C1722" s="178"/>
      <c r="D1722" s="178"/>
      <c r="E1722"/>
    </row>
    <row r="1723" spans="1:5" x14ac:dyDescent="0.35">
      <c r="A1723" s="178"/>
      <c r="B1723" s="178"/>
      <c r="C1723" s="178"/>
      <c r="D1723" s="178"/>
      <c r="E1723"/>
    </row>
    <row r="1724" spans="1:5" x14ac:dyDescent="0.35">
      <c r="A1724" s="178"/>
      <c r="B1724" s="178"/>
      <c r="C1724" s="178"/>
      <c r="D1724" s="178"/>
      <c r="E1724"/>
    </row>
    <row r="1725" spans="1:5" x14ac:dyDescent="0.35">
      <c r="A1725" s="178"/>
      <c r="B1725" s="178"/>
      <c r="C1725" s="178"/>
      <c r="D1725" s="178"/>
      <c r="E1725"/>
    </row>
    <row r="1726" spans="1:5" x14ac:dyDescent="0.35">
      <c r="A1726" s="178"/>
      <c r="B1726" s="178"/>
      <c r="C1726" s="178"/>
      <c r="D1726" s="178"/>
      <c r="E1726"/>
    </row>
    <row r="1727" spans="1:5" x14ac:dyDescent="0.35">
      <c r="A1727" s="178"/>
      <c r="B1727" s="178"/>
      <c r="C1727" s="178"/>
      <c r="D1727" s="178"/>
      <c r="E1727"/>
    </row>
    <row r="1728" spans="1:5" x14ac:dyDescent="0.35">
      <c r="A1728" s="178"/>
      <c r="B1728" s="178"/>
      <c r="C1728" s="178"/>
      <c r="D1728" s="178"/>
      <c r="E1728"/>
    </row>
    <row r="1729" spans="1:5" x14ac:dyDescent="0.35">
      <c r="A1729" s="178"/>
      <c r="B1729" s="178"/>
      <c r="C1729" s="178"/>
      <c r="D1729" s="178"/>
      <c r="E1729"/>
    </row>
    <row r="1730" spans="1:5" x14ac:dyDescent="0.35">
      <c r="A1730" s="178"/>
      <c r="B1730" s="178"/>
      <c r="C1730" s="178"/>
      <c r="D1730" s="178"/>
      <c r="E1730"/>
    </row>
    <row r="1731" spans="1:5" x14ac:dyDescent="0.35">
      <c r="A1731" s="178"/>
      <c r="B1731" s="178"/>
      <c r="C1731" s="178"/>
      <c r="D1731" s="178"/>
      <c r="E1731"/>
    </row>
    <row r="1732" spans="1:5" x14ac:dyDescent="0.35">
      <c r="A1732" s="178"/>
      <c r="B1732" s="178"/>
      <c r="C1732" s="178"/>
      <c r="D1732" s="178"/>
      <c r="E1732"/>
    </row>
    <row r="1733" spans="1:5" x14ac:dyDescent="0.35">
      <c r="A1733" s="178"/>
      <c r="B1733" s="178"/>
      <c r="C1733" s="178"/>
      <c r="D1733" s="178"/>
      <c r="E1733"/>
    </row>
    <row r="1734" spans="1:5" x14ac:dyDescent="0.35">
      <c r="A1734" s="178"/>
      <c r="B1734" s="178"/>
      <c r="C1734" s="178"/>
      <c r="D1734" s="178"/>
      <c r="E1734"/>
    </row>
    <row r="1735" spans="1:5" x14ac:dyDescent="0.35">
      <c r="A1735" s="178"/>
      <c r="B1735" s="178"/>
      <c r="C1735" s="178"/>
      <c r="D1735" s="178"/>
      <c r="E1735"/>
    </row>
    <row r="1736" spans="1:5" x14ac:dyDescent="0.35">
      <c r="A1736" s="178"/>
      <c r="B1736" s="178"/>
      <c r="C1736" s="178"/>
      <c r="D1736" s="178"/>
      <c r="E1736"/>
    </row>
    <row r="1737" spans="1:5" x14ac:dyDescent="0.35">
      <c r="A1737" s="178"/>
      <c r="B1737" s="178"/>
      <c r="C1737" s="178"/>
      <c r="D1737" s="178"/>
      <c r="E1737"/>
    </row>
    <row r="1738" spans="1:5" x14ac:dyDescent="0.35">
      <c r="A1738" s="178"/>
      <c r="B1738" s="178"/>
      <c r="C1738" s="178"/>
      <c r="D1738" s="178"/>
      <c r="E1738"/>
    </row>
    <row r="1739" spans="1:5" x14ac:dyDescent="0.35">
      <c r="A1739" s="178"/>
      <c r="B1739" s="178"/>
      <c r="C1739" s="178"/>
      <c r="D1739" s="178"/>
      <c r="E1739"/>
    </row>
    <row r="1740" spans="1:5" x14ac:dyDescent="0.35">
      <c r="A1740" s="178"/>
      <c r="B1740" s="178"/>
      <c r="C1740" s="178"/>
      <c r="D1740" s="178"/>
      <c r="E1740"/>
    </row>
    <row r="1741" spans="1:5" x14ac:dyDescent="0.35">
      <c r="A1741" s="178"/>
      <c r="B1741" s="178"/>
      <c r="C1741" s="178"/>
      <c r="D1741" s="178"/>
      <c r="E1741"/>
    </row>
    <row r="1742" spans="1:5" x14ac:dyDescent="0.35">
      <c r="A1742" s="178"/>
      <c r="B1742" s="178"/>
      <c r="C1742" s="178"/>
      <c r="D1742" s="178"/>
      <c r="E1742"/>
    </row>
    <row r="1743" spans="1:5" x14ac:dyDescent="0.35">
      <c r="A1743" s="178"/>
      <c r="B1743" s="178"/>
      <c r="C1743" s="178"/>
      <c r="D1743" s="178"/>
      <c r="E1743"/>
    </row>
    <row r="1744" spans="1:5" x14ac:dyDescent="0.35">
      <c r="A1744" s="178"/>
      <c r="B1744" s="178"/>
      <c r="C1744" s="178"/>
      <c r="D1744" s="178"/>
      <c r="E1744"/>
    </row>
    <row r="1745" spans="1:5" x14ac:dyDescent="0.35">
      <c r="A1745" s="178"/>
      <c r="B1745" s="178"/>
      <c r="C1745" s="178"/>
      <c r="D1745" s="178"/>
      <c r="E1745"/>
    </row>
    <row r="1746" spans="1:5" x14ac:dyDescent="0.35">
      <c r="A1746" s="178"/>
      <c r="B1746" s="178"/>
      <c r="C1746" s="178"/>
      <c r="D1746" s="178"/>
      <c r="E1746"/>
    </row>
    <row r="1747" spans="1:5" x14ac:dyDescent="0.35">
      <c r="A1747" s="178"/>
      <c r="B1747" s="178"/>
      <c r="C1747" s="178"/>
      <c r="D1747" s="178"/>
      <c r="E1747"/>
    </row>
    <row r="1748" spans="1:5" x14ac:dyDescent="0.35">
      <c r="A1748" s="178"/>
      <c r="B1748" s="178"/>
      <c r="C1748" s="178"/>
      <c r="D1748" s="178"/>
      <c r="E1748"/>
    </row>
    <row r="1749" spans="1:5" x14ac:dyDescent="0.35">
      <c r="A1749" s="178"/>
      <c r="B1749" s="178"/>
      <c r="C1749" s="178"/>
      <c r="D1749" s="178"/>
      <c r="E1749"/>
    </row>
    <row r="1750" spans="1:5" x14ac:dyDescent="0.35">
      <c r="A1750" s="178"/>
      <c r="B1750" s="178"/>
      <c r="C1750" s="178"/>
      <c r="D1750" s="178"/>
      <c r="E1750"/>
    </row>
    <row r="1751" spans="1:5" x14ac:dyDescent="0.35">
      <c r="A1751" s="178"/>
      <c r="B1751" s="178"/>
      <c r="C1751" s="178"/>
      <c r="D1751" s="178"/>
      <c r="E1751"/>
    </row>
    <row r="1752" spans="1:5" x14ac:dyDescent="0.35">
      <c r="A1752" s="178"/>
      <c r="B1752" s="178"/>
      <c r="C1752" s="178"/>
      <c r="D1752" s="178"/>
      <c r="E1752"/>
    </row>
    <row r="1753" spans="1:5" x14ac:dyDescent="0.35">
      <c r="A1753" s="178"/>
      <c r="B1753" s="178"/>
      <c r="C1753" s="178"/>
      <c r="D1753" s="178"/>
      <c r="E1753"/>
    </row>
    <row r="1754" spans="1:5" x14ac:dyDescent="0.35">
      <c r="A1754" s="178"/>
      <c r="B1754" s="178"/>
      <c r="C1754" s="178"/>
      <c r="D1754" s="178"/>
      <c r="E1754"/>
    </row>
    <row r="1755" spans="1:5" x14ac:dyDescent="0.35">
      <c r="A1755" s="178"/>
      <c r="B1755" s="178"/>
      <c r="C1755" s="178"/>
      <c r="D1755" s="178"/>
      <c r="E1755"/>
    </row>
    <row r="1756" spans="1:5" x14ac:dyDescent="0.35">
      <c r="A1756" s="178"/>
      <c r="B1756" s="178"/>
      <c r="C1756" s="178"/>
      <c r="D1756" s="178"/>
      <c r="E1756"/>
    </row>
    <row r="1757" spans="1:5" x14ac:dyDescent="0.35">
      <c r="A1757" s="178"/>
      <c r="B1757" s="178"/>
      <c r="C1757" s="178"/>
      <c r="D1757" s="178"/>
      <c r="E1757"/>
    </row>
    <row r="1758" spans="1:5" x14ac:dyDescent="0.35">
      <c r="A1758" s="178"/>
      <c r="B1758" s="178"/>
      <c r="C1758" s="178"/>
      <c r="D1758" s="178"/>
      <c r="E1758"/>
    </row>
    <row r="1759" spans="1:5" x14ac:dyDescent="0.35">
      <c r="A1759" s="178"/>
      <c r="B1759" s="178"/>
      <c r="C1759" s="178"/>
      <c r="D1759" s="178"/>
      <c r="E1759"/>
    </row>
    <row r="1760" spans="1:5" x14ac:dyDescent="0.35">
      <c r="A1760" s="178"/>
      <c r="B1760" s="178"/>
      <c r="C1760" s="178"/>
      <c r="D1760" s="178"/>
      <c r="E1760"/>
    </row>
    <row r="1761" spans="1:5" x14ac:dyDescent="0.35">
      <c r="A1761" s="178"/>
      <c r="B1761" s="178"/>
      <c r="C1761" s="178"/>
      <c r="D1761" s="178"/>
      <c r="E1761"/>
    </row>
    <row r="1762" spans="1:5" x14ac:dyDescent="0.35">
      <c r="A1762" s="178"/>
      <c r="B1762" s="178"/>
      <c r="C1762" s="178"/>
      <c r="D1762" s="178"/>
      <c r="E1762"/>
    </row>
    <row r="1763" spans="1:5" x14ac:dyDescent="0.35">
      <c r="A1763" s="178"/>
      <c r="B1763" s="178"/>
      <c r="C1763" s="178"/>
      <c r="D1763" s="178"/>
      <c r="E1763"/>
    </row>
    <row r="1764" spans="1:5" x14ac:dyDescent="0.35">
      <c r="A1764" s="178"/>
      <c r="B1764" s="178"/>
      <c r="C1764" s="178"/>
      <c r="D1764" s="178"/>
      <c r="E1764"/>
    </row>
    <row r="1765" spans="1:5" x14ac:dyDescent="0.35">
      <c r="A1765" s="178"/>
      <c r="B1765" s="178"/>
      <c r="C1765" s="178"/>
      <c r="D1765" s="178"/>
      <c r="E1765"/>
    </row>
    <row r="1766" spans="1:5" x14ac:dyDescent="0.35">
      <c r="A1766" s="178"/>
      <c r="B1766" s="178"/>
      <c r="C1766" s="178"/>
      <c r="D1766" s="178"/>
      <c r="E1766"/>
    </row>
    <row r="1767" spans="1:5" x14ac:dyDescent="0.35">
      <c r="A1767" s="178"/>
      <c r="B1767" s="178"/>
      <c r="C1767" s="178"/>
      <c r="D1767" s="178"/>
      <c r="E1767"/>
    </row>
    <row r="1768" spans="1:5" x14ac:dyDescent="0.35">
      <c r="A1768" s="178"/>
      <c r="B1768" s="178"/>
      <c r="C1768" s="178"/>
      <c r="D1768" s="178"/>
      <c r="E1768"/>
    </row>
    <row r="1769" spans="1:5" x14ac:dyDescent="0.35">
      <c r="A1769" s="178"/>
      <c r="B1769" s="178"/>
      <c r="C1769" s="178"/>
      <c r="D1769" s="178"/>
      <c r="E1769"/>
    </row>
    <row r="1770" spans="1:5" x14ac:dyDescent="0.35">
      <c r="A1770" s="178"/>
      <c r="B1770" s="178"/>
      <c r="C1770" s="178"/>
      <c r="D1770" s="178"/>
      <c r="E1770"/>
    </row>
    <row r="1771" spans="1:5" x14ac:dyDescent="0.35">
      <c r="A1771" s="178"/>
      <c r="B1771" s="178"/>
      <c r="C1771" s="178"/>
      <c r="D1771" s="178"/>
      <c r="E1771"/>
    </row>
    <row r="1772" spans="1:5" x14ac:dyDescent="0.35">
      <c r="A1772" s="178"/>
      <c r="B1772" s="178"/>
      <c r="C1772" s="178"/>
      <c r="D1772" s="178"/>
      <c r="E1772"/>
    </row>
    <row r="1773" spans="1:5" x14ac:dyDescent="0.35">
      <c r="A1773" s="178"/>
      <c r="B1773" s="178"/>
      <c r="C1773" s="178"/>
      <c r="D1773" s="178"/>
      <c r="E1773"/>
    </row>
    <row r="1774" spans="1:5" x14ac:dyDescent="0.35">
      <c r="A1774" s="178"/>
      <c r="B1774" s="178"/>
      <c r="C1774" s="178"/>
      <c r="D1774" s="178"/>
      <c r="E1774"/>
    </row>
    <row r="1775" spans="1:5" x14ac:dyDescent="0.35">
      <c r="A1775" s="178"/>
      <c r="B1775" s="178"/>
      <c r="C1775" s="178"/>
      <c r="D1775" s="178"/>
      <c r="E1775"/>
    </row>
    <row r="1776" spans="1:5" x14ac:dyDescent="0.35">
      <c r="A1776" s="178"/>
      <c r="B1776" s="178"/>
      <c r="C1776" s="178"/>
      <c r="D1776" s="178"/>
      <c r="E1776"/>
    </row>
    <row r="1777" spans="1:5" x14ac:dyDescent="0.35">
      <c r="A1777" s="178"/>
      <c r="B1777" s="178"/>
      <c r="C1777" s="178"/>
      <c r="D1777" s="178"/>
      <c r="E1777"/>
    </row>
    <row r="1778" spans="1:5" x14ac:dyDescent="0.35">
      <c r="A1778" s="178"/>
      <c r="B1778" s="178"/>
      <c r="C1778" s="178"/>
      <c r="D1778" s="178"/>
      <c r="E1778"/>
    </row>
    <row r="1779" spans="1:5" x14ac:dyDescent="0.35">
      <c r="A1779" s="178"/>
      <c r="B1779" s="178"/>
      <c r="C1779" s="178"/>
      <c r="D1779" s="178"/>
      <c r="E1779"/>
    </row>
    <row r="1780" spans="1:5" x14ac:dyDescent="0.35">
      <c r="A1780" s="178"/>
      <c r="B1780" s="178"/>
      <c r="C1780" s="178"/>
      <c r="D1780" s="178"/>
      <c r="E1780"/>
    </row>
    <row r="1781" spans="1:5" x14ac:dyDescent="0.35">
      <c r="A1781" s="178"/>
      <c r="B1781" s="178"/>
      <c r="C1781" s="178"/>
      <c r="D1781" s="178"/>
      <c r="E1781"/>
    </row>
    <row r="1782" spans="1:5" x14ac:dyDescent="0.35">
      <c r="A1782" s="178"/>
      <c r="B1782" s="178"/>
      <c r="C1782" s="178"/>
      <c r="D1782" s="178"/>
      <c r="E1782"/>
    </row>
    <row r="1783" spans="1:5" x14ac:dyDescent="0.35">
      <c r="A1783" s="178"/>
      <c r="B1783" s="178"/>
      <c r="C1783" s="178"/>
      <c r="D1783" s="178"/>
      <c r="E1783"/>
    </row>
    <row r="1784" spans="1:5" x14ac:dyDescent="0.35">
      <c r="A1784" s="178"/>
      <c r="B1784" s="178"/>
      <c r="C1784" s="178"/>
      <c r="D1784" s="178"/>
      <c r="E1784"/>
    </row>
    <row r="1785" spans="1:5" x14ac:dyDescent="0.35">
      <c r="A1785" s="178"/>
      <c r="B1785" s="178"/>
      <c r="C1785" s="178"/>
      <c r="D1785" s="178"/>
      <c r="E1785"/>
    </row>
    <row r="1786" spans="1:5" x14ac:dyDescent="0.35">
      <c r="A1786" s="178"/>
      <c r="B1786" s="178"/>
      <c r="C1786" s="178"/>
      <c r="D1786" s="178"/>
      <c r="E1786"/>
    </row>
    <row r="1787" spans="1:5" x14ac:dyDescent="0.35">
      <c r="A1787" s="178"/>
      <c r="B1787" s="178"/>
      <c r="C1787" s="178"/>
      <c r="D1787" s="178"/>
      <c r="E1787"/>
    </row>
    <row r="1788" spans="1:5" x14ac:dyDescent="0.35">
      <c r="A1788" s="178"/>
      <c r="B1788" s="178"/>
      <c r="C1788" s="178"/>
      <c r="D1788" s="178"/>
      <c r="E1788"/>
    </row>
    <row r="1789" spans="1:5" x14ac:dyDescent="0.35">
      <c r="A1789" s="178"/>
      <c r="B1789" s="178"/>
      <c r="C1789" s="178"/>
      <c r="D1789" s="178"/>
      <c r="E1789"/>
    </row>
    <row r="1790" spans="1:5" x14ac:dyDescent="0.35">
      <c r="A1790" s="178"/>
      <c r="B1790" s="178"/>
      <c r="C1790" s="178"/>
      <c r="D1790" s="178"/>
      <c r="E1790"/>
    </row>
    <row r="1791" spans="1:5" x14ac:dyDescent="0.35">
      <c r="A1791" s="178"/>
      <c r="B1791" s="178"/>
      <c r="C1791" s="178"/>
      <c r="D1791" s="178"/>
      <c r="E1791"/>
    </row>
    <row r="1792" spans="1:5" x14ac:dyDescent="0.35">
      <c r="A1792" s="178"/>
      <c r="B1792" s="178"/>
      <c r="C1792" s="178"/>
      <c r="D1792" s="178"/>
      <c r="E1792"/>
    </row>
    <row r="1793" spans="1:6" x14ac:dyDescent="0.35">
      <c r="A1793" s="178"/>
      <c r="B1793" s="178"/>
      <c r="C1793" s="178"/>
      <c r="D1793" s="178"/>
      <c r="E1793"/>
    </row>
    <row r="1794" spans="1:6" x14ac:dyDescent="0.35">
      <c r="A1794" s="178"/>
      <c r="B1794" s="178"/>
      <c r="C1794" s="178"/>
      <c r="D1794" s="178"/>
      <c r="E1794"/>
    </row>
    <row r="1795" spans="1:6" x14ac:dyDescent="0.35">
      <c r="A1795" s="178"/>
      <c r="B1795" s="178"/>
      <c r="C1795" s="178"/>
      <c r="D1795" s="178"/>
      <c r="E1795"/>
    </row>
    <row r="1796" spans="1:6" x14ac:dyDescent="0.35">
      <c r="A1796" s="178"/>
      <c r="B1796" s="178"/>
      <c r="C1796" s="178"/>
      <c r="D1796" s="178"/>
      <c r="E1796"/>
    </row>
    <row r="1797" spans="1:6" x14ac:dyDescent="0.35">
      <c r="A1797" s="178"/>
      <c r="B1797" s="178"/>
      <c r="C1797" s="178"/>
      <c r="D1797" s="178"/>
      <c r="E1797"/>
    </row>
    <row r="1798" spans="1:6" x14ac:dyDescent="0.35">
      <c r="A1798" s="178"/>
      <c r="B1798" s="178"/>
      <c r="C1798" s="178"/>
      <c r="D1798" s="178"/>
      <c r="E1798"/>
    </row>
    <row r="1799" spans="1:6" x14ac:dyDescent="0.35">
      <c r="A1799" s="178"/>
      <c r="B1799" s="178"/>
      <c r="C1799" s="178"/>
      <c r="D1799" s="178"/>
      <c r="E1799"/>
    </row>
    <row r="1800" spans="1:6" x14ac:dyDescent="0.35">
      <c r="A1800" s="178"/>
      <c r="B1800" s="178"/>
      <c r="C1800" s="178"/>
      <c r="D1800" s="178"/>
      <c r="E1800"/>
    </row>
    <row r="1801" spans="1:6" x14ac:dyDescent="0.35">
      <c r="A1801" s="178"/>
      <c r="B1801" s="178"/>
      <c r="C1801" s="178"/>
      <c r="D1801" s="178"/>
      <c r="E1801"/>
    </row>
    <row r="1802" spans="1:6" x14ac:dyDescent="0.35">
      <c r="A1802" s="178"/>
      <c r="B1802" s="178"/>
      <c r="C1802" s="178"/>
      <c r="D1802" s="178"/>
      <c r="E1802"/>
    </row>
    <row r="1803" spans="1:6" x14ac:dyDescent="0.35">
      <c r="A1803" s="178"/>
      <c r="B1803" s="178"/>
      <c r="C1803" s="178"/>
      <c r="D1803" s="178"/>
      <c r="E1803"/>
    </row>
    <row r="1804" spans="1:6" x14ac:dyDescent="0.35">
      <c r="A1804" s="178"/>
      <c r="B1804" s="178"/>
      <c r="C1804" s="178"/>
      <c r="D1804" s="178"/>
      <c r="E1804"/>
    </row>
    <row r="1805" spans="1:6" x14ac:dyDescent="0.35">
      <c r="A1805" s="178"/>
      <c r="B1805" s="178"/>
      <c r="C1805" s="178"/>
      <c r="D1805" s="178"/>
      <c r="E1805"/>
    </row>
    <row r="1806" spans="1:6" x14ac:dyDescent="0.35">
      <c r="A1806" s="178"/>
      <c r="B1806" s="178"/>
      <c r="C1806" s="178"/>
      <c r="D1806" s="178"/>
      <c r="E1806"/>
    </row>
    <row r="1807" spans="1:6" x14ac:dyDescent="0.35">
      <c r="A1807" s="178"/>
      <c r="B1807" s="178"/>
      <c r="C1807" s="178"/>
      <c r="D1807" s="178"/>
      <c r="E1807"/>
      <c r="F1807" s="178"/>
    </row>
    <row r="1808" spans="1:6" x14ac:dyDescent="0.35">
      <c r="A1808" s="178"/>
      <c r="B1808" s="178"/>
      <c r="C1808" s="178"/>
      <c r="D1808" s="178"/>
      <c r="E1808"/>
    </row>
    <row r="1809" spans="1:5" x14ac:dyDescent="0.35">
      <c r="A1809" s="178"/>
      <c r="B1809" s="178"/>
      <c r="C1809" s="178"/>
      <c r="D1809" s="178"/>
      <c r="E1809"/>
    </row>
    <row r="1810" spans="1:5" x14ac:dyDescent="0.35">
      <c r="A1810" s="178"/>
      <c r="B1810" s="178"/>
      <c r="C1810" s="178"/>
      <c r="D1810" s="178"/>
      <c r="E1810"/>
    </row>
    <row r="1811" spans="1:5" x14ac:dyDescent="0.35">
      <c r="A1811" s="178"/>
      <c r="B1811" s="178"/>
      <c r="C1811" s="178"/>
      <c r="D1811" s="178"/>
      <c r="E1811"/>
    </row>
    <row r="1812" spans="1:5" x14ac:dyDescent="0.35">
      <c r="A1812" s="178"/>
      <c r="B1812" s="178"/>
      <c r="C1812" s="178"/>
      <c r="D1812" s="178"/>
      <c r="E1812"/>
    </row>
    <row r="1813" spans="1:5" x14ac:dyDescent="0.35">
      <c r="A1813" s="178"/>
      <c r="B1813" s="178"/>
      <c r="C1813" s="178"/>
      <c r="D1813" s="178"/>
      <c r="E1813"/>
    </row>
    <row r="1814" spans="1:5" x14ac:dyDescent="0.35">
      <c r="A1814" s="178"/>
      <c r="B1814" s="178"/>
      <c r="C1814" s="178"/>
      <c r="D1814" s="178"/>
      <c r="E1814"/>
    </row>
    <row r="1815" spans="1:5" x14ac:dyDescent="0.35">
      <c r="A1815" s="178"/>
      <c r="B1815" s="178"/>
      <c r="C1815" s="178"/>
      <c r="D1815" s="178"/>
      <c r="E1815"/>
    </row>
    <row r="1816" spans="1:5" x14ac:dyDescent="0.35">
      <c r="A1816" s="178"/>
      <c r="B1816" s="178"/>
      <c r="C1816" s="178"/>
      <c r="D1816" s="178"/>
      <c r="E1816"/>
    </row>
    <row r="1817" spans="1:5" x14ac:dyDescent="0.35">
      <c r="A1817" s="178"/>
      <c r="B1817" s="178"/>
      <c r="C1817" s="178"/>
      <c r="D1817" s="178"/>
      <c r="E1817"/>
    </row>
    <row r="1818" spans="1:5" x14ac:dyDescent="0.35">
      <c r="A1818" s="178"/>
      <c r="B1818" s="178"/>
      <c r="C1818" s="178"/>
      <c r="D1818" s="178"/>
      <c r="E1818"/>
    </row>
    <row r="1819" spans="1:5" x14ac:dyDescent="0.35">
      <c r="A1819" s="178"/>
      <c r="B1819" s="178"/>
      <c r="C1819" s="178"/>
      <c r="D1819" s="178"/>
      <c r="E1819"/>
    </row>
    <row r="1820" spans="1:5" x14ac:dyDescent="0.35">
      <c r="A1820" s="178"/>
      <c r="B1820" s="178"/>
      <c r="C1820" s="178"/>
      <c r="D1820" s="178"/>
      <c r="E1820"/>
    </row>
    <row r="1821" spans="1:5" x14ac:dyDescent="0.35">
      <c r="A1821" s="178"/>
      <c r="B1821" s="178"/>
      <c r="C1821" s="178"/>
      <c r="D1821" s="178"/>
      <c r="E1821"/>
    </row>
    <row r="1822" spans="1:5" x14ac:dyDescent="0.35">
      <c r="A1822" s="178"/>
      <c r="B1822" s="178"/>
      <c r="C1822" s="178"/>
      <c r="D1822" s="178"/>
      <c r="E1822"/>
    </row>
    <row r="1823" spans="1:5" x14ac:dyDescent="0.35">
      <c r="A1823" s="178"/>
      <c r="B1823" s="178"/>
      <c r="C1823" s="178"/>
      <c r="D1823" s="178"/>
      <c r="E1823"/>
    </row>
    <row r="1824" spans="1:5" x14ac:dyDescent="0.35">
      <c r="A1824" s="178"/>
      <c r="B1824" s="178"/>
      <c r="C1824" s="178"/>
      <c r="D1824" s="178"/>
      <c r="E1824"/>
    </row>
    <row r="1825" spans="1:5" x14ac:dyDescent="0.35">
      <c r="A1825" s="178"/>
      <c r="B1825" s="178"/>
      <c r="C1825" s="178"/>
      <c r="D1825" s="178"/>
      <c r="E1825"/>
    </row>
    <row r="1826" spans="1:5" x14ac:dyDescent="0.35">
      <c r="A1826" s="178"/>
      <c r="B1826" s="178"/>
      <c r="C1826" s="178"/>
      <c r="D1826" s="178"/>
      <c r="E1826"/>
    </row>
    <row r="1827" spans="1:5" x14ac:dyDescent="0.35">
      <c r="A1827" s="178"/>
      <c r="B1827" s="178"/>
      <c r="C1827" s="178"/>
      <c r="D1827" s="178"/>
      <c r="E1827"/>
    </row>
    <row r="1828" spans="1:5" x14ac:dyDescent="0.35">
      <c r="A1828" s="178"/>
      <c r="B1828" s="178"/>
      <c r="C1828" s="178"/>
      <c r="D1828" s="178"/>
      <c r="E1828"/>
    </row>
    <row r="1829" spans="1:5" x14ac:dyDescent="0.35">
      <c r="A1829" s="178"/>
      <c r="B1829" s="178"/>
      <c r="C1829" s="178"/>
      <c r="D1829" s="178"/>
      <c r="E1829"/>
    </row>
    <row r="1830" spans="1:5" x14ac:dyDescent="0.35">
      <c r="A1830" s="178"/>
      <c r="B1830" s="178"/>
      <c r="C1830" s="178"/>
      <c r="D1830" s="178"/>
      <c r="E1830"/>
    </row>
    <row r="1831" spans="1:5" x14ac:dyDescent="0.35">
      <c r="A1831" s="178"/>
      <c r="B1831" s="178"/>
      <c r="C1831" s="178"/>
      <c r="D1831" s="178"/>
      <c r="E1831"/>
    </row>
    <row r="1832" spans="1:5" x14ac:dyDescent="0.35">
      <c r="A1832" s="178"/>
      <c r="B1832" s="178"/>
      <c r="C1832" s="178"/>
      <c r="D1832" s="178"/>
      <c r="E1832"/>
    </row>
    <row r="1833" spans="1:5" x14ac:dyDescent="0.35">
      <c r="A1833" s="178"/>
      <c r="B1833" s="178"/>
      <c r="C1833" s="178"/>
      <c r="D1833" s="178"/>
      <c r="E1833"/>
    </row>
    <row r="1834" spans="1:5" x14ac:dyDescent="0.35">
      <c r="A1834" s="178"/>
      <c r="B1834" s="178"/>
      <c r="C1834" s="178"/>
      <c r="D1834" s="178"/>
      <c r="E1834"/>
    </row>
    <row r="1835" spans="1:5" x14ac:dyDescent="0.35">
      <c r="A1835" s="178"/>
      <c r="B1835" s="178"/>
      <c r="C1835" s="178"/>
      <c r="D1835" s="178"/>
      <c r="E1835"/>
    </row>
    <row r="1836" spans="1:5" x14ac:dyDescent="0.35">
      <c r="A1836" s="178"/>
      <c r="B1836" s="178"/>
      <c r="C1836" s="178"/>
      <c r="D1836" s="178"/>
      <c r="E1836"/>
    </row>
    <row r="1837" spans="1:5" x14ac:dyDescent="0.35">
      <c r="A1837" s="178"/>
      <c r="B1837" s="178"/>
      <c r="C1837" s="178"/>
      <c r="D1837" s="178"/>
      <c r="E1837"/>
    </row>
    <row r="1838" spans="1:5" x14ac:dyDescent="0.35">
      <c r="A1838" s="178"/>
      <c r="B1838" s="178"/>
      <c r="C1838" s="178"/>
      <c r="D1838" s="178"/>
      <c r="E1838"/>
    </row>
    <row r="1839" spans="1:5" x14ac:dyDescent="0.35">
      <c r="A1839" s="178"/>
      <c r="B1839" s="178"/>
      <c r="C1839" s="178"/>
      <c r="D1839" s="178"/>
      <c r="E1839"/>
    </row>
    <row r="1840" spans="1:5" x14ac:dyDescent="0.35">
      <c r="A1840" s="178"/>
      <c r="B1840" s="178"/>
      <c r="C1840" s="178"/>
      <c r="D1840" s="178"/>
      <c r="E1840"/>
    </row>
    <row r="1841" spans="1:6" x14ac:dyDescent="0.35">
      <c r="A1841" s="178"/>
      <c r="B1841" s="178"/>
      <c r="C1841" s="178"/>
      <c r="D1841" s="178"/>
      <c r="E1841"/>
    </row>
    <row r="1842" spans="1:6" x14ac:dyDescent="0.35">
      <c r="A1842" s="178"/>
      <c r="B1842" s="178"/>
      <c r="C1842" s="178"/>
      <c r="D1842" s="178"/>
      <c r="E1842"/>
    </row>
    <row r="1843" spans="1:6" x14ac:dyDescent="0.35">
      <c r="A1843" s="178"/>
      <c r="B1843" s="178"/>
      <c r="C1843" s="178"/>
      <c r="D1843" s="178"/>
      <c r="E1843"/>
    </row>
    <row r="1844" spans="1:6" x14ac:dyDescent="0.35">
      <c r="A1844" s="178"/>
      <c r="B1844" s="178"/>
      <c r="C1844" s="178"/>
      <c r="D1844" s="178"/>
      <c r="E1844"/>
      <c r="F1844" s="178"/>
    </row>
    <row r="1845" spans="1:6" x14ac:dyDescent="0.35">
      <c r="A1845" s="178"/>
      <c r="B1845" s="178"/>
      <c r="C1845" s="178"/>
      <c r="D1845" s="178"/>
      <c r="E1845"/>
      <c r="F1845" s="178"/>
    </row>
    <row r="1846" spans="1:6" x14ac:dyDescent="0.35">
      <c r="A1846" s="178"/>
      <c r="B1846" s="178"/>
      <c r="C1846" s="178"/>
      <c r="D1846" s="178"/>
      <c r="E1846"/>
    </row>
    <row r="1847" spans="1:6" x14ac:dyDescent="0.35">
      <c r="A1847" s="178"/>
      <c r="B1847" s="178"/>
      <c r="C1847" s="178"/>
      <c r="D1847" s="178"/>
      <c r="E1847"/>
      <c r="F1847" s="178"/>
    </row>
    <row r="1848" spans="1:6" x14ac:dyDescent="0.35">
      <c r="A1848" s="178"/>
      <c r="E1848"/>
    </row>
    <row r="1849" spans="1:6" x14ac:dyDescent="0.35">
      <c r="A1849" s="178"/>
      <c r="B1849" s="178"/>
      <c r="C1849" s="178"/>
      <c r="D1849" s="178"/>
      <c r="E1849"/>
    </row>
    <row r="1850" spans="1:6" x14ac:dyDescent="0.35">
      <c r="A1850" s="178"/>
      <c r="B1850" s="178"/>
      <c r="C1850" s="178"/>
      <c r="D1850" s="178"/>
      <c r="E1850"/>
    </row>
    <row r="1851" spans="1:6" x14ac:dyDescent="0.35">
      <c r="A1851" s="178"/>
      <c r="B1851" s="178"/>
      <c r="C1851" s="178"/>
      <c r="D1851" s="178"/>
      <c r="E1851"/>
    </row>
    <row r="1852" spans="1:6" x14ac:dyDescent="0.35">
      <c r="A1852" s="178"/>
      <c r="B1852" s="178"/>
      <c r="C1852" s="178"/>
      <c r="D1852" s="178"/>
      <c r="E1852"/>
    </row>
    <row r="1853" spans="1:6" x14ac:dyDescent="0.35">
      <c r="A1853" s="178"/>
      <c r="B1853" s="178"/>
      <c r="C1853" s="178"/>
      <c r="D1853" s="178"/>
      <c r="E1853"/>
    </row>
    <row r="1854" spans="1:6" x14ac:dyDescent="0.35">
      <c r="A1854" s="178"/>
      <c r="B1854" s="178"/>
      <c r="C1854" s="178"/>
      <c r="D1854" s="178"/>
      <c r="E1854"/>
    </row>
    <row r="1855" spans="1:6" x14ac:dyDescent="0.35">
      <c r="A1855" s="178"/>
    </row>
  </sheetData>
  <conditionalFormatting sqref="B1:B65386">
    <cfRule type="duplicateValues" dxfId="0" priority="7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628"/>
  <sheetViews>
    <sheetView workbookViewId="0">
      <selection activeCell="G18" sqref="G18:G20"/>
    </sheetView>
  </sheetViews>
  <sheetFormatPr defaultRowHeight="14.5" x14ac:dyDescent="0.35"/>
  <cols>
    <col min="1" max="1" width="24.54296875" bestFit="1" customWidth="1"/>
    <col min="2" max="3" width="9.1796875" style="14" customWidth="1"/>
    <col min="4" max="4" width="11" style="14" customWidth="1"/>
    <col min="5" max="5" width="9" style="14" bestFit="1" customWidth="1"/>
    <col min="6" max="7" width="11.1796875" style="14" customWidth="1"/>
    <col min="8" max="8" width="8.26953125" style="14" customWidth="1"/>
    <col min="9" max="9" width="7.81640625" style="14" customWidth="1"/>
    <col min="10" max="10" width="7.81640625" style="15" customWidth="1"/>
    <col min="11" max="11" width="12.7265625" style="14" bestFit="1" customWidth="1"/>
    <col min="12" max="12" width="9" style="14" hidden="1" customWidth="1"/>
    <col min="13" max="13" width="9.7265625" style="14" bestFit="1" customWidth="1"/>
    <col min="14" max="14" width="14.1796875" style="14" customWidth="1"/>
    <col min="15" max="17" width="13.81640625" style="12" customWidth="1"/>
    <col min="18" max="18" width="9.1796875" style="13" customWidth="1"/>
    <col min="19" max="19" width="8" style="13" customWidth="1"/>
    <col min="20" max="20" width="9.1796875" customWidth="1"/>
  </cols>
  <sheetData>
    <row r="1" spans="1:19" s="3" customFormat="1" ht="19.5" customHeight="1" x14ac:dyDescent="0.35">
      <c r="A1" s="26"/>
      <c r="B1" s="27"/>
      <c r="C1" s="27"/>
      <c r="D1" s="27"/>
      <c r="E1" s="75"/>
      <c r="F1" s="27"/>
      <c r="G1" s="28"/>
      <c r="H1" s="51"/>
      <c r="I1" s="51"/>
      <c r="J1" s="51"/>
      <c r="K1" s="27"/>
      <c r="L1" s="29"/>
      <c r="M1" s="29"/>
      <c r="N1" s="29"/>
      <c r="O1" s="29"/>
      <c r="R1" s="2"/>
      <c r="S1" s="2"/>
    </row>
    <row r="2" spans="1:19" s="5" customFormat="1" ht="22.5" customHeight="1" x14ac:dyDescent="0.35">
      <c r="A2" s="30"/>
      <c r="B2" s="19"/>
      <c r="C2" s="19"/>
      <c r="D2" s="19"/>
      <c r="E2" s="76"/>
      <c r="F2" s="19"/>
      <c r="G2" s="31"/>
      <c r="H2" s="65"/>
      <c r="I2" s="65"/>
      <c r="J2" s="65"/>
      <c r="K2" s="31"/>
      <c r="L2" s="32"/>
      <c r="M2" s="32"/>
      <c r="N2" s="32"/>
      <c r="O2" s="32"/>
      <c r="P2" s="32"/>
      <c r="Q2" s="66"/>
      <c r="R2" s="4"/>
      <c r="S2" s="4"/>
    </row>
    <row r="3" spans="1:19" s="5" customFormat="1" ht="15.5" x14ac:dyDescent="0.35">
      <c r="A3" s="21"/>
      <c r="B3" s="60"/>
      <c r="C3" s="60"/>
      <c r="D3" s="60"/>
      <c r="E3" s="77"/>
      <c r="F3" s="60"/>
      <c r="G3" s="61"/>
      <c r="H3" s="61"/>
      <c r="I3" s="61"/>
      <c r="J3" s="61"/>
      <c r="K3" s="61"/>
      <c r="L3" s="63"/>
      <c r="M3" s="63"/>
      <c r="N3" s="63"/>
      <c r="O3" s="62"/>
      <c r="P3" s="62"/>
      <c r="Q3" s="67"/>
      <c r="R3" s="6"/>
      <c r="S3" s="7"/>
    </row>
    <row r="4" spans="1:19" x14ac:dyDescent="0.35">
      <c r="A4" s="55"/>
      <c r="B4" s="17"/>
      <c r="C4" s="17"/>
      <c r="D4" s="17"/>
      <c r="E4" s="78"/>
      <c r="F4" s="17"/>
      <c r="G4" s="18"/>
      <c r="H4" s="52"/>
      <c r="I4" s="52"/>
      <c r="J4" s="52"/>
      <c r="K4" s="40"/>
      <c r="L4" s="25"/>
      <c r="M4" s="25"/>
      <c r="N4" s="25"/>
      <c r="O4" s="25"/>
      <c r="P4" s="25"/>
      <c r="Q4" s="68"/>
      <c r="R4" s="8"/>
      <c r="S4" s="8"/>
    </row>
    <row r="5" spans="1:19" x14ac:dyDescent="0.35">
      <c r="A5" s="55"/>
      <c r="B5" s="17"/>
      <c r="C5" s="17"/>
      <c r="D5" s="17"/>
      <c r="E5" s="78"/>
      <c r="F5" s="17"/>
      <c r="G5" s="18"/>
      <c r="H5" s="52"/>
      <c r="I5" s="73"/>
      <c r="J5" s="52"/>
      <c r="K5" s="40"/>
      <c r="L5" s="25"/>
      <c r="M5" s="25"/>
      <c r="N5" s="25"/>
      <c r="O5" s="25"/>
      <c r="P5" s="25"/>
      <c r="Q5" s="68"/>
      <c r="R5" s="8"/>
      <c r="S5" s="8"/>
    </row>
    <row r="6" spans="1:19" x14ac:dyDescent="0.35">
      <c r="A6" s="55"/>
      <c r="B6" s="17"/>
      <c r="C6" s="17"/>
      <c r="D6" s="17"/>
      <c r="E6" s="78"/>
      <c r="F6" s="17"/>
      <c r="G6" s="18"/>
      <c r="H6" s="71"/>
      <c r="I6" s="73"/>
      <c r="J6" s="52"/>
      <c r="K6" s="40"/>
      <c r="L6" s="25"/>
      <c r="M6" s="25"/>
      <c r="N6" s="25"/>
      <c r="O6" s="25"/>
      <c r="P6" s="25"/>
      <c r="Q6" s="68"/>
      <c r="R6" s="8"/>
      <c r="S6" s="8"/>
    </row>
    <row r="7" spans="1:19" x14ac:dyDescent="0.35">
      <c r="A7" s="55"/>
      <c r="B7" s="17"/>
      <c r="C7" s="17"/>
      <c r="D7" s="17"/>
      <c r="E7" s="78"/>
      <c r="F7" s="17"/>
      <c r="G7" s="18"/>
      <c r="H7" s="52"/>
      <c r="I7" s="73"/>
      <c r="J7" s="52"/>
      <c r="K7" s="40"/>
      <c r="L7" s="25"/>
      <c r="M7" s="25"/>
      <c r="N7" s="25"/>
      <c r="O7" s="25"/>
      <c r="P7" s="25"/>
      <c r="Q7" s="68"/>
      <c r="R7" s="8"/>
      <c r="S7" s="8"/>
    </row>
    <row r="8" spans="1:19" x14ac:dyDescent="0.35">
      <c r="A8" s="55"/>
      <c r="B8" s="17"/>
      <c r="C8" s="17"/>
      <c r="D8" s="17"/>
      <c r="E8" s="78"/>
      <c r="F8" s="17"/>
      <c r="G8" s="18"/>
      <c r="H8" s="71"/>
      <c r="I8" s="52"/>
      <c r="J8" s="52"/>
      <c r="K8" s="40"/>
      <c r="L8" s="25"/>
      <c r="M8" s="25"/>
      <c r="N8" s="25"/>
      <c r="O8" s="25"/>
      <c r="P8" s="25"/>
      <c r="Q8" s="68"/>
      <c r="R8" s="8"/>
      <c r="S8" s="8"/>
    </row>
    <row r="9" spans="1:19" x14ac:dyDescent="0.35">
      <c r="A9" s="55"/>
      <c r="B9" s="17"/>
      <c r="C9" s="17"/>
      <c r="D9" s="17"/>
      <c r="E9" s="78"/>
      <c r="F9" s="17"/>
      <c r="G9" s="18"/>
      <c r="H9" s="52"/>
      <c r="I9" s="52"/>
      <c r="J9" s="52"/>
      <c r="K9" s="40"/>
      <c r="L9" s="25"/>
      <c r="M9" s="25"/>
      <c r="N9" s="25"/>
      <c r="O9" s="25"/>
      <c r="P9" s="25"/>
      <c r="Q9" s="68"/>
      <c r="R9" s="8"/>
      <c r="S9" s="8"/>
    </row>
    <row r="10" spans="1:19" x14ac:dyDescent="0.35">
      <c r="A10" s="55"/>
      <c r="B10" s="17"/>
      <c r="C10" s="17"/>
      <c r="D10" s="17"/>
      <c r="E10" s="78"/>
      <c r="F10" s="17"/>
      <c r="G10" s="18"/>
      <c r="H10" s="52"/>
      <c r="I10" s="52"/>
      <c r="J10" s="52"/>
      <c r="K10" s="40"/>
      <c r="L10" s="25"/>
      <c r="M10" s="25"/>
      <c r="N10" s="25"/>
      <c r="O10" s="25"/>
      <c r="P10" s="25"/>
      <c r="Q10" s="68"/>
      <c r="R10" s="8"/>
      <c r="S10" s="8"/>
    </row>
    <row r="11" spans="1:19" x14ac:dyDescent="0.35">
      <c r="A11" s="55"/>
      <c r="B11" s="17"/>
      <c r="C11" s="17"/>
      <c r="D11" s="17"/>
      <c r="E11" s="78"/>
      <c r="F11" s="17"/>
      <c r="G11" s="18"/>
      <c r="H11" s="52"/>
      <c r="I11" s="52"/>
      <c r="J11" s="52"/>
      <c r="K11" s="40"/>
      <c r="L11" s="25"/>
      <c r="M11" s="25"/>
      <c r="N11" s="25"/>
      <c r="O11" s="25"/>
      <c r="P11" s="25"/>
      <c r="Q11" s="68"/>
      <c r="R11" s="8"/>
      <c r="S11" s="8"/>
    </row>
    <row r="12" spans="1:19" x14ac:dyDescent="0.35">
      <c r="A12" s="55"/>
      <c r="B12" s="17"/>
      <c r="C12" s="17"/>
      <c r="D12" s="17"/>
      <c r="E12" s="78"/>
      <c r="F12" s="17"/>
      <c r="G12" s="18"/>
      <c r="H12" s="52"/>
      <c r="I12" s="52"/>
      <c r="J12" s="52"/>
      <c r="K12" s="40"/>
      <c r="L12" s="25"/>
      <c r="M12" s="25"/>
      <c r="N12" s="25"/>
      <c r="O12" s="25"/>
      <c r="P12" s="25"/>
      <c r="Q12" s="68"/>
      <c r="R12" s="8"/>
      <c r="S12" s="8"/>
    </row>
    <row r="13" spans="1:19" x14ac:dyDescent="0.35">
      <c r="A13" s="55"/>
      <c r="B13" s="17"/>
      <c r="C13" s="17"/>
      <c r="D13" s="17"/>
      <c r="E13" s="78"/>
      <c r="F13" s="17"/>
      <c r="G13" s="18"/>
      <c r="H13" s="71"/>
      <c r="I13" s="52"/>
      <c r="J13" s="52"/>
      <c r="K13" s="40"/>
      <c r="L13" s="25"/>
      <c r="M13" s="25"/>
      <c r="N13" s="25"/>
      <c r="O13" s="25"/>
      <c r="P13" s="25"/>
      <c r="Q13" s="68"/>
      <c r="R13" s="8"/>
      <c r="S13" s="8"/>
    </row>
    <row r="14" spans="1:19" x14ac:dyDescent="0.35">
      <c r="A14" s="55"/>
      <c r="B14" s="17"/>
      <c r="C14" s="17"/>
      <c r="D14" s="17"/>
      <c r="E14" s="78"/>
      <c r="F14" s="17"/>
      <c r="G14" s="18"/>
      <c r="H14" s="52"/>
      <c r="I14" s="73"/>
      <c r="J14" s="52"/>
      <c r="K14" s="40"/>
      <c r="L14" s="25"/>
      <c r="M14" s="25"/>
      <c r="N14" s="25"/>
      <c r="O14" s="25"/>
      <c r="P14" s="25"/>
      <c r="Q14" s="68"/>
      <c r="R14" s="8"/>
      <c r="S14" s="8"/>
    </row>
    <row r="15" spans="1:19" x14ac:dyDescent="0.35">
      <c r="A15" s="55"/>
      <c r="B15" s="17"/>
      <c r="C15" s="17"/>
      <c r="D15" s="17"/>
      <c r="E15" s="78"/>
      <c r="F15" s="17"/>
      <c r="G15" s="18"/>
      <c r="H15" s="52"/>
      <c r="I15" s="52"/>
      <c r="J15" s="52"/>
      <c r="K15" s="40"/>
      <c r="L15" s="25"/>
      <c r="M15" s="25"/>
      <c r="N15" s="25"/>
      <c r="O15" s="25"/>
      <c r="P15" s="25"/>
      <c r="Q15" s="68"/>
      <c r="R15" s="8"/>
      <c r="S15" s="8"/>
    </row>
    <row r="16" spans="1:19" x14ac:dyDescent="0.35">
      <c r="A16" s="55"/>
      <c r="B16" s="17"/>
      <c r="C16" s="17"/>
      <c r="D16" s="17"/>
      <c r="E16" s="78"/>
      <c r="F16" s="17"/>
      <c r="G16" s="18"/>
      <c r="H16" s="71"/>
      <c r="I16" s="52"/>
      <c r="J16" s="52"/>
      <c r="K16" s="40"/>
      <c r="L16" s="25"/>
      <c r="M16" s="25"/>
      <c r="N16" s="25"/>
      <c r="O16" s="25"/>
      <c r="P16" s="25"/>
      <c r="Q16" s="68"/>
      <c r="R16" s="8"/>
      <c r="S16" s="8"/>
    </row>
    <row r="17" spans="1:19" x14ac:dyDescent="0.35">
      <c r="A17" s="55"/>
      <c r="B17" s="17"/>
      <c r="C17" s="17"/>
      <c r="D17" s="17"/>
      <c r="E17" s="78"/>
      <c r="F17" s="17"/>
      <c r="G17" s="18"/>
      <c r="H17" s="52"/>
      <c r="I17" s="52"/>
      <c r="J17" s="52"/>
      <c r="K17" s="40"/>
      <c r="L17" s="25"/>
      <c r="M17" s="25"/>
      <c r="N17" s="25"/>
      <c r="O17" s="25"/>
      <c r="P17" s="25"/>
      <c r="Q17" s="68"/>
      <c r="R17" s="8"/>
      <c r="S17" s="8"/>
    </row>
    <row r="18" spans="1:19" x14ac:dyDescent="0.35">
      <c r="A18" s="55"/>
      <c r="B18" s="17"/>
      <c r="C18" s="17"/>
      <c r="D18" s="17"/>
      <c r="E18" s="78"/>
      <c r="F18" s="17"/>
      <c r="G18" s="18"/>
      <c r="H18" s="52"/>
      <c r="I18" s="52"/>
      <c r="J18" s="52"/>
      <c r="K18" s="40"/>
      <c r="L18" s="25"/>
      <c r="M18" s="25"/>
      <c r="N18" s="25"/>
      <c r="O18" s="25"/>
      <c r="P18" s="25"/>
      <c r="Q18" s="68"/>
      <c r="R18" s="8"/>
      <c r="S18" s="8"/>
    </row>
    <row r="19" spans="1:19" x14ac:dyDescent="0.35">
      <c r="A19" s="55"/>
      <c r="B19" s="17"/>
      <c r="C19" s="17"/>
      <c r="D19" s="17"/>
      <c r="E19" s="78"/>
      <c r="F19" s="17"/>
      <c r="G19" s="18"/>
      <c r="H19" s="52"/>
      <c r="I19" s="52"/>
      <c r="J19" s="52"/>
      <c r="K19" s="40"/>
      <c r="L19" s="25"/>
      <c r="M19" s="25"/>
      <c r="N19" s="25"/>
      <c r="O19" s="25"/>
      <c r="P19" s="25"/>
      <c r="Q19" s="68"/>
      <c r="R19" s="8"/>
      <c r="S19" s="8"/>
    </row>
    <row r="20" spans="1:19" x14ac:dyDescent="0.35">
      <c r="A20" s="55"/>
      <c r="B20" s="17"/>
      <c r="C20" s="17"/>
      <c r="D20" s="17"/>
      <c r="E20" s="78"/>
      <c r="F20" s="17"/>
      <c r="G20" s="18"/>
      <c r="H20" s="52"/>
      <c r="I20" s="52"/>
      <c r="J20" s="52"/>
      <c r="K20" s="40"/>
      <c r="L20" s="25"/>
      <c r="M20" s="25"/>
      <c r="N20" s="25"/>
      <c r="O20" s="25"/>
      <c r="P20" s="25"/>
      <c r="Q20" s="68"/>
      <c r="R20" s="8"/>
      <c r="S20" s="8"/>
    </row>
    <row r="21" spans="1:19" x14ac:dyDescent="0.35">
      <c r="A21" s="55"/>
      <c r="B21" s="17"/>
      <c r="C21" s="17"/>
      <c r="D21" s="17"/>
      <c r="E21" s="78"/>
      <c r="F21" s="17"/>
      <c r="G21" s="18"/>
      <c r="H21" s="52"/>
      <c r="I21" s="52"/>
      <c r="J21" s="52"/>
      <c r="K21" s="40"/>
      <c r="L21" s="25"/>
      <c r="M21" s="25"/>
      <c r="N21" s="25"/>
      <c r="O21" s="25"/>
      <c r="P21" s="25"/>
      <c r="Q21" s="68"/>
      <c r="R21" s="8"/>
      <c r="S21" s="8"/>
    </row>
    <row r="22" spans="1:19" x14ac:dyDescent="0.35">
      <c r="A22" s="64"/>
      <c r="B22" s="17"/>
      <c r="C22" s="17"/>
      <c r="D22" s="17"/>
      <c r="E22" s="78"/>
      <c r="F22" s="17"/>
      <c r="G22" s="18"/>
      <c r="H22" s="52"/>
      <c r="I22" s="73"/>
      <c r="J22" s="52"/>
      <c r="K22" s="40"/>
      <c r="L22" s="25"/>
      <c r="M22" s="25"/>
      <c r="N22" s="25"/>
      <c r="O22" s="25"/>
      <c r="P22" s="25"/>
      <c r="Q22" s="68"/>
      <c r="R22" s="8"/>
      <c r="S22" s="8"/>
    </row>
    <row r="23" spans="1:19" x14ac:dyDescent="0.35">
      <c r="A23" s="55"/>
      <c r="B23" s="17"/>
      <c r="C23" s="17"/>
      <c r="D23" s="17"/>
      <c r="E23" s="78"/>
      <c r="F23" s="17"/>
      <c r="G23" s="18"/>
      <c r="H23" s="52"/>
      <c r="I23" s="52"/>
      <c r="J23" s="52"/>
      <c r="K23" s="40"/>
      <c r="L23" s="25"/>
      <c r="M23" s="25"/>
      <c r="N23" s="25"/>
      <c r="O23" s="25"/>
      <c r="P23" s="25"/>
      <c r="Q23" s="68"/>
      <c r="R23" s="8"/>
      <c r="S23" s="8"/>
    </row>
    <row r="24" spans="1:19" x14ac:dyDescent="0.35">
      <c r="A24" s="55"/>
      <c r="B24" s="17"/>
      <c r="C24" s="17"/>
      <c r="D24" s="17"/>
      <c r="E24" s="78"/>
      <c r="F24" s="17"/>
      <c r="G24" s="18"/>
      <c r="H24" s="52"/>
      <c r="I24" s="52"/>
      <c r="J24" s="52"/>
      <c r="K24" s="40"/>
      <c r="L24" s="25"/>
      <c r="M24" s="25"/>
      <c r="N24" s="25"/>
      <c r="O24" s="25"/>
      <c r="P24" s="25"/>
      <c r="Q24" s="68"/>
      <c r="R24" s="8"/>
      <c r="S24" s="8"/>
    </row>
    <row r="25" spans="1:19" x14ac:dyDescent="0.35">
      <c r="A25" s="55"/>
      <c r="B25" s="17"/>
      <c r="C25" s="17"/>
      <c r="D25" s="17"/>
      <c r="E25" s="78"/>
      <c r="F25" s="17"/>
      <c r="G25" s="18"/>
      <c r="H25" s="52"/>
      <c r="I25" s="52"/>
      <c r="J25" s="52"/>
      <c r="K25" s="40"/>
      <c r="L25" s="25"/>
      <c r="M25" s="25"/>
      <c r="N25" s="25"/>
      <c r="O25" s="25"/>
      <c r="P25" s="25"/>
      <c r="Q25" s="68"/>
      <c r="R25" s="8"/>
      <c r="S25" s="8"/>
    </row>
    <row r="26" spans="1:19" x14ac:dyDescent="0.35">
      <c r="A26" s="55"/>
      <c r="B26" s="17"/>
      <c r="C26" s="17"/>
      <c r="D26" s="17"/>
      <c r="E26" s="78"/>
      <c r="F26" s="17"/>
      <c r="G26" s="18"/>
      <c r="H26" s="71"/>
      <c r="I26" s="52"/>
      <c r="J26" s="52"/>
      <c r="K26" s="40"/>
      <c r="L26" s="25"/>
      <c r="M26" s="25"/>
      <c r="N26" s="25"/>
      <c r="O26" s="25"/>
      <c r="P26" s="25"/>
      <c r="Q26" s="68"/>
      <c r="R26" s="8"/>
      <c r="S26" s="8"/>
    </row>
    <row r="27" spans="1:19" x14ac:dyDescent="0.35">
      <c r="A27" s="55"/>
      <c r="B27" s="17"/>
      <c r="C27" s="17"/>
      <c r="D27" s="17"/>
      <c r="E27" s="78"/>
      <c r="F27" s="17"/>
      <c r="G27" s="18"/>
      <c r="H27" s="52"/>
      <c r="I27" s="52"/>
      <c r="J27" s="52"/>
      <c r="K27" s="40"/>
      <c r="L27" s="25"/>
      <c r="M27" s="25"/>
      <c r="N27" s="25"/>
      <c r="O27" s="25"/>
      <c r="P27" s="25"/>
      <c r="Q27" s="68"/>
      <c r="R27" s="8"/>
      <c r="S27" s="8"/>
    </row>
    <row r="28" spans="1:19" x14ac:dyDescent="0.35">
      <c r="A28" s="41"/>
      <c r="B28" s="17"/>
      <c r="C28" s="17"/>
      <c r="D28" s="17"/>
      <c r="E28" s="78"/>
      <c r="F28" s="17"/>
      <c r="G28" s="18"/>
      <c r="H28" s="52"/>
      <c r="I28" s="52"/>
      <c r="J28" s="52"/>
      <c r="K28" s="40"/>
      <c r="L28" s="25"/>
      <c r="M28" s="25"/>
      <c r="N28" s="25"/>
      <c r="O28" s="25"/>
      <c r="P28" s="25"/>
      <c r="Q28" s="68"/>
      <c r="R28" s="8"/>
      <c r="S28" s="8"/>
    </row>
    <row r="29" spans="1:19" x14ac:dyDescent="0.35">
      <c r="A29" s="55"/>
      <c r="B29" s="17"/>
      <c r="C29" s="17"/>
      <c r="D29" s="17"/>
      <c r="E29" s="78"/>
      <c r="F29" s="17"/>
      <c r="G29" s="18"/>
      <c r="H29" s="71"/>
      <c r="I29" s="52"/>
      <c r="J29" s="52"/>
      <c r="K29" s="40"/>
      <c r="L29" s="25"/>
      <c r="M29" s="25"/>
      <c r="N29" s="25"/>
      <c r="O29" s="25"/>
      <c r="P29" s="25"/>
      <c r="Q29" s="68"/>
      <c r="R29" s="8"/>
      <c r="S29" s="8"/>
    </row>
    <row r="30" spans="1:19" x14ac:dyDescent="0.35">
      <c r="A30" s="41"/>
      <c r="B30" s="17"/>
      <c r="C30" s="17"/>
      <c r="D30" s="17"/>
      <c r="E30" s="78"/>
      <c r="F30" s="17"/>
      <c r="G30" s="18"/>
      <c r="H30" s="52"/>
      <c r="I30" s="52"/>
      <c r="J30" s="52"/>
      <c r="K30" s="40"/>
      <c r="L30" s="25"/>
      <c r="M30" s="25"/>
      <c r="N30" s="25"/>
      <c r="O30" s="25"/>
      <c r="P30" s="25"/>
      <c r="Q30" s="68"/>
      <c r="R30" s="8"/>
      <c r="S30" s="8"/>
    </row>
    <row r="31" spans="1:19" x14ac:dyDescent="0.35">
      <c r="A31" s="55"/>
      <c r="B31" s="17"/>
      <c r="C31" s="17"/>
      <c r="D31" s="17"/>
      <c r="E31" s="78"/>
      <c r="F31" s="17"/>
      <c r="G31" s="18"/>
      <c r="H31" s="71"/>
      <c r="I31" s="73"/>
      <c r="J31" s="52"/>
      <c r="K31" s="40"/>
      <c r="L31" s="25"/>
      <c r="M31" s="25"/>
      <c r="N31" s="25"/>
      <c r="O31" s="25"/>
      <c r="P31" s="25"/>
      <c r="Q31" s="68"/>
      <c r="R31" s="8"/>
      <c r="S31" s="8"/>
    </row>
    <row r="32" spans="1:19" x14ac:dyDescent="0.35">
      <c r="A32" s="41"/>
      <c r="B32" s="17"/>
      <c r="C32" s="17"/>
      <c r="D32" s="17"/>
      <c r="E32" s="78"/>
      <c r="F32" s="17"/>
      <c r="G32" s="18"/>
      <c r="H32" s="52"/>
      <c r="I32" s="52"/>
      <c r="J32" s="52"/>
      <c r="K32" s="40"/>
      <c r="L32" s="25"/>
      <c r="M32" s="25"/>
      <c r="N32" s="25"/>
      <c r="O32" s="25"/>
      <c r="P32" s="25"/>
      <c r="Q32" s="68"/>
      <c r="R32" s="8"/>
      <c r="S32" s="8"/>
    </row>
    <row r="33" spans="1:19" x14ac:dyDescent="0.35">
      <c r="A33" s="55"/>
      <c r="B33" s="17"/>
      <c r="C33" s="17"/>
      <c r="D33" s="17"/>
      <c r="E33" s="78"/>
      <c r="F33" s="17"/>
      <c r="G33" s="18"/>
      <c r="H33" s="52"/>
      <c r="I33" s="52"/>
      <c r="J33" s="52"/>
      <c r="K33" s="40"/>
      <c r="L33" s="25"/>
      <c r="M33" s="25"/>
      <c r="N33" s="25"/>
      <c r="O33" s="25"/>
      <c r="P33" s="25"/>
      <c r="Q33" s="68"/>
      <c r="R33" s="8"/>
      <c r="S33" s="8"/>
    </row>
    <row r="34" spans="1:19" x14ac:dyDescent="0.35">
      <c r="A34" s="41"/>
      <c r="B34" s="17"/>
      <c r="C34" s="17"/>
      <c r="D34" s="17"/>
      <c r="E34" s="78"/>
      <c r="F34" s="17"/>
      <c r="G34" s="18"/>
      <c r="H34" s="52"/>
      <c r="I34" s="52"/>
      <c r="J34" s="52"/>
      <c r="K34" s="40"/>
      <c r="L34" s="25"/>
      <c r="M34" s="25"/>
      <c r="N34" s="25"/>
      <c r="O34" s="25"/>
      <c r="P34" s="25"/>
      <c r="Q34" s="68"/>
      <c r="R34" s="8"/>
      <c r="S34" s="8"/>
    </row>
    <row r="35" spans="1:19" x14ac:dyDescent="0.35">
      <c r="A35" s="55"/>
      <c r="B35" s="17"/>
      <c r="C35" s="17"/>
      <c r="D35" s="17"/>
      <c r="E35" s="78"/>
      <c r="F35" s="17"/>
      <c r="G35" s="18"/>
      <c r="H35" s="52"/>
      <c r="I35" s="52"/>
      <c r="J35" s="52"/>
      <c r="K35" s="40"/>
      <c r="L35" s="25"/>
      <c r="M35" s="25"/>
      <c r="N35" s="25"/>
      <c r="O35" s="25"/>
      <c r="P35" s="25"/>
      <c r="Q35" s="68"/>
      <c r="R35" s="8"/>
      <c r="S35" s="8"/>
    </row>
    <row r="36" spans="1:19" x14ac:dyDescent="0.35">
      <c r="A36" s="41"/>
      <c r="B36" s="17"/>
      <c r="C36" s="17"/>
      <c r="D36" s="17"/>
      <c r="E36" s="78"/>
      <c r="F36" s="17"/>
      <c r="G36" s="18"/>
      <c r="H36" s="52"/>
      <c r="I36" s="52"/>
      <c r="J36" s="52"/>
      <c r="K36" s="40"/>
      <c r="L36" s="25"/>
      <c r="M36" s="25"/>
      <c r="N36" s="25"/>
      <c r="O36" s="25"/>
      <c r="P36" s="25"/>
      <c r="Q36" s="68"/>
      <c r="R36" s="8"/>
      <c r="S36" s="8"/>
    </row>
    <row r="37" spans="1:19" x14ac:dyDescent="0.35">
      <c r="A37" s="55"/>
      <c r="B37" s="17"/>
      <c r="C37" s="17"/>
      <c r="D37" s="17"/>
      <c r="E37" s="78"/>
      <c r="F37" s="17"/>
      <c r="G37" s="18"/>
      <c r="H37" s="52"/>
      <c r="I37" s="52"/>
      <c r="J37" s="52"/>
      <c r="K37" s="40"/>
      <c r="L37" s="25"/>
      <c r="M37" s="25"/>
      <c r="N37" s="25"/>
      <c r="O37" s="25"/>
      <c r="P37" s="25"/>
      <c r="Q37" s="68"/>
      <c r="R37" s="8"/>
      <c r="S37" s="8"/>
    </row>
    <row r="38" spans="1:19" x14ac:dyDescent="0.35">
      <c r="A38" s="55"/>
      <c r="B38" s="17"/>
      <c r="C38" s="17"/>
      <c r="D38" s="17"/>
      <c r="E38" s="78"/>
      <c r="F38" s="17"/>
      <c r="G38" s="18"/>
      <c r="H38" s="71"/>
      <c r="I38" s="52"/>
      <c r="J38" s="52"/>
      <c r="K38" s="40"/>
      <c r="L38" s="25"/>
      <c r="M38" s="25"/>
      <c r="N38" s="25"/>
      <c r="O38" s="25"/>
      <c r="P38" s="25"/>
      <c r="Q38" s="68"/>
      <c r="R38" s="8"/>
      <c r="S38" s="8"/>
    </row>
    <row r="39" spans="1:19" x14ac:dyDescent="0.35">
      <c r="A39" s="55"/>
      <c r="B39" s="17"/>
      <c r="C39" s="17"/>
      <c r="D39" s="17"/>
      <c r="E39" s="78"/>
      <c r="F39" s="17"/>
      <c r="G39" s="18"/>
      <c r="H39" s="52"/>
      <c r="I39" s="52"/>
      <c r="J39" s="52"/>
      <c r="K39" s="40"/>
      <c r="L39" s="25"/>
      <c r="M39" s="25"/>
      <c r="N39" s="25"/>
      <c r="O39" s="25"/>
      <c r="P39" s="25"/>
      <c r="Q39" s="68"/>
      <c r="R39" s="8"/>
      <c r="S39" s="8"/>
    </row>
    <row r="40" spans="1:19" x14ac:dyDescent="0.35">
      <c r="A40" s="55"/>
      <c r="B40" s="17"/>
      <c r="C40" s="17"/>
      <c r="D40" s="17"/>
      <c r="E40" s="78"/>
      <c r="F40" s="17"/>
      <c r="G40" s="18"/>
      <c r="H40" s="71"/>
      <c r="I40" s="52"/>
      <c r="J40" s="52"/>
      <c r="K40" s="40"/>
      <c r="L40" s="25"/>
      <c r="M40" s="25"/>
      <c r="N40" s="25"/>
      <c r="O40" s="25"/>
      <c r="P40" s="25"/>
      <c r="Q40" s="68"/>
      <c r="R40" s="8"/>
      <c r="S40" s="8"/>
    </row>
    <row r="41" spans="1:19" x14ac:dyDescent="0.35">
      <c r="A41" s="55"/>
      <c r="B41" s="17"/>
      <c r="C41" s="17"/>
      <c r="D41" s="17"/>
      <c r="E41" s="78"/>
      <c r="F41" s="17"/>
      <c r="G41" s="18"/>
      <c r="H41" s="71"/>
      <c r="I41" s="52"/>
      <c r="J41" s="52"/>
      <c r="K41" s="40"/>
      <c r="L41" s="25"/>
      <c r="M41" s="25"/>
      <c r="N41" s="25"/>
      <c r="O41" s="25"/>
      <c r="P41" s="25"/>
      <c r="Q41" s="68"/>
      <c r="R41" s="8"/>
      <c r="S41" s="8"/>
    </row>
    <row r="42" spans="1:19" x14ac:dyDescent="0.35">
      <c r="A42" s="55"/>
      <c r="B42" s="17"/>
      <c r="C42" s="17"/>
      <c r="D42" s="17"/>
      <c r="E42" s="78"/>
      <c r="F42" s="17"/>
      <c r="G42" s="18"/>
      <c r="H42" s="52"/>
      <c r="I42" s="52"/>
      <c r="J42" s="52"/>
      <c r="K42" s="40"/>
      <c r="L42" s="25"/>
      <c r="M42" s="25"/>
      <c r="N42" s="25"/>
      <c r="O42" s="25"/>
      <c r="P42" s="25"/>
      <c r="Q42" s="68"/>
      <c r="R42" s="8"/>
      <c r="S42" s="8"/>
    </row>
    <row r="43" spans="1:19" x14ac:dyDescent="0.35">
      <c r="A43" s="55"/>
      <c r="B43" s="17"/>
      <c r="C43" s="17"/>
      <c r="D43" s="17"/>
      <c r="E43" s="78"/>
      <c r="F43" s="17"/>
      <c r="G43" s="18"/>
      <c r="H43" s="71"/>
      <c r="I43" s="52"/>
      <c r="J43" s="52"/>
      <c r="K43" s="40"/>
      <c r="L43" s="25"/>
      <c r="M43" s="25"/>
      <c r="N43" s="25"/>
      <c r="O43" s="25"/>
      <c r="P43" s="25"/>
      <c r="Q43" s="68"/>
      <c r="R43" s="8"/>
      <c r="S43" s="8"/>
    </row>
    <row r="44" spans="1:19" x14ac:dyDescent="0.35">
      <c r="A44" s="55"/>
      <c r="B44" s="17"/>
      <c r="C44" s="17"/>
      <c r="D44" s="17"/>
      <c r="E44" s="78"/>
      <c r="F44" s="17"/>
      <c r="G44" s="18"/>
      <c r="H44" s="71"/>
      <c r="I44" s="52"/>
      <c r="J44" s="52"/>
      <c r="K44" s="40"/>
      <c r="L44" s="25"/>
      <c r="M44" s="25"/>
      <c r="N44" s="25"/>
      <c r="O44" s="25"/>
      <c r="P44" s="25"/>
      <c r="Q44" s="68"/>
      <c r="R44" s="8"/>
      <c r="S44" s="8"/>
    </row>
    <row r="45" spans="1:19" x14ac:dyDescent="0.35">
      <c r="A45" s="55"/>
      <c r="B45" s="17"/>
      <c r="C45" s="17"/>
      <c r="D45" s="17"/>
      <c r="E45" s="78"/>
      <c r="F45" s="17"/>
      <c r="G45" s="18"/>
      <c r="H45" s="71"/>
      <c r="I45" s="52"/>
      <c r="J45" s="52"/>
      <c r="K45" s="40"/>
      <c r="L45" s="25"/>
      <c r="M45" s="25"/>
      <c r="N45" s="25"/>
      <c r="O45" s="25"/>
      <c r="P45" s="25"/>
      <c r="Q45" s="68"/>
      <c r="R45" s="8"/>
      <c r="S45" s="8"/>
    </row>
    <row r="46" spans="1:19" x14ac:dyDescent="0.35">
      <c r="A46" s="55"/>
      <c r="B46" s="17"/>
      <c r="C46" s="17"/>
      <c r="D46" s="17"/>
      <c r="E46" s="78"/>
      <c r="F46" s="17"/>
      <c r="G46" s="18"/>
      <c r="H46" s="71"/>
      <c r="I46" s="52"/>
      <c r="J46" s="52"/>
      <c r="K46" s="40"/>
      <c r="L46" s="25"/>
      <c r="M46" s="25"/>
      <c r="N46" s="25"/>
      <c r="O46" s="25"/>
      <c r="P46" s="25"/>
      <c r="Q46" s="68"/>
      <c r="R46" s="8"/>
      <c r="S46" s="8"/>
    </row>
    <row r="47" spans="1:19" x14ac:dyDescent="0.35">
      <c r="A47" s="55"/>
      <c r="B47" s="17"/>
      <c r="C47" s="17"/>
      <c r="D47" s="17"/>
      <c r="E47" s="78"/>
      <c r="F47" s="17"/>
      <c r="G47" s="18"/>
      <c r="H47" s="71"/>
      <c r="I47" s="52"/>
      <c r="J47" s="52"/>
      <c r="K47" s="40"/>
      <c r="L47" s="25"/>
      <c r="M47" s="25"/>
      <c r="N47" s="25"/>
      <c r="O47" s="25"/>
      <c r="P47" s="25"/>
      <c r="Q47" s="68"/>
      <c r="R47" s="9"/>
      <c r="S47" s="10"/>
    </row>
    <row r="48" spans="1:19" x14ac:dyDescent="0.35">
      <c r="A48" s="55"/>
      <c r="B48" s="17"/>
      <c r="C48" s="17"/>
      <c r="D48" s="17"/>
      <c r="E48" s="78"/>
      <c r="F48" s="17"/>
      <c r="G48" s="18"/>
      <c r="H48" s="52"/>
      <c r="I48" s="52"/>
      <c r="J48" s="52"/>
      <c r="K48" s="40"/>
      <c r="L48" s="25"/>
      <c r="M48" s="25"/>
      <c r="N48" s="25"/>
      <c r="O48" s="25"/>
      <c r="P48" s="25"/>
      <c r="Q48" s="68"/>
      <c r="R48" s="8"/>
      <c r="S48" s="8"/>
    </row>
    <row r="49" spans="1:19" x14ac:dyDescent="0.35">
      <c r="A49" s="55"/>
      <c r="B49" s="17"/>
      <c r="C49" s="17"/>
      <c r="D49" s="17"/>
      <c r="E49" s="78"/>
      <c r="F49" s="17"/>
      <c r="G49" s="18"/>
      <c r="H49" s="52"/>
      <c r="I49" s="52"/>
      <c r="J49" s="52"/>
      <c r="K49" s="40"/>
      <c r="L49" s="25"/>
      <c r="M49" s="25"/>
      <c r="N49" s="25"/>
      <c r="O49" s="25"/>
      <c r="P49" s="25"/>
      <c r="Q49" s="68"/>
      <c r="R49" s="8"/>
      <c r="S49" s="8"/>
    </row>
    <row r="50" spans="1:19" x14ac:dyDescent="0.35">
      <c r="A50" s="55"/>
      <c r="B50" s="17"/>
      <c r="C50" s="17"/>
      <c r="D50" s="17"/>
      <c r="E50" s="78"/>
      <c r="F50" s="17"/>
      <c r="G50" s="18"/>
      <c r="H50" s="52"/>
      <c r="I50" s="73"/>
      <c r="J50" s="52"/>
      <c r="K50" s="40"/>
      <c r="L50" s="25"/>
      <c r="M50" s="25"/>
      <c r="N50" s="25"/>
      <c r="O50" s="25"/>
      <c r="P50" s="25"/>
      <c r="Q50" s="68"/>
      <c r="R50" s="8"/>
      <c r="S50" s="8"/>
    </row>
    <row r="51" spans="1:19" x14ac:dyDescent="0.35">
      <c r="A51" s="55"/>
      <c r="B51" s="17"/>
      <c r="C51" s="17"/>
      <c r="D51" s="17"/>
      <c r="E51" s="78"/>
      <c r="F51" s="17"/>
      <c r="G51" s="18"/>
      <c r="H51" s="52"/>
      <c r="I51" s="73"/>
      <c r="J51" s="52"/>
      <c r="K51" s="40"/>
      <c r="L51" s="25"/>
      <c r="M51" s="25"/>
      <c r="N51" s="25"/>
      <c r="O51" s="25"/>
      <c r="P51" s="25"/>
      <c r="Q51" s="68"/>
      <c r="R51" s="8"/>
      <c r="S51" s="8"/>
    </row>
    <row r="52" spans="1:19" x14ac:dyDescent="0.35">
      <c r="A52" s="55"/>
      <c r="B52" s="17"/>
      <c r="C52" s="17"/>
      <c r="D52" s="17"/>
      <c r="E52" s="78"/>
      <c r="F52" s="17"/>
      <c r="G52" s="18"/>
      <c r="H52" s="52"/>
      <c r="I52" s="52"/>
      <c r="J52" s="52"/>
      <c r="K52" s="40"/>
      <c r="L52" s="25"/>
      <c r="M52" s="25"/>
      <c r="N52" s="25"/>
      <c r="O52" s="25"/>
      <c r="P52" s="25"/>
      <c r="Q52" s="68"/>
      <c r="R52" s="8"/>
      <c r="S52" s="8"/>
    </row>
    <row r="53" spans="1:19" x14ac:dyDescent="0.35">
      <c r="A53" s="55"/>
      <c r="B53" s="17"/>
      <c r="C53" s="17"/>
      <c r="D53" s="17"/>
      <c r="E53" s="78"/>
      <c r="F53" s="17"/>
      <c r="G53" s="18"/>
      <c r="H53" s="52"/>
      <c r="I53" s="52"/>
      <c r="J53" s="52"/>
      <c r="K53" s="40"/>
      <c r="L53" s="25"/>
      <c r="M53" s="25"/>
      <c r="N53" s="25"/>
      <c r="O53" s="25"/>
      <c r="P53" s="25"/>
      <c r="Q53" s="68"/>
      <c r="R53" s="8"/>
      <c r="S53" s="8"/>
    </row>
    <row r="54" spans="1:19" x14ac:dyDescent="0.35">
      <c r="A54" s="55"/>
      <c r="B54" s="17"/>
      <c r="C54" s="17"/>
      <c r="D54" s="17"/>
      <c r="E54" s="78"/>
      <c r="F54" s="17"/>
      <c r="G54" s="18"/>
      <c r="H54" s="52"/>
      <c r="I54" s="52"/>
      <c r="J54" s="52"/>
      <c r="K54" s="40"/>
      <c r="L54" s="25"/>
      <c r="M54" s="25"/>
      <c r="N54" s="25"/>
      <c r="O54" s="25"/>
      <c r="P54" s="25"/>
      <c r="Q54" s="68"/>
      <c r="R54" s="8"/>
      <c r="S54" s="8"/>
    </row>
    <row r="55" spans="1:19" x14ac:dyDescent="0.35">
      <c r="A55" s="55"/>
      <c r="B55" s="17"/>
      <c r="C55" s="17"/>
      <c r="D55" s="17"/>
      <c r="E55" s="78"/>
      <c r="F55" s="17"/>
      <c r="G55" s="18"/>
      <c r="H55" s="52"/>
      <c r="I55" s="73"/>
      <c r="J55" s="52"/>
      <c r="K55" s="40"/>
      <c r="L55" s="25"/>
      <c r="M55" s="25"/>
      <c r="N55" s="25"/>
      <c r="O55" s="25"/>
      <c r="P55" s="25"/>
      <c r="Q55" s="68"/>
      <c r="R55" s="8"/>
      <c r="S55" s="8"/>
    </row>
    <row r="56" spans="1:19" x14ac:dyDescent="0.35">
      <c r="A56" s="55"/>
      <c r="B56" s="17"/>
      <c r="C56" s="17"/>
      <c r="D56" s="17"/>
      <c r="E56" s="78"/>
      <c r="F56" s="17"/>
      <c r="G56" s="18"/>
      <c r="H56" s="52"/>
      <c r="I56" s="52"/>
      <c r="J56" s="52"/>
      <c r="K56" s="40"/>
      <c r="L56" s="25"/>
      <c r="M56" s="25"/>
      <c r="N56" s="25"/>
      <c r="O56" s="25"/>
      <c r="P56" s="25"/>
      <c r="Q56" s="68"/>
      <c r="R56" s="8"/>
      <c r="S56" s="8"/>
    </row>
    <row r="57" spans="1:19" x14ac:dyDescent="0.35">
      <c r="A57" s="72"/>
      <c r="B57" s="20"/>
      <c r="C57" s="17"/>
      <c r="D57" s="20"/>
      <c r="E57" s="78"/>
      <c r="F57" s="20"/>
      <c r="G57" s="18"/>
      <c r="H57" s="52"/>
      <c r="I57" s="52"/>
      <c r="J57" s="52"/>
      <c r="K57" s="40"/>
      <c r="L57" s="25"/>
      <c r="M57" s="25"/>
      <c r="N57" s="22"/>
      <c r="O57" s="23"/>
      <c r="P57" s="23"/>
      <c r="Q57" s="68"/>
      <c r="R57" s="8"/>
      <c r="S57" s="8"/>
    </row>
    <row r="58" spans="1:19" hidden="1" x14ac:dyDescent="0.35">
      <c r="A58" s="72"/>
      <c r="B58" s="20"/>
      <c r="C58" s="17"/>
      <c r="D58" s="20"/>
      <c r="E58" s="78"/>
      <c r="F58" s="20"/>
      <c r="G58" s="18"/>
      <c r="H58" s="52"/>
      <c r="I58" s="52"/>
      <c r="J58" s="52"/>
      <c r="K58" s="40"/>
      <c r="L58" s="25"/>
      <c r="M58" s="25"/>
      <c r="N58" s="22"/>
      <c r="O58" s="23"/>
      <c r="P58" s="23"/>
      <c r="Q58" s="68"/>
      <c r="R58" s="8"/>
      <c r="S58" s="8"/>
    </row>
    <row r="59" spans="1:19" x14ac:dyDescent="0.35">
      <c r="A59" s="72"/>
      <c r="B59" s="20"/>
      <c r="C59" s="17"/>
      <c r="D59" s="20"/>
      <c r="E59" s="78"/>
      <c r="F59" s="20"/>
      <c r="G59" s="18"/>
      <c r="H59" s="52"/>
      <c r="I59" s="52"/>
      <c r="J59" s="52"/>
      <c r="K59" s="40"/>
      <c r="L59" s="25"/>
      <c r="M59" s="25"/>
      <c r="N59" s="22"/>
      <c r="O59" s="23"/>
      <c r="P59" s="23"/>
      <c r="Q59" s="68"/>
      <c r="R59" s="8"/>
      <c r="S59" s="8"/>
    </row>
    <row r="60" spans="1:19" ht="15.5" x14ac:dyDescent="0.35">
      <c r="A60" s="42"/>
      <c r="B60" s="43"/>
      <c r="C60" s="44"/>
      <c r="D60" s="43"/>
      <c r="E60" s="43"/>
      <c r="F60" s="45"/>
      <c r="G60" s="46"/>
      <c r="H60" s="53"/>
      <c r="I60" s="53"/>
      <c r="J60" s="53"/>
      <c r="K60" s="56"/>
      <c r="L60" s="57"/>
      <c r="M60" s="57"/>
      <c r="N60" s="58"/>
      <c r="O60" s="59"/>
      <c r="P60" s="59"/>
      <c r="Q60" s="68"/>
      <c r="R60" s="8"/>
      <c r="S60" s="8"/>
    </row>
    <row r="61" spans="1:19" x14ac:dyDescent="0.35">
      <c r="A61" s="47"/>
      <c r="B61" s="44"/>
      <c r="C61" s="44"/>
      <c r="D61" s="44"/>
      <c r="E61" s="44"/>
      <c r="F61" s="44"/>
      <c r="G61" s="48"/>
      <c r="H61" s="53"/>
      <c r="I61" s="53"/>
      <c r="J61" s="53"/>
      <c r="K61" s="56"/>
      <c r="L61" s="57"/>
      <c r="M61" s="57"/>
      <c r="N61" s="57"/>
      <c r="O61" s="57"/>
      <c r="P61" s="57"/>
      <c r="Q61" s="68"/>
      <c r="R61" s="8"/>
      <c r="S61" s="8"/>
    </row>
    <row r="62" spans="1:19" x14ac:dyDescent="0.35">
      <c r="A62" s="47"/>
      <c r="B62" s="44"/>
      <c r="C62" s="44"/>
      <c r="D62" s="44"/>
      <c r="E62" s="44"/>
      <c r="F62" s="44"/>
      <c r="G62" s="48"/>
      <c r="H62" s="53"/>
      <c r="I62" s="53"/>
      <c r="J62" s="53"/>
      <c r="K62" s="56"/>
      <c r="L62" s="57"/>
      <c r="M62" s="57"/>
      <c r="N62" s="57"/>
      <c r="O62" s="57"/>
      <c r="P62" s="57"/>
      <c r="Q62" s="68"/>
      <c r="R62" s="8"/>
      <c r="S62" s="8"/>
    </row>
    <row r="63" spans="1:19" x14ac:dyDescent="0.35">
      <c r="A63" s="47"/>
      <c r="B63" s="44"/>
      <c r="C63" s="44"/>
      <c r="D63" s="44"/>
      <c r="E63" s="44"/>
      <c r="F63" s="44"/>
      <c r="G63" s="48"/>
      <c r="H63" s="53"/>
      <c r="I63" s="53"/>
      <c r="J63" s="53"/>
      <c r="K63" s="56"/>
      <c r="L63" s="57"/>
      <c r="M63" s="57"/>
      <c r="N63" s="57"/>
      <c r="O63" s="57"/>
      <c r="P63" s="57"/>
      <c r="Q63" s="68"/>
      <c r="R63" s="8"/>
      <c r="S63" s="8"/>
    </row>
    <row r="64" spans="1:19" x14ac:dyDescent="0.35">
      <c r="A64" s="47"/>
      <c r="B64" s="44"/>
      <c r="C64" s="44"/>
      <c r="D64" s="44"/>
      <c r="E64" s="44"/>
      <c r="F64" s="44"/>
      <c r="G64" s="48"/>
      <c r="H64" s="53"/>
      <c r="I64" s="53"/>
      <c r="J64" s="53"/>
      <c r="K64" s="56"/>
      <c r="L64" s="57"/>
      <c r="M64" s="57"/>
      <c r="N64" s="57"/>
      <c r="O64" s="57"/>
      <c r="P64" s="57"/>
      <c r="Q64" s="68"/>
      <c r="R64" s="8"/>
      <c r="S64" s="8"/>
    </row>
    <row r="65" spans="1:19" x14ac:dyDescent="0.35">
      <c r="A65" s="47"/>
      <c r="B65" s="44"/>
      <c r="C65" s="44"/>
      <c r="D65" s="44"/>
      <c r="E65" s="44"/>
      <c r="F65" s="44"/>
      <c r="G65" s="48"/>
      <c r="H65" s="53"/>
      <c r="I65" s="53"/>
      <c r="J65" s="53"/>
      <c r="K65" s="56"/>
      <c r="L65" s="57"/>
      <c r="M65" s="57"/>
      <c r="N65" s="57"/>
      <c r="O65" s="57"/>
      <c r="P65" s="57"/>
      <c r="Q65" s="68"/>
      <c r="R65" s="8"/>
      <c r="S65" s="8"/>
    </row>
    <row r="66" spans="1:19" x14ac:dyDescent="0.35">
      <c r="A66" s="47"/>
      <c r="B66" s="44"/>
      <c r="C66" s="44"/>
      <c r="D66" s="44"/>
      <c r="E66" s="44"/>
      <c r="F66" s="44"/>
      <c r="G66" s="48"/>
      <c r="H66" s="53"/>
      <c r="I66" s="53"/>
      <c r="J66" s="53"/>
      <c r="K66" s="56"/>
      <c r="L66" s="57"/>
      <c r="M66" s="57"/>
      <c r="N66" s="57"/>
      <c r="O66" s="57"/>
      <c r="P66" s="57"/>
      <c r="Q66" s="68"/>
      <c r="R66" s="8"/>
      <c r="S66" s="8"/>
    </row>
    <row r="67" spans="1:19" x14ac:dyDescent="0.35">
      <c r="A67" s="47"/>
      <c r="B67" s="44"/>
      <c r="C67" s="44"/>
      <c r="D67" s="44"/>
      <c r="E67" s="44"/>
      <c r="F67" s="44"/>
      <c r="G67" s="48"/>
      <c r="H67" s="53"/>
      <c r="I67" s="53"/>
      <c r="J67" s="53"/>
      <c r="K67" s="56"/>
      <c r="L67" s="57"/>
      <c r="M67" s="57"/>
      <c r="N67" s="57"/>
      <c r="O67" s="57"/>
      <c r="P67" s="57"/>
      <c r="Q67" s="68"/>
      <c r="R67" s="8"/>
      <c r="S67" s="8"/>
    </row>
    <row r="68" spans="1:19" x14ac:dyDescent="0.35">
      <c r="A68" s="47"/>
      <c r="B68" s="44"/>
      <c r="C68" s="44"/>
      <c r="D68" s="44"/>
      <c r="E68" s="44"/>
      <c r="F68" s="44"/>
      <c r="G68" s="48"/>
      <c r="H68" s="53"/>
      <c r="I68" s="53"/>
      <c r="J68" s="53"/>
      <c r="K68" s="56"/>
      <c r="L68" s="57"/>
      <c r="M68" s="57"/>
      <c r="N68" s="57"/>
      <c r="O68" s="57"/>
      <c r="P68" s="57"/>
      <c r="Q68" s="68"/>
      <c r="R68" s="8"/>
      <c r="S68" s="8"/>
    </row>
    <row r="69" spans="1:19" x14ac:dyDescent="0.35">
      <c r="A69" s="47"/>
      <c r="B69" s="44"/>
      <c r="C69" s="44"/>
      <c r="D69" s="44"/>
      <c r="E69" s="44"/>
      <c r="F69" s="44"/>
      <c r="G69" s="48"/>
      <c r="H69" s="53"/>
      <c r="I69" s="53"/>
      <c r="J69" s="53"/>
      <c r="K69" s="56"/>
      <c r="L69" s="57"/>
      <c r="M69" s="57"/>
      <c r="N69" s="57"/>
      <c r="O69" s="57"/>
      <c r="P69" s="57"/>
      <c r="Q69" s="68"/>
      <c r="R69" s="8"/>
      <c r="S69" s="8"/>
    </row>
    <row r="70" spans="1:19" x14ac:dyDescent="0.35">
      <c r="A70" s="47"/>
      <c r="B70" s="44"/>
      <c r="C70" s="44"/>
      <c r="D70" s="44"/>
      <c r="E70" s="44"/>
      <c r="F70" s="44"/>
      <c r="G70" s="48"/>
      <c r="H70" s="53"/>
      <c r="I70" s="53"/>
      <c r="J70" s="53"/>
      <c r="K70" s="56"/>
      <c r="L70" s="57"/>
      <c r="M70" s="57"/>
      <c r="N70" s="57"/>
      <c r="O70" s="57"/>
      <c r="P70" s="57"/>
      <c r="Q70" s="68"/>
      <c r="R70" s="8"/>
      <c r="S70" s="8"/>
    </row>
    <row r="71" spans="1:19" x14ac:dyDescent="0.35">
      <c r="A71" s="47"/>
      <c r="B71" s="44"/>
      <c r="C71" s="44"/>
      <c r="D71" s="44"/>
      <c r="E71" s="44"/>
      <c r="F71" s="44"/>
      <c r="G71" s="48"/>
      <c r="H71" s="53"/>
      <c r="I71" s="53"/>
      <c r="J71" s="53"/>
      <c r="K71" s="56"/>
      <c r="L71" s="57"/>
      <c r="M71" s="57"/>
      <c r="N71" s="57"/>
      <c r="O71" s="57"/>
      <c r="P71" s="57"/>
      <c r="Q71" s="68"/>
      <c r="R71" s="8"/>
      <c r="S71" s="8"/>
    </row>
    <row r="72" spans="1:19" x14ac:dyDescent="0.35">
      <c r="A72" s="47"/>
      <c r="B72" s="44"/>
      <c r="C72" s="44"/>
      <c r="D72" s="44"/>
      <c r="E72" s="44"/>
      <c r="F72" s="44"/>
      <c r="G72" s="48"/>
      <c r="H72" s="53"/>
      <c r="I72" s="53"/>
      <c r="J72" s="53"/>
      <c r="K72" s="56"/>
      <c r="L72" s="57"/>
      <c r="M72" s="57"/>
      <c r="N72" s="57"/>
      <c r="O72" s="57"/>
      <c r="P72" s="57"/>
      <c r="Q72" s="68"/>
      <c r="R72" s="8"/>
      <c r="S72" s="8"/>
    </row>
    <row r="73" spans="1:19" x14ac:dyDescent="0.35">
      <c r="A73" s="47"/>
      <c r="B73" s="44"/>
      <c r="C73" s="44"/>
      <c r="D73" s="44"/>
      <c r="E73" s="44"/>
      <c r="F73" s="44"/>
      <c r="G73" s="48"/>
      <c r="H73" s="53"/>
      <c r="I73" s="53"/>
      <c r="J73" s="53"/>
      <c r="K73" s="56"/>
      <c r="L73" s="57"/>
      <c r="M73" s="57"/>
      <c r="N73" s="57"/>
      <c r="O73" s="57"/>
      <c r="P73" s="57"/>
      <c r="Q73" s="68"/>
      <c r="R73" s="8"/>
      <c r="S73" s="8"/>
    </row>
    <row r="74" spans="1:19" x14ac:dyDescent="0.35">
      <c r="A74" s="47"/>
      <c r="B74" s="44"/>
      <c r="C74" s="44"/>
      <c r="D74" s="44"/>
      <c r="E74" s="44"/>
      <c r="F74" s="44"/>
      <c r="G74" s="48"/>
      <c r="H74" s="53"/>
      <c r="I74" s="53"/>
      <c r="J74" s="53"/>
      <c r="K74" s="56"/>
      <c r="L74" s="57"/>
      <c r="M74" s="57"/>
      <c r="N74" s="57"/>
      <c r="O74" s="57"/>
      <c r="P74" s="57"/>
      <c r="Q74" s="68"/>
      <c r="R74" s="8"/>
      <c r="S74" s="8"/>
    </row>
    <row r="75" spans="1:19" x14ac:dyDescent="0.35">
      <c r="A75" s="47"/>
      <c r="B75" s="44"/>
      <c r="C75" s="44"/>
      <c r="D75" s="44"/>
      <c r="E75" s="44"/>
      <c r="F75" s="44"/>
      <c r="G75" s="48"/>
      <c r="H75" s="53"/>
      <c r="I75" s="53"/>
      <c r="J75" s="53"/>
      <c r="K75" s="56"/>
      <c r="L75" s="57"/>
      <c r="M75" s="57"/>
      <c r="N75" s="57"/>
      <c r="O75" s="57"/>
      <c r="P75" s="57"/>
      <c r="Q75" s="68"/>
      <c r="R75" s="9"/>
      <c r="S75" s="10"/>
    </row>
    <row r="76" spans="1:19" x14ac:dyDescent="0.35">
      <c r="A76" s="47"/>
      <c r="B76" s="44"/>
      <c r="C76" s="44"/>
      <c r="D76" s="44"/>
      <c r="E76" s="44"/>
      <c r="F76" s="44"/>
      <c r="G76" s="48"/>
      <c r="H76" s="53"/>
      <c r="I76" s="53"/>
      <c r="J76" s="53"/>
      <c r="K76" s="56"/>
      <c r="L76" s="57"/>
      <c r="M76" s="57"/>
      <c r="N76" s="57"/>
      <c r="O76" s="57"/>
      <c r="P76" s="57"/>
      <c r="Q76" s="68"/>
      <c r="R76" s="8"/>
      <c r="S76" s="8"/>
    </row>
    <row r="77" spans="1:19" x14ac:dyDescent="0.35">
      <c r="A77" s="47"/>
      <c r="B77" s="44"/>
      <c r="C77" s="44"/>
      <c r="D77" s="44"/>
      <c r="E77" s="44"/>
      <c r="F77" s="44"/>
      <c r="G77" s="48"/>
      <c r="H77" s="53"/>
      <c r="I77" s="53"/>
      <c r="J77" s="53"/>
      <c r="K77" s="56"/>
      <c r="L77" s="57"/>
      <c r="M77" s="57"/>
      <c r="N77" s="57"/>
      <c r="O77" s="57"/>
      <c r="P77" s="57"/>
      <c r="Q77" s="68"/>
      <c r="R77" s="8"/>
      <c r="S77" s="8"/>
    </row>
    <row r="78" spans="1:19" x14ac:dyDescent="0.35">
      <c r="A78" s="47"/>
      <c r="B78" s="44"/>
      <c r="C78" s="44"/>
      <c r="D78" s="44"/>
      <c r="E78" s="44"/>
      <c r="F78" s="44"/>
      <c r="G78" s="48"/>
      <c r="H78" s="53"/>
      <c r="I78" s="53"/>
      <c r="J78" s="53"/>
      <c r="K78" s="56"/>
      <c r="L78" s="57"/>
      <c r="M78" s="57"/>
      <c r="N78" s="57"/>
      <c r="O78" s="57"/>
      <c r="P78" s="57"/>
      <c r="Q78" s="68"/>
      <c r="R78" s="8"/>
      <c r="S78" s="8"/>
    </row>
    <row r="79" spans="1:19" x14ac:dyDescent="0.35">
      <c r="A79" s="47"/>
      <c r="B79" s="44"/>
      <c r="C79" s="44"/>
      <c r="D79" s="44"/>
      <c r="E79" s="44"/>
      <c r="F79" s="44"/>
      <c r="G79" s="48"/>
      <c r="H79" s="53"/>
      <c r="I79" s="53"/>
      <c r="J79" s="53"/>
      <c r="K79" s="56"/>
      <c r="L79" s="57"/>
      <c r="M79" s="57"/>
      <c r="N79" s="57"/>
      <c r="O79" s="57"/>
      <c r="P79" s="57"/>
      <c r="Q79" s="68"/>
      <c r="R79" s="8"/>
      <c r="S79" s="8"/>
    </row>
    <row r="80" spans="1:19" x14ac:dyDescent="0.35">
      <c r="A80" s="47"/>
      <c r="B80" s="44"/>
      <c r="C80" s="44"/>
      <c r="D80" s="44"/>
      <c r="E80" s="44"/>
      <c r="F80" s="44"/>
      <c r="G80" s="48"/>
      <c r="H80" s="53"/>
      <c r="I80" s="53"/>
      <c r="J80" s="53"/>
      <c r="K80" s="56"/>
      <c r="L80" s="57"/>
      <c r="M80" s="57"/>
      <c r="N80" s="57"/>
      <c r="O80" s="57"/>
      <c r="P80" s="57"/>
      <c r="Q80" s="68"/>
      <c r="R80" s="8"/>
      <c r="S80" s="8"/>
    </row>
    <row r="81" spans="1:19" x14ac:dyDescent="0.35">
      <c r="A81" s="47"/>
      <c r="B81" s="44"/>
      <c r="C81" s="44"/>
      <c r="D81" s="44"/>
      <c r="E81" s="44"/>
      <c r="F81" s="44"/>
      <c r="G81" s="48"/>
      <c r="H81" s="53"/>
      <c r="I81" s="53"/>
      <c r="J81" s="53"/>
      <c r="K81" s="56"/>
      <c r="L81" s="57"/>
      <c r="M81" s="57"/>
      <c r="N81" s="57"/>
      <c r="O81" s="57"/>
      <c r="P81" s="57"/>
      <c r="Q81" s="68"/>
      <c r="R81" s="8"/>
      <c r="S81" s="8"/>
    </row>
    <row r="82" spans="1:19" x14ac:dyDescent="0.35">
      <c r="A82" s="47"/>
      <c r="B82" s="44"/>
      <c r="C82" s="44"/>
      <c r="D82" s="44"/>
      <c r="E82" s="44"/>
      <c r="F82" s="44"/>
      <c r="G82" s="48"/>
      <c r="H82" s="53"/>
      <c r="I82" s="53"/>
      <c r="J82" s="53"/>
      <c r="K82" s="56"/>
      <c r="L82" s="57"/>
      <c r="M82" s="57"/>
      <c r="N82" s="57"/>
      <c r="O82" s="57"/>
      <c r="P82" s="57"/>
      <c r="Q82" s="68"/>
      <c r="R82" s="8"/>
      <c r="S82" s="8"/>
    </row>
    <row r="83" spans="1:19" x14ac:dyDescent="0.35">
      <c r="A83" s="49"/>
      <c r="B83" s="50"/>
      <c r="C83" s="44"/>
      <c r="D83" s="44"/>
      <c r="E83" s="44"/>
      <c r="F83" s="44"/>
      <c r="G83" s="48"/>
      <c r="H83" s="53"/>
      <c r="I83" s="53"/>
      <c r="J83" s="53"/>
      <c r="K83" s="56"/>
      <c r="L83" s="57"/>
      <c r="M83" s="57"/>
      <c r="N83" s="57"/>
      <c r="O83" s="57"/>
      <c r="P83" s="57"/>
      <c r="Q83" s="68"/>
      <c r="R83" s="8"/>
      <c r="S83" s="8"/>
    </row>
    <row r="84" spans="1:19" x14ac:dyDescent="0.35">
      <c r="A84" s="49"/>
      <c r="B84" s="50"/>
      <c r="C84" s="44"/>
      <c r="D84" s="44"/>
      <c r="E84" s="44"/>
      <c r="F84" s="44"/>
      <c r="G84" s="48"/>
      <c r="H84" s="53"/>
      <c r="I84" s="53"/>
      <c r="J84" s="53"/>
      <c r="K84" s="56"/>
      <c r="L84" s="57"/>
      <c r="M84" s="57"/>
      <c r="N84" s="57"/>
      <c r="O84" s="57"/>
      <c r="P84" s="57"/>
      <c r="Q84" s="68"/>
      <c r="R84" s="8"/>
      <c r="S84" s="8"/>
    </row>
    <row r="85" spans="1:19" x14ac:dyDescent="0.35">
      <c r="A85" s="49"/>
      <c r="B85" s="50"/>
      <c r="C85" s="44"/>
      <c r="D85" s="44"/>
      <c r="E85" s="44"/>
      <c r="F85" s="44"/>
      <c r="G85" s="48"/>
      <c r="H85" s="53"/>
      <c r="I85" s="53"/>
      <c r="J85" s="53"/>
      <c r="K85" s="56"/>
      <c r="L85" s="57"/>
      <c r="M85" s="57"/>
      <c r="N85" s="57"/>
      <c r="O85" s="57"/>
      <c r="P85" s="57"/>
      <c r="Q85" s="68"/>
      <c r="R85" s="8"/>
      <c r="S85" s="8"/>
    </row>
    <row r="86" spans="1:19" x14ac:dyDescent="0.35">
      <c r="A86" s="49"/>
      <c r="B86" s="50"/>
      <c r="C86" s="44"/>
      <c r="D86" s="44"/>
      <c r="E86" s="44"/>
      <c r="F86" s="44"/>
      <c r="G86" s="48"/>
      <c r="H86" s="53"/>
      <c r="I86" s="53"/>
      <c r="J86" s="53"/>
      <c r="K86" s="56"/>
      <c r="L86" s="57"/>
      <c r="M86" s="57"/>
      <c r="N86" s="57"/>
      <c r="O86" s="57"/>
      <c r="P86" s="57"/>
      <c r="Q86" s="68"/>
      <c r="R86" s="8"/>
      <c r="S86" s="8"/>
    </row>
    <row r="87" spans="1:19" x14ac:dyDescent="0.35">
      <c r="A87" s="49"/>
      <c r="B87" s="50"/>
      <c r="C87" s="44"/>
      <c r="D87" s="44"/>
      <c r="E87" s="44"/>
      <c r="F87" s="44"/>
      <c r="G87" s="48"/>
      <c r="H87" s="53"/>
      <c r="I87" s="53"/>
      <c r="J87" s="53"/>
      <c r="K87" s="56"/>
      <c r="L87" s="57"/>
      <c r="M87" s="57"/>
      <c r="N87" s="57"/>
      <c r="O87" s="57"/>
      <c r="P87" s="57"/>
      <c r="Q87" s="68"/>
      <c r="R87" s="8"/>
      <c r="S87" s="8"/>
    </row>
    <row r="88" spans="1:19" x14ac:dyDescent="0.35">
      <c r="A88" s="49"/>
      <c r="B88" s="50"/>
      <c r="C88" s="44"/>
      <c r="D88" s="44"/>
      <c r="E88" s="44"/>
      <c r="F88" s="44"/>
      <c r="G88" s="48"/>
      <c r="H88" s="53"/>
      <c r="I88" s="53"/>
      <c r="J88" s="53"/>
      <c r="K88" s="56"/>
      <c r="L88" s="57"/>
      <c r="M88" s="57"/>
      <c r="N88" s="57"/>
      <c r="O88" s="57"/>
      <c r="P88" s="57"/>
      <c r="Q88" s="68"/>
      <c r="R88" s="8"/>
      <c r="S88" s="8"/>
    </row>
    <row r="89" spans="1:19" x14ac:dyDescent="0.35">
      <c r="A89" s="49"/>
      <c r="B89" s="50"/>
      <c r="C89" s="44"/>
      <c r="D89" s="44"/>
      <c r="E89" s="44"/>
      <c r="F89" s="44"/>
      <c r="G89" s="48"/>
      <c r="H89" s="53"/>
      <c r="I89" s="53"/>
      <c r="J89" s="53"/>
      <c r="K89" s="56"/>
      <c r="L89" s="57"/>
      <c r="M89" s="57"/>
      <c r="N89" s="57"/>
      <c r="O89" s="57"/>
      <c r="P89" s="57"/>
      <c r="Q89" s="68"/>
      <c r="R89" s="11"/>
      <c r="S89" s="11"/>
    </row>
    <row r="90" spans="1:19" x14ac:dyDescent="0.35">
      <c r="A90" s="49"/>
      <c r="B90" s="50"/>
      <c r="C90" s="44"/>
      <c r="D90" s="44"/>
      <c r="E90" s="44"/>
      <c r="F90" s="44"/>
      <c r="G90" s="48"/>
      <c r="H90" s="53"/>
      <c r="I90" s="53"/>
      <c r="J90" s="53"/>
      <c r="K90" s="56"/>
      <c r="L90" s="57"/>
      <c r="M90" s="57"/>
      <c r="N90" s="57"/>
      <c r="O90" s="57"/>
      <c r="P90" s="57"/>
      <c r="Q90" s="68"/>
      <c r="R90" s="8"/>
      <c r="S90" s="8"/>
    </row>
    <row r="91" spans="1:19" x14ac:dyDescent="0.35">
      <c r="A91" s="49"/>
      <c r="B91" s="50"/>
      <c r="C91" s="44"/>
      <c r="D91" s="44"/>
      <c r="E91" s="44"/>
      <c r="F91" s="44"/>
      <c r="G91" s="48"/>
      <c r="H91" s="53"/>
      <c r="I91" s="53"/>
      <c r="J91" s="53"/>
      <c r="K91" s="56"/>
      <c r="L91" s="57"/>
      <c r="M91" s="57"/>
      <c r="N91" s="57"/>
      <c r="O91" s="57"/>
      <c r="P91" s="57"/>
      <c r="Q91" s="68"/>
      <c r="R91" s="8"/>
      <c r="S91" s="8"/>
    </row>
    <row r="92" spans="1:19" x14ac:dyDescent="0.35">
      <c r="A92" s="49"/>
      <c r="B92" s="50"/>
      <c r="C92" s="44"/>
      <c r="D92" s="44"/>
      <c r="E92" s="44"/>
      <c r="F92" s="44"/>
      <c r="G92" s="48"/>
      <c r="H92" s="53"/>
      <c r="I92" s="53"/>
      <c r="J92" s="53"/>
      <c r="K92" s="56"/>
      <c r="L92" s="57"/>
      <c r="M92" s="57"/>
      <c r="N92" s="57"/>
      <c r="O92" s="57"/>
      <c r="P92" s="57"/>
      <c r="Q92" s="68"/>
      <c r="R92" s="8"/>
      <c r="S92" s="8"/>
    </row>
    <row r="93" spans="1:19" hidden="1" x14ac:dyDescent="0.35">
      <c r="A93" s="49"/>
      <c r="B93" s="50"/>
      <c r="C93" s="44"/>
      <c r="D93" s="44"/>
      <c r="E93" s="44"/>
      <c r="F93" s="44"/>
      <c r="G93" s="48"/>
      <c r="H93" s="53"/>
      <c r="I93" s="53"/>
      <c r="J93" s="53"/>
      <c r="K93" s="56"/>
      <c r="L93" s="57"/>
      <c r="M93" s="57"/>
      <c r="N93" s="57"/>
      <c r="O93" s="57"/>
      <c r="P93" s="57"/>
      <c r="Q93" s="68"/>
      <c r="R93" s="8"/>
      <c r="S93" s="8"/>
    </row>
    <row r="94" spans="1:19" hidden="1" x14ac:dyDescent="0.35">
      <c r="A94" s="49"/>
      <c r="B94" s="50"/>
      <c r="C94" s="44"/>
      <c r="D94" s="44"/>
      <c r="E94" s="44"/>
      <c r="F94" s="44"/>
      <c r="G94" s="48"/>
      <c r="H94" s="53"/>
      <c r="I94" s="53"/>
      <c r="J94" s="53"/>
      <c r="K94" s="56"/>
      <c r="L94" s="57"/>
      <c r="M94" s="57"/>
      <c r="N94" s="57"/>
      <c r="O94" s="57"/>
      <c r="P94" s="57"/>
      <c r="Q94" s="68"/>
      <c r="R94" s="8"/>
      <c r="S94" s="8"/>
    </row>
    <row r="95" spans="1:19" ht="9.75" hidden="1" customHeight="1" x14ac:dyDescent="0.35">
      <c r="A95" s="49"/>
      <c r="B95" s="50"/>
      <c r="C95" s="44"/>
      <c r="D95" s="44"/>
      <c r="E95" s="44"/>
      <c r="F95" s="44"/>
      <c r="G95" s="48"/>
      <c r="H95" s="53"/>
      <c r="I95" s="53"/>
      <c r="J95" s="53"/>
      <c r="K95" s="56"/>
      <c r="L95" s="57"/>
      <c r="M95" s="57"/>
      <c r="N95" s="57"/>
      <c r="O95" s="57"/>
      <c r="P95" s="57"/>
      <c r="Q95" s="68"/>
    </row>
    <row r="96" spans="1:19" x14ac:dyDescent="0.35">
      <c r="A96" s="49"/>
      <c r="B96" s="50"/>
      <c r="C96" s="44"/>
      <c r="D96" s="44"/>
      <c r="E96" s="44"/>
      <c r="F96" s="44"/>
      <c r="G96" s="48"/>
      <c r="H96" s="53"/>
      <c r="I96" s="53"/>
      <c r="J96" s="53"/>
      <c r="K96" s="56"/>
      <c r="L96" s="57"/>
      <c r="M96" s="57"/>
      <c r="N96" s="57"/>
      <c r="O96" s="57"/>
      <c r="P96" s="57"/>
      <c r="Q96" s="68"/>
    </row>
    <row r="97" spans="1:19" ht="15" thickBot="1" x14ac:dyDescent="0.4">
      <c r="A97" s="49"/>
      <c r="B97" s="50"/>
      <c r="C97" s="44"/>
      <c r="D97" s="44"/>
      <c r="E97" s="44"/>
      <c r="F97" s="44"/>
      <c r="G97" s="48"/>
      <c r="H97" s="53"/>
      <c r="I97" s="53"/>
      <c r="J97" s="53"/>
      <c r="K97" s="56"/>
      <c r="L97" s="57"/>
      <c r="M97" s="57"/>
      <c r="N97" s="57"/>
      <c r="O97" s="57"/>
      <c r="P97" s="57"/>
      <c r="Q97" s="68"/>
      <c r="R97" s="16"/>
      <c r="S97" s="16"/>
    </row>
    <row r="98" spans="1:19" ht="15" thickTop="1" x14ac:dyDescent="0.35">
      <c r="A98" s="49"/>
      <c r="B98" s="44"/>
      <c r="C98" s="44"/>
      <c r="D98" s="44"/>
      <c r="E98" s="44"/>
      <c r="F98" s="43"/>
      <c r="G98" s="48"/>
      <c r="H98" s="53"/>
      <c r="I98" s="53"/>
      <c r="J98" s="53"/>
      <c r="K98" s="56"/>
      <c r="L98" s="57"/>
      <c r="M98" s="57"/>
      <c r="N98" s="57"/>
      <c r="O98" s="57"/>
      <c r="P98" s="57"/>
      <c r="Q98" s="68"/>
    </row>
    <row r="99" spans="1:19" x14ac:dyDescent="0.35">
      <c r="A99" s="74"/>
      <c r="B99" s="44"/>
      <c r="C99" s="44"/>
      <c r="D99" s="44"/>
      <c r="E99" s="44"/>
      <c r="F99" s="43"/>
      <c r="G99" s="48"/>
      <c r="H99" s="53"/>
      <c r="I99" s="53"/>
      <c r="J99" s="53"/>
      <c r="K99" s="56"/>
      <c r="L99" s="57"/>
      <c r="M99" s="57"/>
      <c r="N99" s="57"/>
      <c r="O99" s="57"/>
      <c r="P99" s="59"/>
      <c r="Q99" s="68"/>
      <c r="R99" s="9"/>
      <c r="S99" s="10"/>
    </row>
    <row r="100" spans="1:19" x14ac:dyDescent="0.35">
      <c r="A100" s="74"/>
      <c r="B100" s="44"/>
      <c r="C100" s="44"/>
      <c r="D100" s="44"/>
      <c r="E100" s="44"/>
      <c r="F100" s="43"/>
      <c r="G100" s="48"/>
      <c r="H100" s="53"/>
      <c r="I100" s="53"/>
      <c r="J100" s="53"/>
      <c r="K100" s="56"/>
      <c r="L100" s="57"/>
      <c r="M100" s="57"/>
      <c r="N100" s="57"/>
      <c r="O100" s="57"/>
      <c r="P100" s="59"/>
      <c r="Q100" s="68"/>
      <c r="R100" s="8"/>
      <c r="S100" s="8"/>
    </row>
    <row r="101" spans="1:19" x14ac:dyDescent="0.35">
      <c r="A101" s="74"/>
      <c r="B101" s="44"/>
      <c r="C101" s="44"/>
      <c r="D101" s="44"/>
      <c r="E101" s="44"/>
      <c r="F101" s="43"/>
      <c r="G101" s="48"/>
      <c r="H101" s="53"/>
      <c r="I101" s="53"/>
      <c r="J101" s="53"/>
      <c r="K101" s="56"/>
      <c r="L101" s="57"/>
      <c r="M101" s="57"/>
      <c r="N101" s="57"/>
      <c r="O101" s="57"/>
      <c r="P101" s="59"/>
      <c r="Q101" s="68"/>
      <c r="R101" s="8"/>
      <c r="S101" s="8"/>
    </row>
    <row r="102" spans="1:19" ht="15.5" x14ac:dyDescent="0.35">
      <c r="A102" s="42"/>
      <c r="B102" s="44"/>
      <c r="C102" s="44"/>
      <c r="D102" s="44"/>
      <c r="E102" s="44"/>
      <c r="F102" s="43"/>
      <c r="G102" s="48"/>
      <c r="H102" s="53"/>
      <c r="I102" s="53"/>
      <c r="J102" s="53"/>
      <c r="K102" s="56"/>
      <c r="L102" s="57"/>
      <c r="M102" s="57"/>
      <c r="N102" s="57"/>
      <c r="O102" s="57"/>
      <c r="P102" s="59"/>
      <c r="Q102" s="68"/>
      <c r="R102" s="8"/>
      <c r="S102" s="8"/>
    </row>
    <row r="103" spans="1:19" x14ac:dyDescent="0.35">
      <c r="A103" s="49"/>
      <c r="B103" s="44"/>
      <c r="C103" s="44"/>
      <c r="D103" s="44"/>
      <c r="E103" s="44"/>
      <c r="F103" s="43"/>
      <c r="G103" s="48"/>
      <c r="H103" s="53"/>
      <c r="I103" s="53"/>
      <c r="J103" s="53"/>
      <c r="K103" s="56"/>
      <c r="L103" s="57"/>
      <c r="M103" s="57"/>
      <c r="N103" s="57"/>
      <c r="O103" s="57"/>
      <c r="P103" s="57"/>
      <c r="Q103" s="68"/>
      <c r="R103" s="8"/>
      <c r="S103" s="8"/>
    </row>
    <row r="104" spans="1:19" x14ac:dyDescent="0.35">
      <c r="A104" s="49"/>
      <c r="B104" s="44"/>
      <c r="C104" s="44"/>
      <c r="D104" s="44"/>
      <c r="E104" s="44"/>
      <c r="F104" s="43"/>
      <c r="G104" s="48"/>
      <c r="H104" s="53"/>
      <c r="I104" s="53"/>
      <c r="J104" s="53"/>
      <c r="K104" s="56"/>
      <c r="L104" s="57"/>
      <c r="M104" s="57"/>
      <c r="N104" s="57"/>
      <c r="O104" s="57"/>
      <c r="P104" s="57"/>
      <c r="Q104" s="68"/>
      <c r="R104" s="8"/>
      <c r="S104" s="8"/>
    </row>
    <row r="105" spans="1:19" x14ac:dyDescent="0.35">
      <c r="A105" s="49"/>
      <c r="B105" s="44"/>
      <c r="C105" s="44"/>
      <c r="D105" s="44"/>
      <c r="E105" s="44"/>
      <c r="F105" s="43"/>
      <c r="G105" s="48"/>
      <c r="H105" s="53"/>
      <c r="I105" s="53"/>
      <c r="J105" s="53"/>
      <c r="K105" s="56"/>
      <c r="L105" s="57"/>
      <c r="M105" s="57"/>
      <c r="N105" s="57"/>
      <c r="O105" s="57"/>
      <c r="P105" s="57"/>
      <c r="Q105" s="68"/>
      <c r="R105" s="8"/>
      <c r="S105" s="8"/>
    </row>
    <row r="106" spans="1:19" x14ac:dyDescent="0.35">
      <c r="A106" s="49"/>
      <c r="B106" s="44"/>
      <c r="C106" s="44"/>
      <c r="D106" s="44"/>
      <c r="E106" s="44"/>
      <c r="F106" s="43"/>
      <c r="G106" s="48"/>
      <c r="H106" s="53"/>
      <c r="I106" s="53"/>
      <c r="J106" s="53"/>
      <c r="K106" s="56"/>
      <c r="L106" s="57"/>
      <c r="M106" s="57"/>
      <c r="N106" s="57"/>
      <c r="O106" s="57"/>
      <c r="P106" s="57"/>
      <c r="Q106" s="68"/>
      <c r="R106" s="8"/>
      <c r="S106" s="8"/>
    </row>
    <row r="107" spans="1:19" hidden="1" x14ac:dyDescent="0.35">
      <c r="A107" s="49"/>
      <c r="B107" s="44"/>
      <c r="C107" s="44"/>
      <c r="D107" s="44"/>
      <c r="E107" s="44"/>
      <c r="F107" s="43"/>
      <c r="G107" s="48"/>
      <c r="H107" s="53"/>
      <c r="I107" s="53"/>
      <c r="J107" s="53"/>
      <c r="K107" s="56"/>
      <c r="L107" s="57"/>
      <c r="M107" s="57"/>
      <c r="N107" s="57"/>
      <c r="O107" s="57"/>
      <c r="P107" s="59"/>
      <c r="Q107" s="68"/>
      <c r="R107" s="8"/>
      <c r="S107" s="8"/>
    </row>
    <row r="108" spans="1:19" x14ac:dyDescent="0.35">
      <c r="A108" s="49"/>
      <c r="B108" s="44"/>
      <c r="C108" s="44"/>
      <c r="D108" s="44"/>
      <c r="E108" s="44"/>
      <c r="F108" s="43"/>
      <c r="G108" s="48"/>
      <c r="H108" s="53"/>
      <c r="I108" s="53"/>
      <c r="J108" s="53"/>
      <c r="K108" s="56"/>
      <c r="L108" s="57"/>
      <c r="M108" s="57"/>
      <c r="N108" s="57"/>
      <c r="O108" s="57"/>
      <c r="P108" s="59"/>
      <c r="Q108" s="68"/>
      <c r="R108" s="8"/>
      <c r="S108" s="8"/>
    </row>
    <row r="109" spans="1:19" x14ac:dyDescent="0.35">
      <c r="A109" s="49"/>
      <c r="B109" s="44"/>
      <c r="C109" s="44"/>
      <c r="D109" s="44"/>
      <c r="E109" s="44"/>
      <c r="F109" s="43"/>
      <c r="G109" s="48"/>
      <c r="H109" s="53"/>
      <c r="I109" s="53"/>
      <c r="J109" s="53"/>
      <c r="K109" s="56"/>
      <c r="L109" s="57"/>
      <c r="M109" s="57"/>
      <c r="N109" s="57"/>
      <c r="O109" s="57"/>
      <c r="P109" s="59"/>
      <c r="Q109" s="68"/>
      <c r="R109" s="8"/>
      <c r="S109" s="8"/>
    </row>
    <row r="110" spans="1:19" ht="15.5" x14ac:dyDescent="0.35">
      <c r="A110" s="21"/>
      <c r="B110" s="20"/>
      <c r="C110" s="17"/>
      <c r="D110" s="20"/>
      <c r="E110" s="17"/>
      <c r="F110" s="20"/>
      <c r="G110" s="18"/>
      <c r="H110" s="52"/>
      <c r="I110" s="52"/>
      <c r="J110" s="52"/>
      <c r="K110" s="40"/>
      <c r="L110" s="25"/>
      <c r="M110" s="25"/>
      <c r="N110" s="22"/>
      <c r="O110" s="23"/>
      <c r="P110" s="23"/>
      <c r="Q110" s="69"/>
    </row>
    <row r="111" spans="1:19" x14ac:dyDescent="0.35">
      <c r="A111" s="55"/>
      <c r="B111" s="17"/>
      <c r="C111" s="17"/>
      <c r="D111" s="17"/>
      <c r="E111" s="78"/>
      <c r="F111" s="17"/>
      <c r="G111" s="18"/>
      <c r="H111" s="52"/>
      <c r="I111" s="52"/>
      <c r="J111" s="52"/>
      <c r="K111" s="40"/>
      <c r="L111" s="25"/>
      <c r="M111" s="25"/>
      <c r="N111" s="25"/>
      <c r="O111" s="25"/>
      <c r="P111" s="25"/>
      <c r="Q111" s="68"/>
    </row>
    <row r="112" spans="1:19" x14ac:dyDescent="0.35">
      <c r="A112" s="55"/>
      <c r="B112" s="17"/>
      <c r="C112" s="17"/>
      <c r="D112" s="17"/>
      <c r="E112" s="78"/>
      <c r="F112" s="17"/>
      <c r="G112" s="18"/>
      <c r="H112" s="52"/>
      <c r="I112" s="52"/>
      <c r="J112" s="52"/>
      <c r="K112" s="40"/>
      <c r="L112" s="25"/>
      <c r="M112" s="25"/>
      <c r="N112" s="25"/>
      <c r="O112" s="25"/>
      <c r="P112" s="25"/>
      <c r="Q112" s="68"/>
    </row>
    <row r="113" spans="1:17" customFormat="1" x14ac:dyDescent="0.35">
      <c r="A113" s="55"/>
      <c r="B113" s="17"/>
      <c r="C113" s="17"/>
      <c r="D113" s="17"/>
      <c r="E113" s="78"/>
      <c r="F113" s="17"/>
      <c r="G113" s="18"/>
      <c r="H113" s="52"/>
      <c r="I113" s="52"/>
      <c r="J113" s="52"/>
      <c r="K113" s="40"/>
      <c r="L113" s="25"/>
      <c r="M113" s="25"/>
      <c r="N113" s="25"/>
      <c r="O113" s="25"/>
      <c r="P113" s="25"/>
      <c r="Q113" s="68"/>
    </row>
    <row r="114" spans="1:17" customFormat="1" x14ac:dyDescent="0.35">
      <c r="A114" s="55"/>
      <c r="B114" s="17"/>
      <c r="C114" s="17"/>
      <c r="D114" s="17"/>
      <c r="E114" s="78"/>
      <c r="F114" s="17"/>
      <c r="G114" s="18"/>
      <c r="H114" s="52"/>
      <c r="I114" s="52"/>
      <c r="J114" s="52"/>
      <c r="K114" s="40"/>
      <c r="L114" s="25"/>
      <c r="M114" s="25"/>
      <c r="N114" s="25"/>
      <c r="O114" s="25"/>
      <c r="P114" s="25"/>
      <c r="Q114" s="68"/>
    </row>
    <row r="115" spans="1:17" customFormat="1" x14ac:dyDescent="0.35">
      <c r="A115" s="55"/>
      <c r="B115" s="17"/>
      <c r="C115" s="17"/>
      <c r="D115" s="17"/>
      <c r="E115" s="78"/>
      <c r="F115" s="17"/>
      <c r="G115" s="18"/>
      <c r="H115" s="52"/>
      <c r="I115" s="52"/>
      <c r="J115" s="52"/>
      <c r="K115" s="40"/>
      <c r="L115" s="25"/>
      <c r="M115" s="25"/>
      <c r="N115" s="25"/>
      <c r="O115" s="25"/>
      <c r="P115" s="25"/>
      <c r="Q115" s="68"/>
    </row>
    <row r="116" spans="1:17" customFormat="1" x14ac:dyDescent="0.35">
      <c r="A116" s="55"/>
      <c r="B116" s="17"/>
      <c r="C116" s="17"/>
      <c r="D116" s="17"/>
      <c r="E116" s="78"/>
      <c r="F116" s="17"/>
      <c r="G116" s="18"/>
      <c r="H116" s="52"/>
      <c r="I116" s="52"/>
      <c r="J116" s="52"/>
      <c r="K116" s="40"/>
      <c r="L116" s="25"/>
      <c r="M116" s="25"/>
      <c r="N116" s="25"/>
      <c r="O116" s="25"/>
      <c r="P116" s="25"/>
      <c r="Q116" s="68"/>
    </row>
    <row r="117" spans="1:17" customFormat="1" x14ac:dyDescent="0.35">
      <c r="A117" s="55"/>
      <c r="B117" s="17"/>
      <c r="C117" s="17"/>
      <c r="D117" s="17"/>
      <c r="E117" s="78"/>
      <c r="F117" s="17"/>
      <c r="G117" s="18"/>
      <c r="H117" s="52"/>
      <c r="I117" s="52"/>
      <c r="J117" s="52"/>
      <c r="K117" s="40"/>
      <c r="L117" s="25"/>
      <c r="M117" s="25"/>
      <c r="N117" s="25"/>
      <c r="O117" s="25"/>
      <c r="P117" s="25"/>
      <c r="Q117" s="68"/>
    </row>
    <row r="118" spans="1:17" customFormat="1" x14ac:dyDescent="0.35">
      <c r="A118" s="55"/>
      <c r="B118" s="17"/>
      <c r="C118" s="17"/>
      <c r="D118" s="17"/>
      <c r="E118" s="78"/>
      <c r="F118" s="17"/>
      <c r="G118" s="18"/>
      <c r="H118" s="52"/>
      <c r="I118" s="52"/>
      <c r="J118" s="52"/>
      <c r="K118" s="40"/>
      <c r="L118" s="25"/>
      <c r="M118" s="25"/>
      <c r="N118" s="25"/>
      <c r="O118" s="25"/>
      <c r="P118" s="25"/>
      <c r="Q118" s="68"/>
    </row>
    <row r="119" spans="1:17" customFormat="1" ht="15" thickBot="1" x14ac:dyDescent="0.4">
      <c r="B119" s="39"/>
      <c r="C119" s="39"/>
      <c r="D119" s="39"/>
      <c r="E119" s="38"/>
      <c r="F119" s="38"/>
      <c r="G119" s="38"/>
      <c r="H119" s="54"/>
      <c r="I119" s="54"/>
      <c r="J119" s="54"/>
      <c r="K119" s="35"/>
      <c r="L119" s="36"/>
      <c r="M119" s="36"/>
      <c r="N119" s="36"/>
      <c r="O119" s="36"/>
      <c r="P119" s="36"/>
      <c r="Q119" s="70"/>
    </row>
    <row r="120" spans="1:17" customFormat="1" ht="15" thickTop="1" x14ac:dyDescent="0.35">
      <c r="C120" s="17"/>
      <c r="P120" s="34"/>
      <c r="Q120" s="34"/>
    </row>
    <row r="121" spans="1:17" customFormat="1" ht="15.5" x14ac:dyDescent="0.35">
      <c r="A121" s="21"/>
      <c r="B121" s="20"/>
      <c r="C121" s="17"/>
      <c r="D121" s="20"/>
      <c r="E121" s="20"/>
      <c r="F121" s="20"/>
      <c r="G121" s="37"/>
      <c r="H121" s="52"/>
      <c r="I121" s="52"/>
      <c r="J121" s="52"/>
      <c r="K121" s="40"/>
      <c r="L121" s="22"/>
      <c r="M121" s="22"/>
      <c r="N121" s="22"/>
      <c r="O121" s="23"/>
      <c r="P121" s="23"/>
      <c r="Q121" s="23"/>
    </row>
    <row r="122" spans="1:17" customFormat="1" x14ac:dyDescent="0.35">
      <c r="A122" s="24"/>
      <c r="B122" s="17"/>
      <c r="C122" s="17"/>
      <c r="D122" s="17"/>
      <c r="E122" s="78"/>
      <c r="F122" s="17"/>
      <c r="G122" s="17"/>
      <c r="H122" s="52"/>
      <c r="I122" s="52"/>
      <c r="J122" s="52"/>
      <c r="K122" s="40"/>
      <c r="L122" s="25"/>
      <c r="M122" s="25"/>
      <c r="N122" s="25"/>
      <c r="O122" s="25"/>
      <c r="P122" s="25"/>
      <c r="Q122" s="25"/>
    </row>
    <row r="123" spans="1:17" customFormat="1" x14ac:dyDescent="0.35">
      <c r="A123" s="24"/>
      <c r="B123" s="17"/>
      <c r="C123" s="17"/>
      <c r="D123" s="17"/>
      <c r="E123" s="78"/>
      <c r="F123" s="17"/>
      <c r="G123" s="17"/>
      <c r="H123" s="52"/>
      <c r="I123" s="52"/>
      <c r="J123" s="52"/>
      <c r="K123" s="40"/>
      <c r="L123" s="25"/>
      <c r="M123" s="25"/>
      <c r="N123" s="25"/>
      <c r="O123" s="25"/>
      <c r="P123" s="25"/>
      <c r="Q123" s="25"/>
    </row>
    <row r="124" spans="1:17" customFormat="1" x14ac:dyDescent="0.35">
      <c r="A124" s="33"/>
      <c r="B124" s="17"/>
      <c r="C124" s="17"/>
      <c r="D124" s="17"/>
      <c r="E124" s="78"/>
      <c r="F124" s="17"/>
      <c r="G124" s="17"/>
      <c r="H124" s="52"/>
      <c r="I124" s="52"/>
      <c r="J124" s="52"/>
      <c r="K124" s="40"/>
      <c r="L124" s="25"/>
      <c r="M124" s="25"/>
      <c r="N124" s="25"/>
      <c r="O124" s="25"/>
      <c r="P124" s="25"/>
      <c r="Q124" s="25"/>
    </row>
    <row r="125" spans="1:17" customFormat="1" x14ac:dyDescent="0.35">
      <c r="A125" s="24"/>
      <c r="B125" s="17"/>
      <c r="C125" s="17"/>
      <c r="D125" s="17"/>
      <c r="E125" s="78"/>
      <c r="F125" s="17"/>
      <c r="G125" s="18"/>
      <c r="H125" s="52"/>
      <c r="I125" s="52"/>
      <c r="J125" s="52"/>
      <c r="K125" s="40"/>
      <c r="L125" s="25"/>
      <c r="M125" s="25"/>
      <c r="N125" s="25"/>
      <c r="O125" s="25"/>
      <c r="P125" s="25"/>
      <c r="Q125" s="25"/>
    </row>
    <row r="126" spans="1:17" customFormat="1" x14ac:dyDescent="0.35">
      <c r="A126" s="24"/>
      <c r="B126" s="17"/>
      <c r="C126" s="17"/>
      <c r="D126" s="17"/>
      <c r="E126" s="78"/>
      <c r="F126" s="17"/>
      <c r="G126" s="18"/>
      <c r="H126" s="52"/>
      <c r="I126" s="52"/>
      <c r="J126" s="52"/>
      <c r="K126" s="40"/>
      <c r="L126" s="25"/>
      <c r="M126" s="25"/>
      <c r="N126" s="25"/>
      <c r="O126" s="25"/>
      <c r="P126" s="25"/>
      <c r="Q126" s="25"/>
    </row>
    <row r="127" spans="1:17" customFormat="1" x14ac:dyDescent="0.35">
      <c r="A127" s="24"/>
      <c r="B127" s="17"/>
      <c r="C127" s="17"/>
      <c r="D127" s="17"/>
      <c r="E127" s="78"/>
      <c r="F127" s="17"/>
      <c r="G127" s="18"/>
      <c r="H127" s="52"/>
      <c r="I127" s="52"/>
      <c r="J127" s="52"/>
      <c r="K127" s="40"/>
      <c r="L127" s="25"/>
      <c r="M127" s="25"/>
      <c r="N127" s="25"/>
      <c r="O127" s="25"/>
      <c r="P127" s="25"/>
      <c r="Q127" s="25"/>
    </row>
    <row r="128" spans="1:17" customFormat="1" x14ac:dyDescent="0.35">
      <c r="A128" s="24"/>
      <c r="B128" s="17"/>
      <c r="C128" s="17"/>
      <c r="D128" s="17"/>
      <c r="E128" s="78"/>
      <c r="F128" s="17"/>
      <c r="G128" s="18"/>
      <c r="H128" s="52"/>
      <c r="I128" s="52"/>
      <c r="J128" s="52"/>
      <c r="K128" s="40"/>
      <c r="L128" s="25"/>
      <c r="M128" s="25"/>
      <c r="N128" s="25"/>
      <c r="O128" s="25"/>
      <c r="P128" s="25"/>
      <c r="Q128" s="25"/>
    </row>
    <row r="129" spans="1:17" customFormat="1" x14ac:dyDescent="0.35">
      <c r="A129" s="24"/>
      <c r="B129" s="17"/>
      <c r="C129" s="17"/>
      <c r="D129" s="17"/>
      <c r="E129" s="78"/>
      <c r="F129" s="17"/>
      <c r="G129" s="18"/>
      <c r="H129" s="52"/>
      <c r="I129" s="52"/>
      <c r="J129" s="52"/>
      <c r="K129" s="40"/>
      <c r="L129" s="25"/>
      <c r="M129" s="25"/>
      <c r="N129" s="25"/>
      <c r="O129" s="25"/>
      <c r="P129" s="25"/>
      <c r="Q129" s="25"/>
    </row>
    <row r="130" spans="1:17" customFormat="1" x14ac:dyDescent="0.35">
      <c r="A130" s="24"/>
      <c r="B130" s="17"/>
      <c r="C130" s="17"/>
      <c r="D130" s="17"/>
      <c r="E130" s="78"/>
      <c r="F130" s="17"/>
      <c r="G130" s="18"/>
      <c r="H130" s="52"/>
      <c r="I130" s="52"/>
      <c r="J130" s="52"/>
      <c r="K130" s="40"/>
      <c r="L130" s="25"/>
      <c r="M130" s="25"/>
      <c r="N130" s="25"/>
      <c r="O130" s="25"/>
      <c r="P130" s="25"/>
      <c r="Q130" s="25"/>
    </row>
    <row r="131" spans="1:17" customFormat="1" x14ac:dyDescent="0.35">
      <c r="A131" s="24"/>
      <c r="B131" s="17"/>
      <c r="C131" s="17"/>
      <c r="D131" s="17"/>
      <c r="E131" s="78"/>
      <c r="F131" s="17"/>
      <c r="G131" s="18"/>
      <c r="H131" s="52"/>
      <c r="I131" s="52"/>
      <c r="J131" s="52"/>
      <c r="K131" s="40"/>
      <c r="L131" s="25"/>
      <c r="M131" s="25"/>
      <c r="N131" s="25"/>
      <c r="O131" s="25"/>
      <c r="P131" s="25"/>
      <c r="Q131" s="25"/>
    </row>
    <row r="132" spans="1:17" customFormat="1" x14ac:dyDescent="0.35">
      <c r="A132" s="24"/>
      <c r="B132" s="17"/>
      <c r="C132" s="17"/>
      <c r="D132" s="17"/>
      <c r="E132" s="78"/>
      <c r="F132" s="17"/>
      <c r="G132" s="18"/>
      <c r="H132" s="52"/>
      <c r="I132" s="52"/>
      <c r="J132" s="52"/>
      <c r="K132" s="40"/>
      <c r="L132" s="25"/>
      <c r="M132" s="25"/>
      <c r="N132" s="25"/>
      <c r="O132" s="25"/>
      <c r="P132" s="25"/>
      <c r="Q132" s="25"/>
    </row>
    <row r="133" spans="1:17" customFormat="1" x14ac:dyDescent="0.35">
      <c r="A133" s="24"/>
      <c r="B133" s="17"/>
      <c r="C133" s="17"/>
      <c r="D133" s="17"/>
      <c r="E133" s="78"/>
      <c r="F133" s="17"/>
      <c r="G133" s="18"/>
      <c r="H133" s="52"/>
      <c r="I133" s="52"/>
      <c r="J133" s="52"/>
      <c r="K133" s="40"/>
      <c r="L133" s="25"/>
      <c r="M133" s="25"/>
      <c r="N133" s="25"/>
      <c r="O133" s="25"/>
      <c r="P133" s="25"/>
      <c r="Q133" s="25"/>
    </row>
    <row r="134" spans="1:17" customFormat="1" x14ac:dyDescent="0.35">
      <c r="A134" s="24"/>
      <c r="B134" s="17"/>
      <c r="C134" s="17"/>
      <c r="D134" s="17"/>
      <c r="E134" s="78"/>
      <c r="F134" s="17"/>
      <c r="G134" s="18"/>
      <c r="H134" s="52"/>
      <c r="I134" s="52"/>
      <c r="J134" s="52"/>
      <c r="K134" s="40"/>
      <c r="L134" s="25"/>
      <c r="M134" s="25"/>
      <c r="N134" s="25"/>
      <c r="O134" s="25"/>
      <c r="P134" s="25"/>
      <c r="Q134" s="25"/>
    </row>
    <row r="135" spans="1:17" customFormat="1" x14ac:dyDescent="0.35">
      <c r="A135" s="24"/>
      <c r="B135" s="17"/>
      <c r="C135" s="17"/>
      <c r="D135" s="17"/>
      <c r="E135" s="78"/>
      <c r="F135" s="17"/>
      <c r="G135" s="18"/>
      <c r="H135" s="52"/>
      <c r="I135" s="52"/>
      <c r="J135" s="52"/>
      <c r="K135" s="40"/>
      <c r="L135" s="25"/>
      <c r="M135" s="25"/>
      <c r="N135" s="25"/>
      <c r="O135" s="25"/>
      <c r="P135" s="25"/>
      <c r="Q135" s="25"/>
    </row>
    <row r="136" spans="1:17" customFormat="1" x14ac:dyDescent="0.35">
      <c r="A136" s="24"/>
      <c r="B136" s="17"/>
      <c r="C136" s="17"/>
      <c r="D136" s="17"/>
      <c r="E136" s="78"/>
      <c r="F136" s="17"/>
      <c r="G136" s="18"/>
      <c r="H136" s="52"/>
      <c r="I136" s="52"/>
      <c r="J136" s="52"/>
      <c r="K136" s="40"/>
      <c r="L136" s="25"/>
      <c r="M136" s="25"/>
      <c r="N136" s="25"/>
      <c r="O136" s="25"/>
      <c r="P136" s="25"/>
      <c r="Q136" s="25"/>
    </row>
    <row r="137" spans="1:17" x14ac:dyDescent="0.35">
      <c r="A137" s="24"/>
      <c r="B137" s="17"/>
      <c r="C137" s="17"/>
      <c r="D137" s="17"/>
      <c r="E137" s="78"/>
      <c r="F137" s="17"/>
      <c r="G137" s="18"/>
      <c r="H137" s="52"/>
      <c r="I137" s="52"/>
      <c r="J137" s="52"/>
      <c r="K137" s="40"/>
      <c r="L137" s="25"/>
      <c r="M137" s="25"/>
      <c r="N137" s="25"/>
      <c r="O137" s="25"/>
      <c r="P137" s="25"/>
      <c r="Q137" s="25"/>
    </row>
    <row r="138" spans="1:17" x14ac:dyDescent="0.35">
      <c r="A138" s="24"/>
      <c r="B138" s="17"/>
      <c r="C138" s="17"/>
      <c r="D138" s="17"/>
      <c r="E138" s="78"/>
      <c r="F138" s="17"/>
      <c r="G138" s="18"/>
      <c r="H138" s="52"/>
      <c r="I138" s="52"/>
      <c r="J138" s="52"/>
      <c r="K138" s="40"/>
      <c r="L138" s="25"/>
      <c r="M138" s="25"/>
      <c r="N138" s="25"/>
      <c r="O138" s="25"/>
      <c r="P138" s="25"/>
      <c r="Q138" s="25"/>
    </row>
    <row r="139" spans="1:17" x14ac:dyDescent="0.35">
      <c r="A139" s="24"/>
      <c r="B139" s="17"/>
      <c r="C139" s="17"/>
      <c r="D139" s="17"/>
      <c r="E139" s="78"/>
      <c r="F139" s="17"/>
      <c r="G139" s="18"/>
      <c r="H139" s="52"/>
      <c r="I139" s="52"/>
      <c r="J139" s="52"/>
      <c r="K139" s="40"/>
      <c r="L139" s="25"/>
      <c r="M139" s="25"/>
      <c r="N139" s="25"/>
      <c r="O139" s="25"/>
      <c r="P139" s="25"/>
      <c r="Q139" s="25"/>
    </row>
    <row r="140" spans="1:17" x14ac:dyDescent="0.35">
      <c r="A140" s="24"/>
      <c r="B140" s="17"/>
      <c r="C140" s="17"/>
      <c r="D140" s="17"/>
      <c r="E140" s="78"/>
      <c r="F140" s="17"/>
      <c r="G140" s="18"/>
      <c r="H140" s="52"/>
      <c r="I140" s="52"/>
      <c r="J140" s="52"/>
      <c r="K140" s="40"/>
      <c r="L140" s="25"/>
      <c r="M140" s="25"/>
      <c r="N140" s="25"/>
      <c r="O140" s="25"/>
      <c r="P140" s="25"/>
      <c r="Q140" s="25"/>
    </row>
    <row r="141" spans="1:17" x14ac:dyDescent="0.35">
      <c r="A141" s="24"/>
      <c r="B141" s="17"/>
      <c r="C141" s="17"/>
      <c r="D141" s="17"/>
      <c r="E141" s="78"/>
      <c r="F141" s="17"/>
      <c r="G141" s="18"/>
      <c r="H141" s="52"/>
      <c r="I141" s="52"/>
      <c r="J141" s="52"/>
      <c r="K141" s="40"/>
      <c r="L141" s="25"/>
      <c r="M141" s="25"/>
      <c r="N141" s="25"/>
      <c r="O141" s="25"/>
      <c r="P141" s="25"/>
      <c r="Q141" s="25"/>
    </row>
    <row r="142" spans="1:17" x14ac:dyDescent="0.35">
      <c r="B142"/>
      <c r="C142"/>
      <c r="D142"/>
      <c r="F142"/>
      <c r="G142"/>
      <c r="H142"/>
      <c r="I142"/>
      <c r="J142"/>
      <c r="K142" s="12"/>
      <c r="L142"/>
      <c r="M142"/>
      <c r="N142"/>
      <c r="O142"/>
      <c r="P142"/>
      <c r="Q142"/>
    </row>
    <row r="144" spans="1:17" x14ac:dyDescent="0.35">
      <c r="B144"/>
      <c r="C144"/>
      <c r="D144"/>
      <c r="E144" s="79"/>
      <c r="F144"/>
      <c r="G144"/>
      <c r="H144"/>
      <c r="I144"/>
      <c r="J144"/>
      <c r="K144" s="12"/>
      <c r="L144"/>
      <c r="M144"/>
      <c r="N144"/>
      <c r="O144"/>
      <c r="P144"/>
      <c r="Q144"/>
    </row>
    <row r="145" spans="11:11" customFormat="1" x14ac:dyDescent="0.35"/>
    <row r="146" spans="11:11" customFormat="1" x14ac:dyDescent="0.35">
      <c r="K146" s="12"/>
    </row>
    <row r="147" spans="11:11" customFormat="1" x14ac:dyDescent="0.35"/>
    <row r="148" spans="11:11" customFormat="1" x14ac:dyDescent="0.35"/>
    <row r="149" spans="11:11" customFormat="1" x14ac:dyDescent="0.35"/>
    <row r="150" spans="11:11" customFormat="1" x14ac:dyDescent="0.35"/>
    <row r="151" spans="11:11" customFormat="1" x14ac:dyDescent="0.35"/>
    <row r="152" spans="11:11" customFormat="1" x14ac:dyDescent="0.35"/>
    <row r="153" spans="11:11" customFormat="1" x14ac:dyDescent="0.35"/>
    <row r="154" spans="11:11" customFormat="1" x14ac:dyDescent="0.35"/>
    <row r="155" spans="11:11" customFormat="1" x14ac:dyDescent="0.35"/>
    <row r="156" spans="11:11" customFormat="1" x14ac:dyDescent="0.35"/>
    <row r="157" spans="11:11" customFormat="1" x14ac:dyDescent="0.35"/>
    <row r="158" spans="11:11" customFormat="1" x14ac:dyDescent="0.35"/>
    <row r="159" spans="11:11" customFormat="1" x14ac:dyDescent="0.35"/>
    <row r="160" spans="11:11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</sheetData>
  <pageMargins left="0.70866141732283472" right="0.70866141732283472" top="0.74803149606299213" bottom="0.74803149606299213" header="0.31496062992125984" footer="0.31496062992125984"/>
  <pageSetup paperSize="9" scale="42" fitToHeight="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90"/>
  <sheetViews>
    <sheetView workbookViewId="0">
      <selection activeCell="A4" sqref="A4:C13"/>
    </sheetView>
  </sheetViews>
  <sheetFormatPr defaultRowHeight="14.5" x14ac:dyDescent="0.35"/>
  <cols>
    <col min="1" max="1" width="47.7265625" customWidth="1"/>
    <col min="2" max="2" width="11.26953125" style="126" customWidth="1"/>
    <col min="3" max="3" width="16.26953125" style="179" customWidth="1"/>
    <col min="4" max="4" width="8.7265625" style="226"/>
  </cols>
  <sheetData>
    <row r="1" spans="1:4" x14ac:dyDescent="0.35">
      <c r="A1" s="178" t="s">
        <v>56</v>
      </c>
      <c r="D1"/>
    </row>
    <row r="2" spans="1:4" x14ac:dyDescent="0.35">
      <c r="A2" s="178" t="s">
        <v>176</v>
      </c>
      <c r="D2"/>
    </row>
    <row r="3" spans="1:4" x14ac:dyDescent="0.35">
      <c r="A3" s="178" t="s">
        <v>57</v>
      </c>
      <c r="B3" s="205" t="s">
        <v>58</v>
      </c>
      <c r="C3" s="180" t="s">
        <v>59</v>
      </c>
      <c r="D3" s="178" t="s">
        <v>57</v>
      </c>
    </row>
    <row r="4" spans="1:4" x14ac:dyDescent="0.35">
      <c r="A4" s="178" t="s">
        <v>177</v>
      </c>
      <c r="B4" s="126">
        <v>2096.73</v>
      </c>
      <c r="C4" s="179">
        <v>507783.65</v>
      </c>
      <c r="D4"/>
    </row>
    <row r="5" spans="1:4" x14ac:dyDescent="0.35">
      <c r="A5" s="178" t="s">
        <v>178</v>
      </c>
      <c r="B5" s="126">
        <v>1132.23</v>
      </c>
      <c r="C5" s="179">
        <v>300040.95</v>
      </c>
      <c r="D5"/>
    </row>
    <row r="6" spans="1:4" x14ac:dyDescent="0.35">
      <c r="A6" s="178" t="s">
        <v>179</v>
      </c>
      <c r="B6" s="126">
        <v>1078.98</v>
      </c>
      <c r="C6" s="179">
        <v>308631.8</v>
      </c>
      <c r="D6"/>
    </row>
    <row r="7" spans="1:4" x14ac:dyDescent="0.35">
      <c r="A7" s="178" t="s">
        <v>180</v>
      </c>
      <c r="B7" s="126">
        <v>967.14</v>
      </c>
      <c r="C7" s="179">
        <v>336584.75</v>
      </c>
      <c r="D7"/>
    </row>
    <row r="8" spans="1:4" x14ac:dyDescent="0.35">
      <c r="A8" s="178" t="s">
        <v>181</v>
      </c>
      <c r="B8" s="126">
        <v>816.29</v>
      </c>
      <c r="C8" s="179">
        <v>207347.1</v>
      </c>
      <c r="D8"/>
    </row>
    <row r="9" spans="1:4" x14ac:dyDescent="0.35">
      <c r="A9" s="178" t="s">
        <v>182</v>
      </c>
      <c r="B9" s="126">
        <v>787.87</v>
      </c>
      <c r="C9" s="179">
        <v>183644.35</v>
      </c>
      <c r="D9"/>
    </row>
    <row r="10" spans="1:4" x14ac:dyDescent="0.35">
      <c r="A10" s="178" t="s">
        <v>183</v>
      </c>
      <c r="B10" s="126">
        <v>683.91</v>
      </c>
      <c r="C10" s="179">
        <v>174273.1</v>
      </c>
      <c r="D10"/>
    </row>
    <row r="11" spans="1:4" x14ac:dyDescent="0.35">
      <c r="A11" s="178" t="s">
        <v>184</v>
      </c>
      <c r="B11" s="126">
        <v>629.04</v>
      </c>
      <c r="C11" s="179">
        <v>190119.2</v>
      </c>
      <c r="D11"/>
    </row>
    <row r="12" spans="1:4" x14ac:dyDescent="0.35">
      <c r="A12" s="178" t="s">
        <v>185</v>
      </c>
      <c r="B12" s="126">
        <v>574.4</v>
      </c>
      <c r="C12" s="179">
        <v>211188.95</v>
      </c>
      <c r="D12"/>
    </row>
    <row r="13" spans="1:4" x14ac:dyDescent="0.35">
      <c r="A13" s="178" t="s">
        <v>186</v>
      </c>
      <c r="B13" s="126">
        <v>510.48</v>
      </c>
      <c r="C13" s="179">
        <v>211266.6</v>
      </c>
      <c r="D13"/>
    </row>
    <row r="14" spans="1:4" x14ac:dyDescent="0.35">
      <c r="A14" s="178" t="s">
        <v>187</v>
      </c>
      <c r="B14" s="126">
        <v>484.73</v>
      </c>
      <c r="C14" s="179">
        <v>201230.75</v>
      </c>
      <c r="D14"/>
    </row>
    <row r="15" spans="1:4" x14ac:dyDescent="0.35">
      <c r="A15" s="178" t="s">
        <v>188</v>
      </c>
      <c r="B15" s="126">
        <v>471.95</v>
      </c>
      <c r="C15" s="179">
        <v>164286.35</v>
      </c>
      <c r="D15"/>
    </row>
    <row r="16" spans="1:4" x14ac:dyDescent="0.35">
      <c r="A16" s="178" t="s">
        <v>189</v>
      </c>
      <c r="B16" s="126">
        <v>447.41</v>
      </c>
      <c r="C16" s="179">
        <v>102472.2</v>
      </c>
      <c r="D16"/>
    </row>
    <row r="17" spans="1:3" x14ac:dyDescent="0.35">
      <c r="A17" s="178" t="s">
        <v>190</v>
      </c>
      <c r="B17" s="126">
        <v>380.7</v>
      </c>
      <c r="C17" s="179">
        <v>164561.75</v>
      </c>
    </row>
    <row r="18" spans="1:3" x14ac:dyDescent="0.35">
      <c r="A18" s="178" t="s">
        <v>191</v>
      </c>
      <c r="B18" s="126">
        <v>347.75</v>
      </c>
      <c r="C18" s="179">
        <v>109541.25</v>
      </c>
    </row>
    <row r="19" spans="1:3" x14ac:dyDescent="0.35">
      <c r="A19" s="178" t="s">
        <v>192</v>
      </c>
      <c r="B19" s="126">
        <v>329.92</v>
      </c>
      <c r="C19" s="179">
        <v>112344.1</v>
      </c>
    </row>
    <row r="20" spans="1:3" x14ac:dyDescent="0.35">
      <c r="A20" s="178" t="s">
        <v>193</v>
      </c>
      <c r="B20" s="126">
        <v>327.26</v>
      </c>
      <c r="C20" s="179">
        <v>137214.1</v>
      </c>
    </row>
    <row r="21" spans="1:3" x14ac:dyDescent="0.35">
      <c r="A21" s="178" t="s">
        <v>194</v>
      </c>
      <c r="B21" s="126">
        <v>304.7</v>
      </c>
      <c r="C21" s="179">
        <v>60635.3</v>
      </c>
    </row>
    <row r="22" spans="1:3" x14ac:dyDescent="0.35">
      <c r="A22" s="178" t="s">
        <v>195</v>
      </c>
      <c r="B22" s="126">
        <v>293.83</v>
      </c>
      <c r="C22" s="179">
        <v>64414.3</v>
      </c>
    </row>
    <row r="23" spans="1:3" x14ac:dyDescent="0.35">
      <c r="A23" s="178" t="s">
        <v>196</v>
      </c>
      <c r="B23" s="126">
        <v>288.39999999999998</v>
      </c>
      <c r="C23" s="179">
        <v>79996.2</v>
      </c>
    </row>
    <row r="24" spans="1:3" x14ac:dyDescent="0.35">
      <c r="A24" s="178" t="s">
        <v>197</v>
      </c>
      <c r="B24" s="126">
        <v>280.55</v>
      </c>
      <c r="C24" s="179">
        <v>112951.65</v>
      </c>
    </row>
    <row r="25" spans="1:3" x14ac:dyDescent="0.35">
      <c r="A25" s="178" t="s">
        <v>198</v>
      </c>
      <c r="B25" s="126">
        <v>275.76</v>
      </c>
      <c r="C25" s="179">
        <v>99178.6</v>
      </c>
    </row>
    <row r="26" spans="1:3" x14ac:dyDescent="0.35">
      <c r="A26" s="178" t="s">
        <v>199</v>
      </c>
      <c r="B26" s="126">
        <v>274.38</v>
      </c>
      <c r="C26" s="179">
        <v>78909.399999999994</v>
      </c>
    </row>
    <row r="27" spans="1:3" x14ac:dyDescent="0.35">
      <c r="A27" s="178" t="s">
        <v>200</v>
      </c>
      <c r="B27" s="126">
        <v>264.77</v>
      </c>
      <c r="C27" s="179">
        <v>96132.95</v>
      </c>
    </row>
    <row r="28" spans="1:3" x14ac:dyDescent="0.35">
      <c r="A28" s="178" t="s">
        <v>201</v>
      </c>
      <c r="B28" s="126">
        <v>255.11</v>
      </c>
      <c r="C28" s="179">
        <v>94666.8</v>
      </c>
    </row>
    <row r="29" spans="1:3" x14ac:dyDescent="0.35">
      <c r="A29" s="178" t="s">
        <v>202</v>
      </c>
      <c r="B29" s="126">
        <v>252.8</v>
      </c>
      <c r="C29" s="179">
        <v>96440.7</v>
      </c>
    </row>
    <row r="30" spans="1:3" x14ac:dyDescent="0.35">
      <c r="A30" s="178" t="s">
        <v>203</v>
      </c>
      <c r="B30" s="126">
        <v>245.31</v>
      </c>
      <c r="C30" s="179">
        <v>89644.4</v>
      </c>
    </row>
    <row r="31" spans="1:3" x14ac:dyDescent="0.35">
      <c r="A31" s="178" t="s">
        <v>204</v>
      </c>
      <c r="B31" s="126">
        <v>197.69</v>
      </c>
      <c r="C31" s="179">
        <v>71556.899999999994</v>
      </c>
    </row>
    <row r="32" spans="1:3" x14ac:dyDescent="0.35">
      <c r="A32" s="178" t="s">
        <v>205</v>
      </c>
      <c r="B32" s="126">
        <v>180.93</v>
      </c>
      <c r="C32" s="179">
        <v>73803.8</v>
      </c>
    </row>
    <row r="33" spans="1:3" x14ac:dyDescent="0.35">
      <c r="A33" s="178" t="s">
        <v>206</v>
      </c>
      <c r="B33" s="126">
        <v>178.13</v>
      </c>
      <c r="C33" s="179">
        <v>67901.100000000006</v>
      </c>
    </row>
    <row r="34" spans="1:3" x14ac:dyDescent="0.35">
      <c r="A34" s="178" t="s">
        <v>207</v>
      </c>
      <c r="B34" s="126">
        <v>174.45</v>
      </c>
      <c r="C34" s="179">
        <v>67277.7</v>
      </c>
    </row>
    <row r="35" spans="1:3" x14ac:dyDescent="0.35">
      <c r="A35" s="178" t="s">
        <v>208</v>
      </c>
      <c r="B35" s="126">
        <v>174.29</v>
      </c>
      <c r="C35" s="179">
        <v>57676.85</v>
      </c>
    </row>
    <row r="36" spans="1:3" x14ac:dyDescent="0.35">
      <c r="A36" s="178" t="s">
        <v>209</v>
      </c>
      <c r="B36" s="126">
        <v>173.06</v>
      </c>
      <c r="C36" s="179">
        <v>56576.75</v>
      </c>
    </row>
    <row r="37" spans="1:3" x14ac:dyDescent="0.35">
      <c r="A37" s="178" t="s">
        <v>210</v>
      </c>
      <c r="B37" s="126">
        <v>168.04</v>
      </c>
      <c r="C37" s="179">
        <v>158957.44</v>
      </c>
    </row>
    <row r="38" spans="1:3" x14ac:dyDescent="0.35">
      <c r="A38" s="178" t="s">
        <v>211</v>
      </c>
      <c r="B38" s="126">
        <v>166.59</v>
      </c>
      <c r="C38" s="179">
        <v>44488.5</v>
      </c>
    </row>
    <row r="39" spans="1:3" x14ac:dyDescent="0.35">
      <c r="A39" s="178" t="s">
        <v>212</v>
      </c>
      <c r="B39" s="126">
        <v>159.65</v>
      </c>
      <c r="C39" s="179">
        <v>64759.05</v>
      </c>
    </row>
    <row r="40" spans="1:3" x14ac:dyDescent="0.35">
      <c r="A40" s="178" t="s">
        <v>213</v>
      </c>
      <c r="B40" s="126">
        <v>155.52000000000001</v>
      </c>
      <c r="C40" s="179">
        <v>68436.800000000003</v>
      </c>
    </row>
    <row r="41" spans="1:3" x14ac:dyDescent="0.35">
      <c r="A41" s="178" t="s">
        <v>214</v>
      </c>
      <c r="B41" s="126">
        <v>151.52000000000001</v>
      </c>
      <c r="C41" s="179">
        <v>43727.4</v>
      </c>
    </row>
    <row r="42" spans="1:3" x14ac:dyDescent="0.35">
      <c r="A42" s="178" t="s">
        <v>215</v>
      </c>
      <c r="B42" s="126">
        <v>144.56</v>
      </c>
      <c r="C42" s="179">
        <v>57113.8</v>
      </c>
    </row>
    <row r="43" spans="1:3" x14ac:dyDescent="0.35">
      <c r="A43" s="178" t="s">
        <v>216</v>
      </c>
      <c r="B43" s="126">
        <v>142.09</v>
      </c>
      <c r="C43" s="179">
        <v>34254.6</v>
      </c>
    </row>
    <row r="44" spans="1:3" x14ac:dyDescent="0.35">
      <c r="A44" s="178" t="s">
        <v>217</v>
      </c>
      <c r="B44" s="126">
        <v>135.49</v>
      </c>
      <c r="C44" s="179">
        <v>52206.95</v>
      </c>
    </row>
    <row r="45" spans="1:3" x14ac:dyDescent="0.35">
      <c r="A45" s="178" t="s">
        <v>218</v>
      </c>
      <c r="B45" s="126">
        <v>131.24</v>
      </c>
      <c r="C45" s="179">
        <v>137375.79999999999</v>
      </c>
    </row>
    <row r="46" spans="1:3" x14ac:dyDescent="0.35">
      <c r="A46" s="178" t="s">
        <v>219</v>
      </c>
      <c r="B46" s="126">
        <v>129.30000000000001</v>
      </c>
      <c r="C46" s="179">
        <v>35206.199999999997</v>
      </c>
    </row>
    <row r="47" spans="1:3" x14ac:dyDescent="0.35">
      <c r="A47" s="178" t="s">
        <v>220</v>
      </c>
      <c r="B47" s="126">
        <v>127.32</v>
      </c>
      <c r="C47" s="179">
        <v>33567.199999999997</v>
      </c>
    </row>
    <row r="48" spans="1:3" x14ac:dyDescent="0.35">
      <c r="A48" s="178" t="s">
        <v>221</v>
      </c>
      <c r="B48" s="126">
        <v>126.59</v>
      </c>
      <c r="C48" s="179">
        <v>49081.9</v>
      </c>
    </row>
    <row r="49" spans="1:3" x14ac:dyDescent="0.35">
      <c r="A49" s="178" t="s">
        <v>222</v>
      </c>
      <c r="B49" s="126">
        <v>121.54</v>
      </c>
      <c r="C49" s="179">
        <v>40094.300000000003</v>
      </c>
    </row>
    <row r="50" spans="1:3" x14ac:dyDescent="0.35">
      <c r="A50" s="178" t="s">
        <v>223</v>
      </c>
      <c r="B50" s="126">
        <v>119</v>
      </c>
      <c r="C50" s="179">
        <v>43994.65</v>
      </c>
    </row>
    <row r="51" spans="1:3" x14ac:dyDescent="0.35">
      <c r="A51" s="178" t="s">
        <v>224</v>
      </c>
      <c r="B51" s="126">
        <v>114.06</v>
      </c>
      <c r="C51" s="179">
        <v>38780.400000000001</v>
      </c>
    </row>
    <row r="52" spans="1:3" x14ac:dyDescent="0.35">
      <c r="A52" s="178" t="s">
        <v>225</v>
      </c>
      <c r="B52" s="126">
        <v>112.35</v>
      </c>
      <c r="C52" s="179">
        <v>37696.15</v>
      </c>
    </row>
    <row r="53" spans="1:3" x14ac:dyDescent="0.35">
      <c r="A53" s="178" t="s">
        <v>226</v>
      </c>
      <c r="B53" s="126">
        <v>108.17</v>
      </c>
      <c r="C53" s="179">
        <v>31383.25</v>
      </c>
    </row>
    <row r="54" spans="1:3" x14ac:dyDescent="0.35">
      <c r="A54" s="178" t="s">
        <v>227</v>
      </c>
      <c r="B54" s="126">
        <v>103.31</v>
      </c>
      <c r="C54" s="179">
        <v>29778.35</v>
      </c>
    </row>
    <row r="55" spans="1:3" x14ac:dyDescent="0.35">
      <c r="A55" s="178" t="s">
        <v>228</v>
      </c>
      <c r="B55" s="126">
        <v>101.93</v>
      </c>
      <c r="C55" s="179">
        <v>43829.9</v>
      </c>
    </row>
    <row r="56" spans="1:3" x14ac:dyDescent="0.35">
      <c r="A56" s="178" t="s">
        <v>229</v>
      </c>
      <c r="B56" s="126">
        <v>101.27</v>
      </c>
      <c r="C56" s="179">
        <v>37469.9</v>
      </c>
    </row>
    <row r="57" spans="1:3" x14ac:dyDescent="0.35">
      <c r="A57" s="178" t="s">
        <v>230</v>
      </c>
      <c r="B57" s="126">
        <v>100.23</v>
      </c>
      <c r="C57" s="179">
        <v>39792.75</v>
      </c>
    </row>
    <row r="58" spans="1:3" x14ac:dyDescent="0.35">
      <c r="A58" s="178" t="s">
        <v>231</v>
      </c>
      <c r="B58" s="126">
        <v>98.64</v>
      </c>
      <c r="C58" s="179">
        <v>40280.5</v>
      </c>
    </row>
    <row r="59" spans="1:3" x14ac:dyDescent="0.35">
      <c r="A59" s="178" t="s">
        <v>232</v>
      </c>
      <c r="B59" s="126">
        <v>98.09</v>
      </c>
      <c r="C59" s="179">
        <v>27428.2</v>
      </c>
    </row>
    <row r="60" spans="1:3" x14ac:dyDescent="0.35">
      <c r="A60" s="178" t="s">
        <v>233</v>
      </c>
      <c r="B60" s="126">
        <v>95.96</v>
      </c>
      <c r="C60" s="179">
        <v>33176.15</v>
      </c>
    </row>
    <row r="61" spans="1:3" x14ac:dyDescent="0.35">
      <c r="A61" s="178" t="s">
        <v>234</v>
      </c>
      <c r="B61" s="126">
        <v>94.52</v>
      </c>
      <c r="C61" s="179">
        <v>40643.599999999999</v>
      </c>
    </row>
    <row r="62" spans="1:3" x14ac:dyDescent="0.35">
      <c r="A62" s="178" t="s">
        <v>235</v>
      </c>
      <c r="B62" s="126">
        <v>93.3</v>
      </c>
      <c r="C62" s="179">
        <v>29145.5</v>
      </c>
    </row>
    <row r="63" spans="1:3" x14ac:dyDescent="0.35">
      <c r="A63" s="178" t="s">
        <v>236</v>
      </c>
      <c r="B63" s="126">
        <v>91.11</v>
      </c>
      <c r="C63" s="179">
        <v>34558.050000000003</v>
      </c>
    </row>
    <row r="64" spans="1:3" x14ac:dyDescent="0.35">
      <c r="A64" s="178" t="s">
        <v>237</v>
      </c>
      <c r="B64" s="126">
        <v>90.3</v>
      </c>
      <c r="C64" s="179">
        <v>37258.1</v>
      </c>
    </row>
    <row r="65" spans="1:3" x14ac:dyDescent="0.35">
      <c r="A65" s="178" t="s">
        <v>238</v>
      </c>
      <c r="B65" s="126">
        <v>87.29</v>
      </c>
      <c r="C65" s="179">
        <v>31515.1</v>
      </c>
    </row>
    <row r="66" spans="1:3" x14ac:dyDescent="0.35">
      <c r="A66" s="178" t="s">
        <v>239</v>
      </c>
      <c r="B66" s="126">
        <v>87.12</v>
      </c>
      <c r="C66" s="179">
        <v>31035.8</v>
      </c>
    </row>
    <row r="67" spans="1:3" x14ac:dyDescent="0.35">
      <c r="A67" s="178" t="s">
        <v>240</v>
      </c>
      <c r="B67" s="126">
        <v>86.94</v>
      </c>
      <c r="C67" s="179">
        <v>36645.599999999999</v>
      </c>
    </row>
    <row r="68" spans="1:3" x14ac:dyDescent="0.35">
      <c r="A68" s="178" t="s">
        <v>241</v>
      </c>
      <c r="B68" s="126">
        <v>86.26</v>
      </c>
      <c r="C68" s="179">
        <v>30413.18</v>
      </c>
    </row>
    <row r="69" spans="1:3" x14ac:dyDescent="0.35">
      <c r="A69" s="178" t="s">
        <v>242</v>
      </c>
      <c r="B69" s="126">
        <v>84.71</v>
      </c>
      <c r="C69" s="179">
        <v>21177.5</v>
      </c>
    </row>
    <row r="70" spans="1:3" x14ac:dyDescent="0.35">
      <c r="A70" s="178" t="s">
        <v>243</v>
      </c>
      <c r="B70" s="126">
        <v>82.21</v>
      </c>
      <c r="C70" s="179">
        <v>33032.15</v>
      </c>
    </row>
    <row r="71" spans="1:3" x14ac:dyDescent="0.35">
      <c r="A71" s="178" t="s">
        <v>244</v>
      </c>
      <c r="B71" s="126">
        <v>81.849999999999994</v>
      </c>
      <c r="C71" s="179">
        <v>29832.2</v>
      </c>
    </row>
    <row r="72" spans="1:3" x14ac:dyDescent="0.35">
      <c r="A72" s="178" t="s">
        <v>245</v>
      </c>
      <c r="B72" s="126">
        <v>81.77</v>
      </c>
      <c r="C72" s="179">
        <v>26732.9</v>
      </c>
    </row>
    <row r="73" spans="1:3" x14ac:dyDescent="0.35">
      <c r="A73" s="178" t="s">
        <v>246</v>
      </c>
      <c r="B73" s="126">
        <v>81.06</v>
      </c>
      <c r="C73" s="179">
        <v>31208.1</v>
      </c>
    </row>
    <row r="74" spans="1:3" x14ac:dyDescent="0.35">
      <c r="A74" s="178" t="s">
        <v>247</v>
      </c>
      <c r="B74" s="126">
        <v>80.39</v>
      </c>
      <c r="C74" s="179">
        <v>28790.799999999999</v>
      </c>
    </row>
    <row r="75" spans="1:3" x14ac:dyDescent="0.35">
      <c r="A75" s="178" t="s">
        <v>248</v>
      </c>
      <c r="B75" s="126">
        <v>79.53</v>
      </c>
      <c r="C75" s="179">
        <v>31109.65</v>
      </c>
    </row>
    <row r="76" spans="1:3" x14ac:dyDescent="0.35">
      <c r="A76" s="178" t="s">
        <v>249</v>
      </c>
      <c r="B76" s="126">
        <v>78.709999999999994</v>
      </c>
      <c r="C76" s="179">
        <v>24447.4</v>
      </c>
    </row>
    <row r="77" spans="1:3" x14ac:dyDescent="0.35">
      <c r="A77" s="178" t="s">
        <v>250</v>
      </c>
      <c r="B77" s="126">
        <v>77.430000000000007</v>
      </c>
      <c r="C77" s="179">
        <v>27260.9</v>
      </c>
    </row>
    <row r="78" spans="1:3" x14ac:dyDescent="0.35">
      <c r="A78" s="178" t="s">
        <v>251</v>
      </c>
      <c r="B78" s="126">
        <v>76.06</v>
      </c>
      <c r="C78" s="179">
        <v>16469.650000000001</v>
      </c>
    </row>
    <row r="79" spans="1:3" x14ac:dyDescent="0.35">
      <c r="A79" s="178" t="s">
        <v>252</v>
      </c>
      <c r="B79" s="126">
        <v>75.41</v>
      </c>
      <c r="C79" s="179">
        <v>26607.35</v>
      </c>
    </row>
    <row r="80" spans="1:3" x14ac:dyDescent="0.35">
      <c r="A80" s="178" t="s">
        <v>253</v>
      </c>
      <c r="B80" s="126">
        <v>74.17</v>
      </c>
      <c r="C80" s="179">
        <v>27617.05</v>
      </c>
    </row>
    <row r="81" spans="1:3" x14ac:dyDescent="0.35">
      <c r="A81" s="178" t="s">
        <v>254</v>
      </c>
      <c r="B81" s="126">
        <v>73.959999999999994</v>
      </c>
      <c r="C81" s="179">
        <v>30902.7</v>
      </c>
    </row>
    <row r="82" spans="1:3" x14ac:dyDescent="0.35">
      <c r="A82" s="178" t="s">
        <v>255</v>
      </c>
      <c r="B82" s="126">
        <v>73.88</v>
      </c>
      <c r="C82" s="179">
        <v>30660.2</v>
      </c>
    </row>
    <row r="83" spans="1:3" x14ac:dyDescent="0.35">
      <c r="A83" s="178" t="s">
        <v>256</v>
      </c>
      <c r="B83" s="126">
        <v>70.13</v>
      </c>
      <c r="C83" s="179">
        <v>29805.25</v>
      </c>
    </row>
    <row r="84" spans="1:3" x14ac:dyDescent="0.35">
      <c r="A84" s="178" t="s">
        <v>257</v>
      </c>
      <c r="B84" s="126">
        <v>69.86</v>
      </c>
      <c r="C84" s="179">
        <v>25621.13</v>
      </c>
    </row>
    <row r="85" spans="1:3" x14ac:dyDescent="0.35">
      <c r="A85" s="178" t="s">
        <v>258</v>
      </c>
      <c r="B85" s="126">
        <v>68.849999999999994</v>
      </c>
      <c r="C85" s="179">
        <v>24490.01</v>
      </c>
    </row>
    <row r="86" spans="1:3" x14ac:dyDescent="0.35">
      <c r="A86" s="178" t="s">
        <v>259</v>
      </c>
      <c r="B86" s="126">
        <v>68.489999999999995</v>
      </c>
      <c r="C86" s="179">
        <v>20466.849999999999</v>
      </c>
    </row>
    <row r="87" spans="1:3" x14ac:dyDescent="0.35">
      <c r="A87" s="178" t="s">
        <v>260</v>
      </c>
      <c r="B87" s="126">
        <v>68.010000000000005</v>
      </c>
      <c r="C87" s="179">
        <v>22804.35</v>
      </c>
    </row>
    <row r="88" spans="1:3" x14ac:dyDescent="0.35">
      <c r="A88" s="178" t="s">
        <v>261</v>
      </c>
      <c r="B88" s="126">
        <v>67.33</v>
      </c>
      <c r="C88" s="179">
        <v>23826.55</v>
      </c>
    </row>
    <row r="89" spans="1:3" x14ac:dyDescent="0.35">
      <c r="A89" s="178" t="s">
        <v>262</v>
      </c>
      <c r="B89" s="126">
        <v>66.11</v>
      </c>
      <c r="C89" s="179">
        <v>28077.25</v>
      </c>
    </row>
    <row r="90" spans="1:3" x14ac:dyDescent="0.35">
      <c r="A90" s="178" t="s">
        <v>263</v>
      </c>
      <c r="B90" s="126">
        <v>65.23</v>
      </c>
      <c r="C90" s="179">
        <v>22696.799999999999</v>
      </c>
    </row>
    <row r="91" spans="1:3" x14ac:dyDescent="0.35">
      <c r="A91" s="178" t="s">
        <v>264</v>
      </c>
      <c r="B91" s="126">
        <v>64.77</v>
      </c>
      <c r="C91" s="179">
        <v>20813.599999999999</v>
      </c>
    </row>
    <row r="92" spans="1:3" x14ac:dyDescent="0.35">
      <c r="A92" s="178" t="s">
        <v>265</v>
      </c>
      <c r="B92" s="126">
        <v>64.13</v>
      </c>
      <c r="C92" s="179">
        <v>16673.8</v>
      </c>
    </row>
    <row r="93" spans="1:3" x14ac:dyDescent="0.35">
      <c r="A93" s="178" t="s">
        <v>266</v>
      </c>
      <c r="B93" s="126">
        <v>63.59</v>
      </c>
      <c r="C93" s="179">
        <v>22892.400000000001</v>
      </c>
    </row>
    <row r="94" spans="1:3" x14ac:dyDescent="0.35">
      <c r="A94" s="178" t="s">
        <v>267</v>
      </c>
      <c r="B94" s="126">
        <v>63.16</v>
      </c>
      <c r="C94" s="179">
        <v>15790</v>
      </c>
    </row>
    <row r="95" spans="1:3" x14ac:dyDescent="0.35">
      <c r="A95" s="178" t="s">
        <v>268</v>
      </c>
      <c r="B95" s="126">
        <v>63.12</v>
      </c>
      <c r="C95" s="179">
        <v>110943.5</v>
      </c>
    </row>
    <row r="96" spans="1:3" x14ac:dyDescent="0.35">
      <c r="A96" s="178" t="s">
        <v>269</v>
      </c>
      <c r="B96" s="126">
        <v>61.46</v>
      </c>
      <c r="C96" s="179">
        <v>20775</v>
      </c>
    </row>
    <row r="97" spans="1:3" x14ac:dyDescent="0.35">
      <c r="A97" s="178" t="s">
        <v>270</v>
      </c>
      <c r="B97" s="126">
        <v>60.91</v>
      </c>
      <c r="C97" s="179">
        <v>23778.799999999999</v>
      </c>
    </row>
    <row r="98" spans="1:3" x14ac:dyDescent="0.35">
      <c r="A98" s="178" t="s">
        <v>271</v>
      </c>
      <c r="B98" s="126">
        <v>59.23</v>
      </c>
      <c r="C98" s="179">
        <v>26065.15</v>
      </c>
    </row>
    <row r="99" spans="1:3" x14ac:dyDescent="0.35">
      <c r="A99" s="178" t="s">
        <v>272</v>
      </c>
      <c r="B99" s="126">
        <v>59.21</v>
      </c>
      <c r="C99" s="179">
        <v>24868.2</v>
      </c>
    </row>
    <row r="100" spans="1:3" x14ac:dyDescent="0.35">
      <c r="A100" s="178" t="s">
        <v>273</v>
      </c>
      <c r="B100" s="126">
        <v>58.67</v>
      </c>
      <c r="C100" s="179">
        <v>18782.599999999999</v>
      </c>
    </row>
    <row r="101" spans="1:3" x14ac:dyDescent="0.35">
      <c r="A101" s="178" t="s">
        <v>274</v>
      </c>
      <c r="B101" s="126">
        <v>57.96</v>
      </c>
      <c r="C101" s="179">
        <v>25108</v>
      </c>
    </row>
    <row r="102" spans="1:3" x14ac:dyDescent="0.35">
      <c r="A102" s="178" t="s">
        <v>275</v>
      </c>
      <c r="B102" s="126">
        <v>57.92</v>
      </c>
      <c r="C102" s="179">
        <v>17086.400000000001</v>
      </c>
    </row>
    <row r="103" spans="1:3" x14ac:dyDescent="0.35">
      <c r="A103" s="178" t="s">
        <v>276</v>
      </c>
      <c r="B103" s="126">
        <v>57.59</v>
      </c>
      <c r="C103" s="179">
        <v>35870.550000000003</v>
      </c>
    </row>
    <row r="104" spans="1:3" x14ac:dyDescent="0.35">
      <c r="A104" s="178" t="s">
        <v>277</v>
      </c>
      <c r="B104" s="126">
        <v>56.8</v>
      </c>
      <c r="C104" s="179">
        <v>20164</v>
      </c>
    </row>
    <row r="105" spans="1:3" x14ac:dyDescent="0.35">
      <c r="A105" s="178" t="s">
        <v>278</v>
      </c>
      <c r="B105" s="126">
        <v>54.47</v>
      </c>
      <c r="C105" s="179">
        <v>17703.25</v>
      </c>
    </row>
    <row r="106" spans="1:3" x14ac:dyDescent="0.35">
      <c r="A106" s="178" t="s">
        <v>279</v>
      </c>
      <c r="B106" s="126">
        <v>54.45</v>
      </c>
      <c r="C106" s="179">
        <v>21132</v>
      </c>
    </row>
    <row r="107" spans="1:3" x14ac:dyDescent="0.35">
      <c r="A107" s="178" t="s">
        <v>280</v>
      </c>
      <c r="B107" s="126">
        <v>53.97</v>
      </c>
      <c r="C107" s="179">
        <v>18414.45</v>
      </c>
    </row>
    <row r="108" spans="1:3" x14ac:dyDescent="0.35">
      <c r="A108" s="178" t="s">
        <v>281</v>
      </c>
      <c r="B108" s="126">
        <v>53.58</v>
      </c>
      <c r="C108" s="179">
        <v>21814.6</v>
      </c>
    </row>
    <row r="109" spans="1:3" x14ac:dyDescent="0.35">
      <c r="A109" s="178" t="s">
        <v>282</v>
      </c>
      <c r="B109" s="126">
        <v>53.27</v>
      </c>
      <c r="C109" s="179">
        <v>13554</v>
      </c>
    </row>
    <row r="110" spans="1:3" x14ac:dyDescent="0.35">
      <c r="A110" s="178" t="s">
        <v>283</v>
      </c>
      <c r="B110" s="126">
        <v>53.16</v>
      </c>
      <c r="C110" s="179">
        <v>17925.599999999999</v>
      </c>
    </row>
    <row r="111" spans="1:3" x14ac:dyDescent="0.35">
      <c r="A111" s="178" t="s">
        <v>284</v>
      </c>
      <c r="B111" s="126">
        <v>52.44</v>
      </c>
      <c r="C111" s="179">
        <v>13110</v>
      </c>
    </row>
    <row r="112" spans="1:3" x14ac:dyDescent="0.35">
      <c r="A112" s="178" t="s">
        <v>285</v>
      </c>
      <c r="B112" s="126">
        <v>52.13</v>
      </c>
      <c r="C112" s="179">
        <v>13800.5</v>
      </c>
    </row>
    <row r="113" spans="1:3" x14ac:dyDescent="0.35">
      <c r="A113" s="178" t="s">
        <v>286</v>
      </c>
      <c r="B113" s="126">
        <v>52.09</v>
      </c>
      <c r="C113" s="179">
        <v>14064.3</v>
      </c>
    </row>
    <row r="114" spans="1:3" x14ac:dyDescent="0.35">
      <c r="A114" s="178" t="s">
        <v>287</v>
      </c>
      <c r="B114" s="126">
        <v>51.56</v>
      </c>
      <c r="C114" s="179">
        <v>17014.8</v>
      </c>
    </row>
    <row r="115" spans="1:3" x14ac:dyDescent="0.35">
      <c r="A115" s="178" t="s">
        <v>288</v>
      </c>
      <c r="B115" s="126">
        <v>51.38</v>
      </c>
      <c r="C115" s="179">
        <v>17387.400000000001</v>
      </c>
    </row>
    <row r="116" spans="1:3" x14ac:dyDescent="0.35">
      <c r="A116" s="178" t="s">
        <v>289</v>
      </c>
      <c r="B116" s="126">
        <v>50.34</v>
      </c>
      <c r="C116" s="179">
        <v>17272.3</v>
      </c>
    </row>
    <row r="117" spans="1:3" x14ac:dyDescent="0.35">
      <c r="A117" s="178" t="s">
        <v>290</v>
      </c>
      <c r="B117" s="126">
        <v>50.21</v>
      </c>
      <c r="C117" s="179">
        <v>18828.75</v>
      </c>
    </row>
    <row r="118" spans="1:3" x14ac:dyDescent="0.35">
      <c r="A118" s="178" t="s">
        <v>291</v>
      </c>
      <c r="B118" s="126">
        <v>49.09</v>
      </c>
      <c r="C118" s="179">
        <v>14481.55</v>
      </c>
    </row>
    <row r="119" spans="1:3" x14ac:dyDescent="0.35">
      <c r="A119" s="178" t="s">
        <v>292</v>
      </c>
      <c r="B119" s="126">
        <v>49.02</v>
      </c>
      <c r="C119" s="179">
        <v>14322.4</v>
      </c>
    </row>
    <row r="120" spans="1:3" x14ac:dyDescent="0.35">
      <c r="A120" s="178" t="s">
        <v>293</v>
      </c>
      <c r="B120" s="126">
        <v>48.35</v>
      </c>
      <c r="C120" s="179">
        <v>15072.15</v>
      </c>
    </row>
    <row r="121" spans="1:3" x14ac:dyDescent="0.35">
      <c r="A121" s="178" t="s">
        <v>294</v>
      </c>
      <c r="B121" s="126">
        <v>48</v>
      </c>
      <c r="C121" s="179">
        <v>12665.2</v>
      </c>
    </row>
    <row r="122" spans="1:3" x14ac:dyDescent="0.35">
      <c r="A122" s="178" t="s">
        <v>295</v>
      </c>
      <c r="B122" s="126">
        <v>47.49</v>
      </c>
      <c r="C122" s="179">
        <v>15015.73</v>
      </c>
    </row>
    <row r="123" spans="1:3" x14ac:dyDescent="0.35">
      <c r="A123" s="178" t="s">
        <v>296</v>
      </c>
      <c r="B123" s="126">
        <v>47.39</v>
      </c>
      <c r="C123" s="179">
        <v>18152.2</v>
      </c>
    </row>
    <row r="124" spans="1:3" x14ac:dyDescent="0.35">
      <c r="A124" s="178" t="s">
        <v>297</v>
      </c>
      <c r="B124" s="126">
        <v>46.89</v>
      </c>
      <c r="C124" s="179">
        <v>19168.099999999999</v>
      </c>
    </row>
    <row r="125" spans="1:3" x14ac:dyDescent="0.35">
      <c r="A125" s="178" t="s">
        <v>298</v>
      </c>
      <c r="B125" s="126">
        <v>46.18</v>
      </c>
      <c r="C125" s="179">
        <v>20154.45</v>
      </c>
    </row>
    <row r="126" spans="1:3" x14ac:dyDescent="0.35">
      <c r="A126" s="178" t="s">
        <v>299</v>
      </c>
      <c r="B126" s="126">
        <v>44.35</v>
      </c>
      <c r="C126" s="179">
        <v>9757</v>
      </c>
    </row>
    <row r="127" spans="1:3" x14ac:dyDescent="0.35">
      <c r="A127" s="178" t="s">
        <v>300</v>
      </c>
      <c r="B127" s="126">
        <v>44.32</v>
      </c>
      <c r="C127" s="179">
        <v>17899.45</v>
      </c>
    </row>
    <row r="128" spans="1:3" x14ac:dyDescent="0.35">
      <c r="A128" s="178" t="s">
        <v>301</v>
      </c>
      <c r="B128" s="126">
        <v>44.01</v>
      </c>
      <c r="C128" s="179">
        <v>17098.25</v>
      </c>
    </row>
    <row r="129" spans="1:3" x14ac:dyDescent="0.35">
      <c r="A129" s="178" t="s">
        <v>302</v>
      </c>
      <c r="B129" s="126">
        <v>43.61</v>
      </c>
      <c r="C129" s="179">
        <v>11338.6</v>
      </c>
    </row>
    <row r="130" spans="1:3" x14ac:dyDescent="0.35">
      <c r="A130" s="178" t="s">
        <v>303</v>
      </c>
      <c r="B130" s="126">
        <v>42.95</v>
      </c>
      <c r="C130" s="179">
        <v>14665.95</v>
      </c>
    </row>
    <row r="131" spans="1:3" x14ac:dyDescent="0.35">
      <c r="A131" s="178" t="s">
        <v>304</v>
      </c>
      <c r="B131" s="126">
        <v>42.87</v>
      </c>
      <c r="C131" s="179">
        <v>10974.3</v>
      </c>
    </row>
    <row r="132" spans="1:3" x14ac:dyDescent="0.35">
      <c r="A132" s="178" t="s">
        <v>305</v>
      </c>
      <c r="B132" s="126">
        <v>42.05</v>
      </c>
      <c r="C132" s="179">
        <v>11313</v>
      </c>
    </row>
    <row r="133" spans="1:3" x14ac:dyDescent="0.35">
      <c r="A133" s="178" t="s">
        <v>306</v>
      </c>
      <c r="B133" s="126">
        <v>41.19</v>
      </c>
      <c r="C133" s="179">
        <v>16624.05</v>
      </c>
    </row>
    <row r="134" spans="1:3" x14ac:dyDescent="0.35">
      <c r="A134" s="178" t="s">
        <v>307</v>
      </c>
      <c r="B134" s="126">
        <v>40.729999999999997</v>
      </c>
      <c r="C134" s="179">
        <v>16169.25</v>
      </c>
    </row>
    <row r="135" spans="1:3" x14ac:dyDescent="0.35">
      <c r="A135" s="178" t="s">
        <v>308</v>
      </c>
      <c r="B135" s="126">
        <v>40.14</v>
      </c>
      <c r="C135" s="179">
        <v>12242.7</v>
      </c>
    </row>
    <row r="136" spans="1:3" x14ac:dyDescent="0.35">
      <c r="A136" s="178" t="s">
        <v>309</v>
      </c>
      <c r="B136" s="126">
        <v>40.04</v>
      </c>
      <c r="C136" s="179">
        <v>14614.9</v>
      </c>
    </row>
    <row r="137" spans="1:3" x14ac:dyDescent="0.35">
      <c r="A137" s="178" t="s">
        <v>310</v>
      </c>
      <c r="B137" s="126">
        <v>39.01</v>
      </c>
      <c r="C137" s="179">
        <v>10191.450000000001</v>
      </c>
    </row>
    <row r="138" spans="1:3" x14ac:dyDescent="0.35">
      <c r="A138" s="178" t="s">
        <v>311</v>
      </c>
      <c r="B138" s="126">
        <v>38.9</v>
      </c>
      <c r="C138" s="179">
        <v>14069.05</v>
      </c>
    </row>
    <row r="139" spans="1:3" x14ac:dyDescent="0.35">
      <c r="A139" s="178" t="s">
        <v>312</v>
      </c>
      <c r="B139" s="126">
        <v>38.340000000000003</v>
      </c>
      <c r="C139" s="179">
        <v>11310.3</v>
      </c>
    </row>
    <row r="140" spans="1:3" x14ac:dyDescent="0.35">
      <c r="A140" s="178" t="s">
        <v>313</v>
      </c>
      <c r="B140" s="126">
        <v>37.270000000000003</v>
      </c>
      <c r="C140" s="179">
        <v>15479.15</v>
      </c>
    </row>
    <row r="141" spans="1:3" x14ac:dyDescent="0.35">
      <c r="A141" s="178" t="s">
        <v>314</v>
      </c>
      <c r="B141" s="126">
        <v>36.159999999999997</v>
      </c>
      <c r="C141" s="179">
        <v>10124.799999999999</v>
      </c>
    </row>
    <row r="142" spans="1:3" x14ac:dyDescent="0.35">
      <c r="A142" s="178" t="s">
        <v>315</v>
      </c>
      <c r="B142" s="126">
        <v>36.090000000000003</v>
      </c>
      <c r="C142" s="179">
        <v>11909.7</v>
      </c>
    </row>
    <row r="143" spans="1:3" x14ac:dyDescent="0.35">
      <c r="A143" s="178" t="s">
        <v>316</v>
      </c>
      <c r="B143" s="126">
        <v>36.090000000000003</v>
      </c>
      <c r="C143" s="179">
        <v>12548.4</v>
      </c>
    </row>
    <row r="144" spans="1:3" x14ac:dyDescent="0.35">
      <c r="A144" s="178" t="s">
        <v>317</v>
      </c>
      <c r="B144" s="126">
        <v>35.85</v>
      </c>
      <c r="C144" s="179">
        <v>11777.5</v>
      </c>
    </row>
    <row r="145" spans="1:3" x14ac:dyDescent="0.35">
      <c r="A145" s="178" t="s">
        <v>318</v>
      </c>
      <c r="B145" s="126">
        <v>35.43</v>
      </c>
      <c r="C145" s="179">
        <v>8857.5</v>
      </c>
    </row>
    <row r="146" spans="1:3" x14ac:dyDescent="0.35">
      <c r="A146" s="178" t="s">
        <v>319</v>
      </c>
      <c r="B146" s="126">
        <v>34.46</v>
      </c>
      <c r="C146" s="179">
        <v>14359.6</v>
      </c>
    </row>
    <row r="147" spans="1:3" x14ac:dyDescent="0.35">
      <c r="A147" s="178" t="s">
        <v>320</v>
      </c>
      <c r="B147" s="126">
        <v>34.28</v>
      </c>
      <c r="C147" s="179">
        <v>13712</v>
      </c>
    </row>
    <row r="148" spans="1:3" x14ac:dyDescent="0.35">
      <c r="A148" s="178" t="s">
        <v>321</v>
      </c>
      <c r="B148" s="126">
        <v>33.909999999999997</v>
      </c>
      <c r="C148" s="179">
        <v>7799.3</v>
      </c>
    </row>
    <row r="149" spans="1:3" x14ac:dyDescent="0.35">
      <c r="A149" s="178" t="s">
        <v>322</v>
      </c>
      <c r="B149" s="126">
        <v>33.64</v>
      </c>
      <c r="C149" s="179">
        <v>14125.2</v>
      </c>
    </row>
    <row r="150" spans="1:3" x14ac:dyDescent="0.35">
      <c r="A150" s="178" t="s">
        <v>323</v>
      </c>
      <c r="B150" s="126">
        <v>33.32</v>
      </c>
      <c r="C150" s="179">
        <v>9246</v>
      </c>
    </row>
    <row r="151" spans="1:3" x14ac:dyDescent="0.35">
      <c r="A151" s="178" t="s">
        <v>324</v>
      </c>
      <c r="B151" s="126">
        <v>33.14</v>
      </c>
      <c r="C151" s="179">
        <v>12663.65</v>
      </c>
    </row>
    <row r="152" spans="1:3" x14ac:dyDescent="0.35">
      <c r="A152" s="178" t="s">
        <v>325</v>
      </c>
      <c r="B152" s="126">
        <v>33.119999999999997</v>
      </c>
      <c r="C152" s="179">
        <v>10013.049999999999</v>
      </c>
    </row>
    <row r="153" spans="1:3" x14ac:dyDescent="0.35">
      <c r="A153" s="178" t="s">
        <v>326</v>
      </c>
      <c r="B153" s="126">
        <v>33</v>
      </c>
      <c r="C153" s="179">
        <v>9735</v>
      </c>
    </row>
    <row r="154" spans="1:3" x14ac:dyDescent="0.35">
      <c r="A154" s="178" t="s">
        <v>327</v>
      </c>
      <c r="B154" s="126">
        <v>32.57</v>
      </c>
      <c r="C154" s="179">
        <v>10262.85</v>
      </c>
    </row>
    <row r="155" spans="1:3" x14ac:dyDescent="0.35">
      <c r="A155" s="178" t="s">
        <v>328</v>
      </c>
      <c r="B155" s="126">
        <v>32.43</v>
      </c>
      <c r="C155" s="179">
        <v>18663.400000000001</v>
      </c>
    </row>
    <row r="156" spans="1:3" x14ac:dyDescent="0.35">
      <c r="A156" s="178" t="s">
        <v>329</v>
      </c>
      <c r="B156" s="126">
        <v>31.94</v>
      </c>
      <c r="C156" s="179">
        <v>13090.75</v>
      </c>
    </row>
    <row r="157" spans="1:3" x14ac:dyDescent="0.35">
      <c r="A157" s="178" t="s">
        <v>330</v>
      </c>
      <c r="B157" s="126">
        <v>31.67</v>
      </c>
      <c r="C157" s="179">
        <v>10255.200000000001</v>
      </c>
    </row>
    <row r="158" spans="1:3" x14ac:dyDescent="0.35">
      <c r="A158" s="178" t="s">
        <v>331</v>
      </c>
      <c r="B158" s="126">
        <v>31.64</v>
      </c>
      <c r="C158" s="179">
        <v>9890.4500000000007</v>
      </c>
    </row>
    <row r="159" spans="1:3" x14ac:dyDescent="0.35">
      <c r="A159" s="178" t="s">
        <v>332</v>
      </c>
      <c r="B159" s="126">
        <v>31.14</v>
      </c>
      <c r="C159" s="179">
        <v>11464.7</v>
      </c>
    </row>
    <row r="160" spans="1:3" x14ac:dyDescent="0.35">
      <c r="A160" s="178" t="s">
        <v>333</v>
      </c>
      <c r="B160" s="126">
        <v>31.01</v>
      </c>
      <c r="C160" s="179">
        <v>12378.1</v>
      </c>
    </row>
    <row r="161" spans="1:3" x14ac:dyDescent="0.35">
      <c r="A161" s="178" t="s">
        <v>334</v>
      </c>
      <c r="B161" s="126">
        <v>30.97</v>
      </c>
      <c r="C161" s="179">
        <v>10341.75</v>
      </c>
    </row>
    <row r="162" spans="1:3" x14ac:dyDescent="0.35">
      <c r="A162" s="178" t="s">
        <v>335</v>
      </c>
      <c r="B162" s="126">
        <v>30.27</v>
      </c>
      <c r="C162" s="179">
        <v>16666.46</v>
      </c>
    </row>
    <row r="163" spans="1:3" x14ac:dyDescent="0.35">
      <c r="A163" s="178" t="s">
        <v>336</v>
      </c>
      <c r="B163" s="126">
        <v>30.07</v>
      </c>
      <c r="C163" s="179">
        <v>11269.2</v>
      </c>
    </row>
    <row r="164" spans="1:3" x14ac:dyDescent="0.35">
      <c r="A164" s="178" t="s">
        <v>337</v>
      </c>
      <c r="B164" s="126">
        <v>29.52</v>
      </c>
      <c r="C164" s="179">
        <v>11893.2</v>
      </c>
    </row>
    <row r="165" spans="1:3" x14ac:dyDescent="0.35">
      <c r="A165" s="178" t="s">
        <v>338</v>
      </c>
      <c r="B165" s="126">
        <v>29.05</v>
      </c>
      <c r="C165" s="179">
        <v>12474.55</v>
      </c>
    </row>
    <row r="166" spans="1:3" x14ac:dyDescent="0.35">
      <c r="A166" s="178" t="s">
        <v>339</v>
      </c>
      <c r="B166" s="126">
        <v>28.56</v>
      </c>
      <c r="C166" s="179">
        <v>9270.15</v>
      </c>
    </row>
    <row r="167" spans="1:3" x14ac:dyDescent="0.35">
      <c r="A167" s="178" t="s">
        <v>340</v>
      </c>
      <c r="B167" s="126">
        <v>28.34</v>
      </c>
      <c r="C167" s="179">
        <v>6843.2</v>
      </c>
    </row>
    <row r="168" spans="1:3" x14ac:dyDescent="0.35">
      <c r="A168" s="178" t="s">
        <v>341</v>
      </c>
      <c r="B168" s="126">
        <v>28.21</v>
      </c>
      <c r="C168" s="179">
        <v>10568.9</v>
      </c>
    </row>
    <row r="169" spans="1:3" x14ac:dyDescent="0.35">
      <c r="A169" s="178" t="s">
        <v>342</v>
      </c>
      <c r="B169" s="126">
        <v>28.13</v>
      </c>
      <c r="C169" s="179">
        <v>7876.4</v>
      </c>
    </row>
    <row r="170" spans="1:3" x14ac:dyDescent="0.35">
      <c r="A170" s="178" t="s">
        <v>343</v>
      </c>
      <c r="B170" s="126">
        <v>28.12</v>
      </c>
      <c r="C170" s="179">
        <v>10545</v>
      </c>
    </row>
    <row r="171" spans="1:3" x14ac:dyDescent="0.35">
      <c r="A171" s="178" t="s">
        <v>344</v>
      </c>
      <c r="B171" s="126">
        <v>27.95</v>
      </c>
      <c r="C171" s="179">
        <v>10481.85</v>
      </c>
    </row>
    <row r="172" spans="1:3" x14ac:dyDescent="0.35">
      <c r="A172" s="178" t="s">
        <v>345</v>
      </c>
      <c r="B172" s="126">
        <v>27.83</v>
      </c>
      <c r="C172" s="179">
        <v>9986.0499999999993</v>
      </c>
    </row>
    <row r="173" spans="1:3" x14ac:dyDescent="0.35">
      <c r="A173" s="178" t="s">
        <v>346</v>
      </c>
      <c r="B173" s="126">
        <v>26.51</v>
      </c>
      <c r="C173" s="179">
        <v>7767.73</v>
      </c>
    </row>
    <row r="174" spans="1:3" x14ac:dyDescent="0.35">
      <c r="A174" s="178" t="s">
        <v>347</v>
      </c>
      <c r="B174" s="126">
        <v>26.35</v>
      </c>
      <c r="C174" s="179">
        <v>9881.25</v>
      </c>
    </row>
    <row r="175" spans="1:3" x14ac:dyDescent="0.35">
      <c r="A175" s="178" t="s">
        <v>348</v>
      </c>
      <c r="B175" s="126">
        <v>26.23</v>
      </c>
      <c r="C175" s="179">
        <v>10604.65</v>
      </c>
    </row>
    <row r="176" spans="1:3" x14ac:dyDescent="0.35">
      <c r="A176" s="178" t="s">
        <v>349</v>
      </c>
      <c r="B176" s="126">
        <v>26.19</v>
      </c>
      <c r="C176" s="179">
        <v>10336.549999999999</v>
      </c>
    </row>
    <row r="177" spans="1:3" x14ac:dyDescent="0.35">
      <c r="A177" s="178" t="s">
        <v>350</v>
      </c>
      <c r="B177" s="126">
        <v>25.88</v>
      </c>
      <c r="C177" s="179">
        <v>7764</v>
      </c>
    </row>
    <row r="178" spans="1:3" x14ac:dyDescent="0.35">
      <c r="A178" s="178" t="s">
        <v>351</v>
      </c>
      <c r="B178" s="126">
        <v>25.6</v>
      </c>
      <c r="C178" s="179">
        <v>8488.75</v>
      </c>
    </row>
    <row r="179" spans="1:3" x14ac:dyDescent="0.35">
      <c r="A179" s="178" t="s">
        <v>352</v>
      </c>
      <c r="B179" s="126">
        <v>25.57</v>
      </c>
      <c r="C179" s="179">
        <v>9864.1</v>
      </c>
    </row>
    <row r="180" spans="1:3" x14ac:dyDescent="0.35">
      <c r="A180" s="178" t="s">
        <v>353</v>
      </c>
      <c r="B180" s="126">
        <v>25.18</v>
      </c>
      <c r="C180" s="179">
        <v>9147.0499999999993</v>
      </c>
    </row>
    <row r="181" spans="1:3" x14ac:dyDescent="0.35">
      <c r="A181" s="178" t="s">
        <v>354</v>
      </c>
      <c r="B181" s="126">
        <v>25</v>
      </c>
      <c r="C181" s="179">
        <v>9686.2000000000007</v>
      </c>
    </row>
    <row r="182" spans="1:3" x14ac:dyDescent="0.35">
      <c r="A182" s="178" t="s">
        <v>355</v>
      </c>
      <c r="B182" s="126">
        <v>25</v>
      </c>
      <c r="C182" s="179">
        <v>7847.24</v>
      </c>
    </row>
    <row r="183" spans="1:3" x14ac:dyDescent="0.35">
      <c r="A183" s="178" t="s">
        <v>356</v>
      </c>
      <c r="B183" s="126">
        <v>24.74</v>
      </c>
      <c r="C183" s="179">
        <v>6361.3</v>
      </c>
    </row>
    <row r="184" spans="1:3" x14ac:dyDescent="0.35">
      <c r="A184" s="178" t="s">
        <v>357</v>
      </c>
      <c r="B184" s="126">
        <v>24.4</v>
      </c>
      <c r="C184" s="179">
        <v>9422.25</v>
      </c>
    </row>
    <row r="185" spans="1:3" x14ac:dyDescent="0.35">
      <c r="A185" s="178" t="s">
        <v>358</v>
      </c>
      <c r="B185" s="126">
        <v>24.06</v>
      </c>
      <c r="C185" s="179">
        <v>8541.2999999999993</v>
      </c>
    </row>
    <row r="186" spans="1:3" x14ac:dyDescent="0.35">
      <c r="A186" s="178" t="s">
        <v>359</v>
      </c>
      <c r="B186" s="126">
        <v>23.91</v>
      </c>
      <c r="C186" s="179">
        <v>8979.75</v>
      </c>
    </row>
    <row r="187" spans="1:3" x14ac:dyDescent="0.35">
      <c r="A187" s="178" t="s">
        <v>360</v>
      </c>
      <c r="B187" s="126">
        <v>23.62</v>
      </c>
      <c r="C187" s="179">
        <v>6377.4</v>
      </c>
    </row>
    <row r="188" spans="1:3" x14ac:dyDescent="0.35">
      <c r="A188" s="178" t="s">
        <v>361</v>
      </c>
      <c r="B188" s="126">
        <v>23.36</v>
      </c>
      <c r="C188" s="179">
        <v>8643.2000000000007</v>
      </c>
    </row>
    <row r="189" spans="1:3" x14ac:dyDescent="0.35">
      <c r="A189" s="178" t="s">
        <v>362</v>
      </c>
      <c r="B189" s="126">
        <v>23.09</v>
      </c>
      <c r="C189" s="179">
        <v>9351.4500000000007</v>
      </c>
    </row>
    <row r="190" spans="1:3" x14ac:dyDescent="0.35">
      <c r="A190" s="178" t="s">
        <v>363</v>
      </c>
      <c r="B190" s="126">
        <v>22.95</v>
      </c>
      <c r="C190" s="179">
        <v>6311.25</v>
      </c>
    </row>
    <row r="191" spans="1:3" x14ac:dyDescent="0.35">
      <c r="A191" s="178" t="s">
        <v>364</v>
      </c>
      <c r="B191" s="126">
        <v>22.6</v>
      </c>
      <c r="C191" s="179">
        <v>8192.7000000000007</v>
      </c>
    </row>
    <row r="192" spans="1:3" x14ac:dyDescent="0.35">
      <c r="A192" s="178" t="s">
        <v>365</v>
      </c>
      <c r="B192" s="126">
        <v>22.4</v>
      </c>
      <c r="C192" s="179">
        <v>9538</v>
      </c>
    </row>
    <row r="193" spans="1:3" x14ac:dyDescent="0.35">
      <c r="A193" s="178" t="s">
        <v>366</v>
      </c>
      <c r="B193" s="126">
        <v>22.28</v>
      </c>
      <c r="C193" s="179">
        <v>5792.8</v>
      </c>
    </row>
    <row r="194" spans="1:3" x14ac:dyDescent="0.35">
      <c r="A194" s="178" t="s">
        <v>367</v>
      </c>
      <c r="B194" s="126">
        <v>22.25</v>
      </c>
      <c r="C194" s="179">
        <v>8065.9</v>
      </c>
    </row>
    <row r="195" spans="1:3" x14ac:dyDescent="0.35">
      <c r="A195" s="178" t="s">
        <v>368</v>
      </c>
      <c r="B195" s="126">
        <v>22.13</v>
      </c>
      <c r="C195" s="179">
        <v>5975.1</v>
      </c>
    </row>
    <row r="196" spans="1:3" x14ac:dyDescent="0.35">
      <c r="A196" s="178" t="s">
        <v>369</v>
      </c>
      <c r="B196" s="126">
        <v>22.04</v>
      </c>
      <c r="C196" s="179">
        <v>7824.2</v>
      </c>
    </row>
    <row r="197" spans="1:3" x14ac:dyDescent="0.35">
      <c r="A197" s="178" t="s">
        <v>370</v>
      </c>
      <c r="B197" s="126">
        <v>21.76</v>
      </c>
      <c r="C197" s="179">
        <v>6092.8</v>
      </c>
    </row>
    <row r="198" spans="1:3" x14ac:dyDescent="0.35">
      <c r="A198" s="178" t="s">
        <v>371</v>
      </c>
      <c r="B198" s="126">
        <v>21.66</v>
      </c>
      <c r="C198" s="179">
        <v>7788</v>
      </c>
    </row>
    <row r="199" spans="1:3" x14ac:dyDescent="0.35">
      <c r="A199" s="178" t="s">
        <v>372</v>
      </c>
      <c r="B199" s="126">
        <v>21.54</v>
      </c>
      <c r="C199" s="179">
        <v>6008.5</v>
      </c>
    </row>
    <row r="200" spans="1:3" x14ac:dyDescent="0.35">
      <c r="A200" s="178" t="s">
        <v>373</v>
      </c>
      <c r="B200" s="126">
        <v>21.33</v>
      </c>
      <c r="C200" s="179">
        <v>8809.5499999999993</v>
      </c>
    </row>
    <row r="201" spans="1:3" x14ac:dyDescent="0.35">
      <c r="A201" s="178" t="s">
        <v>374</v>
      </c>
      <c r="B201" s="126">
        <v>21.15</v>
      </c>
      <c r="C201" s="179">
        <v>8581.85</v>
      </c>
    </row>
    <row r="202" spans="1:3" x14ac:dyDescent="0.35">
      <c r="A202" s="178" t="s">
        <v>375</v>
      </c>
      <c r="B202" s="126">
        <v>21.12</v>
      </c>
      <c r="C202" s="179">
        <v>8342.4</v>
      </c>
    </row>
    <row r="203" spans="1:3" x14ac:dyDescent="0.35">
      <c r="A203" s="178" t="s">
        <v>376</v>
      </c>
      <c r="B203" s="126">
        <v>20.84</v>
      </c>
      <c r="C203" s="179">
        <v>5744.9</v>
      </c>
    </row>
    <row r="204" spans="1:3" x14ac:dyDescent="0.35">
      <c r="A204" s="178" t="s">
        <v>377</v>
      </c>
      <c r="B204" s="126">
        <v>20.71</v>
      </c>
      <c r="C204" s="179">
        <v>7899.05</v>
      </c>
    </row>
    <row r="205" spans="1:3" x14ac:dyDescent="0.35">
      <c r="A205" s="178" t="s">
        <v>378</v>
      </c>
      <c r="B205" s="126">
        <v>20.57</v>
      </c>
      <c r="C205" s="179">
        <v>7105.91</v>
      </c>
    </row>
    <row r="206" spans="1:3" x14ac:dyDescent="0.35">
      <c r="A206" s="178" t="s">
        <v>379</v>
      </c>
      <c r="B206" s="126">
        <v>20.48</v>
      </c>
      <c r="C206" s="179">
        <v>8552.0499999999993</v>
      </c>
    </row>
    <row r="207" spans="1:3" x14ac:dyDescent="0.35">
      <c r="A207" s="178" t="s">
        <v>380</v>
      </c>
      <c r="B207" s="126">
        <v>20.39</v>
      </c>
      <c r="C207" s="179">
        <v>7929.05</v>
      </c>
    </row>
    <row r="208" spans="1:3" x14ac:dyDescent="0.35">
      <c r="A208" s="178" t="s">
        <v>381</v>
      </c>
      <c r="B208" s="126">
        <v>20.29</v>
      </c>
      <c r="C208" s="179">
        <v>7661.45</v>
      </c>
    </row>
    <row r="209" spans="1:3" x14ac:dyDescent="0.35">
      <c r="A209" s="178" t="s">
        <v>382</v>
      </c>
      <c r="B209" s="126">
        <v>20.190000000000001</v>
      </c>
      <c r="C209" s="179">
        <v>7722</v>
      </c>
    </row>
    <row r="210" spans="1:3" x14ac:dyDescent="0.35">
      <c r="A210" s="178" t="s">
        <v>383</v>
      </c>
      <c r="B210" s="126">
        <v>19.8</v>
      </c>
      <c r="C210" s="179">
        <v>6896</v>
      </c>
    </row>
    <row r="211" spans="1:3" x14ac:dyDescent="0.35">
      <c r="A211" s="178" t="s">
        <v>384</v>
      </c>
      <c r="B211" s="126">
        <v>19.649999999999999</v>
      </c>
      <c r="C211" s="179">
        <v>7314.5</v>
      </c>
    </row>
    <row r="212" spans="1:3" x14ac:dyDescent="0.35">
      <c r="A212" s="178" t="s">
        <v>385</v>
      </c>
      <c r="B212" s="126">
        <v>19.37</v>
      </c>
      <c r="C212" s="179">
        <v>5423.6</v>
      </c>
    </row>
    <row r="213" spans="1:3" x14ac:dyDescent="0.35">
      <c r="A213" s="178" t="s">
        <v>386</v>
      </c>
      <c r="B213" s="126">
        <v>19.350000000000001</v>
      </c>
      <c r="C213" s="179">
        <v>7151.95</v>
      </c>
    </row>
    <row r="214" spans="1:3" x14ac:dyDescent="0.35">
      <c r="A214" s="178" t="s">
        <v>387</v>
      </c>
      <c r="B214" s="126">
        <v>19.25</v>
      </c>
      <c r="C214" s="179">
        <v>5083.3999999999996</v>
      </c>
    </row>
    <row r="215" spans="1:3" x14ac:dyDescent="0.35">
      <c r="A215" s="178" t="s">
        <v>388</v>
      </c>
      <c r="B215" s="126">
        <v>18.899999999999999</v>
      </c>
      <c r="C215" s="179">
        <v>7365.9</v>
      </c>
    </row>
    <row r="216" spans="1:3" x14ac:dyDescent="0.35">
      <c r="A216" s="178" t="s">
        <v>389</v>
      </c>
      <c r="B216" s="126">
        <v>18.86</v>
      </c>
      <c r="C216" s="179">
        <v>6670.35</v>
      </c>
    </row>
    <row r="217" spans="1:3" x14ac:dyDescent="0.35">
      <c r="A217" s="178" t="s">
        <v>390</v>
      </c>
      <c r="B217" s="126">
        <v>18.559999999999999</v>
      </c>
      <c r="C217" s="179">
        <v>5289.6</v>
      </c>
    </row>
    <row r="218" spans="1:3" x14ac:dyDescent="0.35">
      <c r="A218" s="178" t="s">
        <v>391</v>
      </c>
      <c r="B218" s="126">
        <v>18.52</v>
      </c>
      <c r="C218" s="179">
        <v>6717.2</v>
      </c>
    </row>
    <row r="219" spans="1:3" x14ac:dyDescent="0.35">
      <c r="A219" s="178" t="s">
        <v>392</v>
      </c>
      <c r="B219" s="126">
        <v>18.29</v>
      </c>
      <c r="C219" s="179">
        <v>6584.4</v>
      </c>
    </row>
    <row r="220" spans="1:3" x14ac:dyDescent="0.35">
      <c r="A220" s="178" t="s">
        <v>393</v>
      </c>
      <c r="B220" s="126">
        <v>18.13</v>
      </c>
      <c r="C220" s="179">
        <v>7352.25</v>
      </c>
    </row>
    <row r="221" spans="1:3" x14ac:dyDescent="0.35">
      <c r="A221" s="178" t="s">
        <v>394</v>
      </c>
      <c r="B221" s="126">
        <v>18.100000000000001</v>
      </c>
      <c r="C221" s="179">
        <v>4723.5600000000004</v>
      </c>
    </row>
    <row r="222" spans="1:3" x14ac:dyDescent="0.35">
      <c r="A222" s="178" t="s">
        <v>395</v>
      </c>
      <c r="B222" s="126">
        <v>17.91</v>
      </c>
      <c r="C222" s="179">
        <v>6716.25</v>
      </c>
    </row>
    <row r="223" spans="1:3" x14ac:dyDescent="0.35">
      <c r="A223" s="178" t="s">
        <v>396</v>
      </c>
      <c r="B223" s="126">
        <v>17.75</v>
      </c>
      <c r="C223" s="179">
        <v>6258.85</v>
      </c>
    </row>
    <row r="224" spans="1:3" x14ac:dyDescent="0.35">
      <c r="A224" s="178" t="s">
        <v>397</v>
      </c>
      <c r="B224" s="126">
        <v>17.600000000000001</v>
      </c>
      <c r="C224" s="179">
        <v>5106.5</v>
      </c>
    </row>
    <row r="225" spans="1:3" x14ac:dyDescent="0.35">
      <c r="A225" s="178" t="s">
        <v>398</v>
      </c>
      <c r="B225" s="126">
        <v>17.47</v>
      </c>
      <c r="C225" s="179">
        <v>4691.53</v>
      </c>
    </row>
    <row r="226" spans="1:3" x14ac:dyDescent="0.35">
      <c r="A226" s="178" t="s">
        <v>399</v>
      </c>
      <c r="B226" s="126">
        <v>17.36</v>
      </c>
      <c r="C226" s="179">
        <v>6175.6</v>
      </c>
    </row>
    <row r="227" spans="1:3" x14ac:dyDescent="0.35">
      <c r="A227" s="178" t="s">
        <v>400</v>
      </c>
      <c r="B227" s="126">
        <v>16.91</v>
      </c>
      <c r="C227" s="179">
        <v>4609.05</v>
      </c>
    </row>
    <row r="228" spans="1:3" x14ac:dyDescent="0.35">
      <c r="A228" s="178" t="s">
        <v>401</v>
      </c>
      <c r="B228" s="126">
        <v>16.89</v>
      </c>
      <c r="C228" s="179">
        <v>5030.2</v>
      </c>
    </row>
    <row r="229" spans="1:3" x14ac:dyDescent="0.35">
      <c r="A229" s="178" t="s">
        <v>402</v>
      </c>
      <c r="B229" s="126">
        <v>16.850000000000001</v>
      </c>
      <c r="C229" s="179">
        <v>6487.25</v>
      </c>
    </row>
    <row r="230" spans="1:3" x14ac:dyDescent="0.35">
      <c r="A230" s="178" t="s">
        <v>403</v>
      </c>
      <c r="B230" s="126">
        <v>16.809999999999999</v>
      </c>
      <c r="C230" s="179">
        <v>6387.8</v>
      </c>
    </row>
    <row r="231" spans="1:3" x14ac:dyDescent="0.35">
      <c r="A231" s="178" t="s">
        <v>404</v>
      </c>
      <c r="B231" s="126">
        <v>16.75</v>
      </c>
      <c r="C231" s="179">
        <v>7159.55</v>
      </c>
    </row>
    <row r="232" spans="1:3" x14ac:dyDescent="0.35">
      <c r="A232" s="178" t="s">
        <v>405</v>
      </c>
      <c r="B232" s="126">
        <v>16.63</v>
      </c>
      <c r="C232" s="179">
        <v>4406.95</v>
      </c>
    </row>
    <row r="233" spans="1:3" x14ac:dyDescent="0.35">
      <c r="A233" s="178" t="s">
        <v>406</v>
      </c>
      <c r="B233" s="126">
        <v>16.38</v>
      </c>
      <c r="C233" s="179">
        <v>5733</v>
      </c>
    </row>
    <row r="234" spans="1:3" x14ac:dyDescent="0.35">
      <c r="A234" s="178" t="s">
        <v>407</v>
      </c>
      <c r="B234" s="126">
        <v>16.23</v>
      </c>
      <c r="C234" s="179">
        <v>6978.9</v>
      </c>
    </row>
    <row r="235" spans="1:3" x14ac:dyDescent="0.35">
      <c r="A235" s="178" t="s">
        <v>408</v>
      </c>
      <c r="B235" s="126">
        <v>16.23</v>
      </c>
      <c r="C235" s="179">
        <v>6180.1</v>
      </c>
    </row>
    <row r="236" spans="1:3" x14ac:dyDescent="0.35">
      <c r="A236" s="178" t="s">
        <v>409</v>
      </c>
      <c r="B236" s="126">
        <v>16.190000000000001</v>
      </c>
      <c r="C236" s="179">
        <v>6415.1</v>
      </c>
    </row>
    <row r="237" spans="1:3" x14ac:dyDescent="0.35">
      <c r="A237" s="178" t="s">
        <v>410</v>
      </c>
      <c r="B237" s="126">
        <v>16.16</v>
      </c>
      <c r="C237" s="179">
        <v>5876.4</v>
      </c>
    </row>
    <row r="238" spans="1:3" x14ac:dyDescent="0.35">
      <c r="A238" s="178" t="s">
        <v>411</v>
      </c>
      <c r="B238" s="126">
        <v>16.11</v>
      </c>
      <c r="C238" s="179">
        <v>3924.8</v>
      </c>
    </row>
    <row r="239" spans="1:3" x14ac:dyDescent="0.35">
      <c r="A239" s="178" t="s">
        <v>412</v>
      </c>
      <c r="B239" s="126">
        <v>16.07</v>
      </c>
      <c r="C239" s="179">
        <v>4615.55</v>
      </c>
    </row>
    <row r="240" spans="1:3" x14ac:dyDescent="0.35">
      <c r="A240" s="178" t="s">
        <v>413</v>
      </c>
      <c r="B240" s="126">
        <v>15.92</v>
      </c>
      <c r="C240" s="179">
        <v>6684</v>
      </c>
    </row>
    <row r="241" spans="1:3" x14ac:dyDescent="0.35">
      <c r="A241" s="178" t="s">
        <v>414</v>
      </c>
      <c r="B241" s="126">
        <v>15.7</v>
      </c>
      <c r="C241" s="179">
        <v>6156</v>
      </c>
    </row>
    <row r="242" spans="1:3" x14ac:dyDescent="0.35">
      <c r="A242" s="178" t="s">
        <v>415</v>
      </c>
      <c r="B242" s="126">
        <v>15.18</v>
      </c>
      <c r="C242" s="179">
        <v>6603.3</v>
      </c>
    </row>
    <row r="243" spans="1:3" x14ac:dyDescent="0.35">
      <c r="A243" s="178" t="s">
        <v>416</v>
      </c>
      <c r="B243" s="126">
        <v>15.12</v>
      </c>
      <c r="C243" s="179">
        <v>5215.3999999999996</v>
      </c>
    </row>
    <row r="244" spans="1:3" x14ac:dyDescent="0.35">
      <c r="A244" s="178" t="s">
        <v>417</v>
      </c>
      <c r="B244" s="126">
        <v>14.95</v>
      </c>
      <c r="C244" s="179">
        <v>6291.55</v>
      </c>
    </row>
    <row r="245" spans="1:3" x14ac:dyDescent="0.35">
      <c r="A245" s="178" t="s">
        <v>418</v>
      </c>
      <c r="B245" s="126">
        <v>14.92</v>
      </c>
      <c r="C245" s="179">
        <v>5125.6000000000004</v>
      </c>
    </row>
    <row r="246" spans="1:3" x14ac:dyDescent="0.35">
      <c r="A246" s="178" t="s">
        <v>419</v>
      </c>
      <c r="B246" s="126">
        <v>14.75</v>
      </c>
      <c r="C246" s="179">
        <v>5371.75</v>
      </c>
    </row>
    <row r="247" spans="1:3" x14ac:dyDescent="0.35">
      <c r="A247" s="178" t="s">
        <v>420</v>
      </c>
      <c r="B247" s="126">
        <v>14.7</v>
      </c>
      <c r="C247" s="179">
        <v>5206</v>
      </c>
    </row>
    <row r="248" spans="1:3" x14ac:dyDescent="0.35">
      <c r="A248" s="178" t="s">
        <v>421</v>
      </c>
      <c r="B248" s="126">
        <v>14.67</v>
      </c>
      <c r="C248" s="179">
        <v>5878.1</v>
      </c>
    </row>
    <row r="249" spans="1:3" x14ac:dyDescent="0.35">
      <c r="A249" s="178" t="s">
        <v>422</v>
      </c>
      <c r="B249" s="126">
        <v>14.63</v>
      </c>
      <c r="C249" s="179">
        <v>5986.5</v>
      </c>
    </row>
    <row r="250" spans="1:3" x14ac:dyDescent="0.35">
      <c r="A250" s="178" t="s">
        <v>423</v>
      </c>
      <c r="B250" s="126">
        <v>14.44</v>
      </c>
      <c r="C250" s="179">
        <v>5680.3</v>
      </c>
    </row>
    <row r="251" spans="1:3" x14ac:dyDescent="0.35">
      <c r="A251" s="178" t="s">
        <v>424</v>
      </c>
      <c r="B251" s="126">
        <v>13.29</v>
      </c>
      <c r="C251" s="179">
        <v>5036.75</v>
      </c>
    </row>
    <row r="252" spans="1:3" x14ac:dyDescent="0.35">
      <c r="A252" s="178" t="s">
        <v>425</v>
      </c>
      <c r="B252" s="126">
        <v>13.2</v>
      </c>
      <c r="C252" s="179">
        <v>5021.6000000000004</v>
      </c>
    </row>
    <row r="253" spans="1:3" x14ac:dyDescent="0.35">
      <c r="A253" s="178" t="s">
        <v>426</v>
      </c>
      <c r="B253" s="126">
        <v>13.16</v>
      </c>
      <c r="C253" s="179">
        <v>3290</v>
      </c>
    </row>
    <row r="254" spans="1:3" x14ac:dyDescent="0.35">
      <c r="A254" s="178" t="s">
        <v>427</v>
      </c>
      <c r="B254" s="126">
        <v>13.13</v>
      </c>
      <c r="C254" s="179">
        <v>4458.8999999999996</v>
      </c>
    </row>
    <row r="255" spans="1:3" x14ac:dyDescent="0.35">
      <c r="A255" s="178" t="s">
        <v>428</v>
      </c>
      <c r="B255" s="126">
        <v>13.11</v>
      </c>
      <c r="C255" s="179">
        <v>4785.1499999999996</v>
      </c>
    </row>
    <row r="256" spans="1:3" x14ac:dyDescent="0.35">
      <c r="A256" s="178" t="s">
        <v>429</v>
      </c>
      <c r="B256" s="126">
        <v>12.92</v>
      </c>
      <c r="C256" s="179">
        <v>4631.6000000000004</v>
      </c>
    </row>
    <row r="257" spans="1:3" x14ac:dyDescent="0.35">
      <c r="A257" s="178" t="s">
        <v>430</v>
      </c>
      <c r="B257" s="126">
        <v>12.9</v>
      </c>
      <c r="C257" s="179">
        <v>4840.6000000000004</v>
      </c>
    </row>
    <row r="258" spans="1:3" x14ac:dyDescent="0.35">
      <c r="A258" s="178" t="s">
        <v>431</v>
      </c>
      <c r="B258" s="126">
        <v>12.81</v>
      </c>
      <c r="C258" s="179">
        <v>7738.4</v>
      </c>
    </row>
    <row r="259" spans="1:3" x14ac:dyDescent="0.35">
      <c r="A259" s="178" t="s">
        <v>432</v>
      </c>
      <c r="B259" s="126">
        <v>12.79</v>
      </c>
      <c r="C259" s="179">
        <v>3837</v>
      </c>
    </row>
    <row r="260" spans="1:3" x14ac:dyDescent="0.35">
      <c r="A260" s="178" t="s">
        <v>433</v>
      </c>
      <c r="B260" s="126">
        <v>12.77</v>
      </c>
      <c r="C260" s="179">
        <v>4469.5</v>
      </c>
    </row>
    <row r="261" spans="1:3" x14ac:dyDescent="0.35">
      <c r="A261" s="178" t="s">
        <v>434</v>
      </c>
      <c r="B261" s="126">
        <v>12.62</v>
      </c>
      <c r="C261" s="179">
        <v>4353.8999999999996</v>
      </c>
    </row>
    <row r="262" spans="1:3" x14ac:dyDescent="0.35">
      <c r="A262" s="178" t="s">
        <v>435</v>
      </c>
      <c r="B262" s="126">
        <v>12.55</v>
      </c>
      <c r="C262" s="179">
        <v>3325.75</v>
      </c>
    </row>
    <row r="263" spans="1:3" x14ac:dyDescent="0.35">
      <c r="A263" s="178" t="s">
        <v>436</v>
      </c>
      <c r="B263" s="126">
        <v>12.53</v>
      </c>
      <c r="C263" s="179">
        <v>4003.85</v>
      </c>
    </row>
    <row r="264" spans="1:3" x14ac:dyDescent="0.35">
      <c r="A264" s="178" t="s">
        <v>437</v>
      </c>
      <c r="B264" s="126">
        <v>12.49</v>
      </c>
      <c r="C264" s="179">
        <v>4121.7</v>
      </c>
    </row>
    <row r="265" spans="1:3" x14ac:dyDescent="0.35">
      <c r="A265" s="178" t="s">
        <v>438</v>
      </c>
      <c r="B265" s="126">
        <v>12.45</v>
      </c>
      <c r="C265" s="179">
        <v>5216.25</v>
      </c>
    </row>
    <row r="266" spans="1:3" x14ac:dyDescent="0.35">
      <c r="A266" s="178" t="s">
        <v>439</v>
      </c>
      <c r="B266" s="126">
        <v>12.43</v>
      </c>
      <c r="C266" s="179">
        <v>4226.2</v>
      </c>
    </row>
    <row r="267" spans="1:3" x14ac:dyDescent="0.35">
      <c r="A267" s="178" t="s">
        <v>440</v>
      </c>
      <c r="B267" s="126">
        <v>12.41</v>
      </c>
      <c r="C267" s="179">
        <v>4546.1000000000004</v>
      </c>
    </row>
    <row r="268" spans="1:3" x14ac:dyDescent="0.35">
      <c r="A268" s="178" t="s">
        <v>441</v>
      </c>
      <c r="B268" s="126">
        <v>12.31</v>
      </c>
      <c r="C268" s="179">
        <v>4863.3</v>
      </c>
    </row>
    <row r="269" spans="1:3" x14ac:dyDescent="0.35">
      <c r="A269" s="178" t="s">
        <v>442</v>
      </c>
      <c r="B269" s="126">
        <v>12.27</v>
      </c>
      <c r="C269" s="179">
        <v>3392.6</v>
      </c>
    </row>
    <row r="270" spans="1:3" x14ac:dyDescent="0.35">
      <c r="A270" s="178" t="s">
        <v>443</v>
      </c>
      <c r="B270" s="126">
        <v>12.18</v>
      </c>
      <c r="C270" s="179">
        <v>4889.75</v>
      </c>
    </row>
    <row r="271" spans="1:3" x14ac:dyDescent="0.35">
      <c r="A271" s="178" t="s">
        <v>444</v>
      </c>
      <c r="B271" s="126">
        <v>12.16</v>
      </c>
      <c r="C271" s="179">
        <v>3587.2</v>
      </c>
    </row>
    <row r="272" spans="1:3" x14ac:dyDescent="0.35">
      <c r="A272" s="178" t="s">
        <v>445</v>
      </c>
      <c r="B272" s="126">
        <v>12.1</v>
      </c>
      <c r="C272" s="179">
        <v>4923</v>
      </c>
    </row>
    <row r="273" spans="1:3" x14ac:dyDescent="0.35">
      <c r="A273" s="178" t="s">
        <v>446</v>
      </c>
      <c r="B273" s="126">
        <v>11.84</v>
      </c>
      <c r="C273" s="179">
        <v>4558.3999999999996</v>
      </c>
    </row>
    <row r="274" spans="1:3" x14ac:dyDescent="0.35">
      <c r="A274" s="178" t="s">
        <v>447</v>
      </c>
      <c r="B274" s="126">
        <v>11.77</v>
      </c>
      <c r="C274" s="179">
        <v>4049.95</v>
      </c>
    </row>
    <row r="275" spans="1:3" x14ac:dyDescent="0.35">
      <c r="A275" s="178" t="s">
        <v>448</v>
      </c>
      <c r="B275" s="126">
        <v>11.26</v>
      </c>
      <c r="C275" s="179">
        <v>2815</v>
      </c>
    </row>
    <row r="276" spans="1:3" x14ac:dyDescent="0.35">
      <c r="A276" s="178" t="s">
        <v>449</v>
      </c>
      <c r="B276" s="126">
        <v>11.06</v>
      </c>
      <c r="C276" s="179">
        <v>3986.05</v>
      </c>
    </row>
    <row r="277" spans="1:3" x14ac:dyDescent="0.35">
      <c r="A277" s="178" t="s">
        <v>450</v>
      </c>
      <c r="B277" s="126">
        <v>10.88</v>
      </c>
      <c r="C277" s="179">
        <v>4334.6000000000004</v>
      </c>
    </row>
    <row r="278" spans="1:3" x14ac:dyDescent="0.35">
      <c r="A278" s="178" t="s">
        <v>451</v>
      </c>
      <c r="B278" s="126">
        <v>10.87</v>
      </c>
      <c r="C278" s="179">
        <v>4005.25</v>
      </c>
    </row>
    <row r="279" spans="1:3" x14ac:dyDescent="0.35">
      <c r="A279" s="178" t="s">
        <v>452</v>
      </c>
      <c r="B279" s="126">
        <v>10.81</v>
      </c>
      <c r="C279" s="179">
        <v>4107.8</v>
      </c>
    </row>
    <row r="280" spans="1:3" x14ac:dyDescent="0.35">
      <c r="A280" s="178" t="s">
        <v>453</v>
      </c>
      <c r="B280" s="126">
        <v>10.76</v>
      </c>
      <c r="C280" s="179">
        <v>4110.2</v>
      </c>
    </row>
    <row r="281" spans="1:3" x14ac:dyDescent="0.35">
      <c r="A281" s="178" t="s">
        <v>454</v>
      </c>
      <c r="B281" s="126">
        <v>10.71</v>
      </c>
      <c r="C281" s="179">
        <v>3782.49</v>
      </c>
    </row>
    <row r="282" spans="1:3" x14ac:dyDescent="0.35">
      <c r="A282" s="178" t="s">
        <v>455</v>
      </c>
      <c r="B282" s="126">
        <v>10.45</v>
      </c>
      <c r="C282" s="179">
        <v>3781.25</v>
      </c>
    </row>
    <row r="283" spans="1:3" x14ac:dyDescent="0.35">
      <c r="A283" s="178" t="s">
        <v>456</v>
      </c>
      <c r="B283" s="126">
        <v>10.44</v>
      </c>
      <c r="C283" s="179">
        <v>4489.2</v>
      </c>
    </row>
    <row r="284" spans="1:3" x14ac:dyDescent="0.35">
      <c r="A284" s="178" t="s">
        <v>457</v>
      </c>
      <c r="B284" s="126">
        <v>10.43</v>
      </c>
      <c r="C284" s="179">
        <v>6046.1</v>
      </c>
    </row>
    <row r="285" spans="1:3" x14ac:dyDescent="0.35">
      <c r="A285" s="178" t="s">
        <v>458</v>
      </c>
      <c r="B285" s="126">
        <v>10.42</v>
      </c>
      <c r="C285" s="179">
        <v>3549.1</v>
      </c>
    </row>
    <row r="286" spans="1:3" x14ac:dyDescent="0.35">
      <c r="A286" s="178" t="s">
        <v>459</v>
      </c>
      <c r="B286" s="126">
        <v>10.17</v>
      </c>
      <c r="C286" s="179">
        <v>3712.05</v>
      </c>
    </row>
    <row r="287" spans="1:3" x14ac:dyDescent="0.35">
      <c r="A287" s="178" t="s">
        <v>460</v>
      </c>
      <c r="B287" s="126">
        <v>10.14</v>
      </c>
      <c r="C287" s="179">
        <v>3953.05</v>
      </c>
    </row>
    <row r="288" spans="1:3" x14ac:dyDescent="0.35">
      <c r="A288" s="178" t="s">
        <v>461</v>
      </c>
      <c r="B288" s="126">
        <v>10.02</v>
      </c>
      <c r="C288" s="179">
        <v>4102.2</v>
      </c>
    </row>
    <row r="289" spans="1:3" x14ac:dyDescent="0.35">
      <c r="A289" s="178" t="s">
        <v>462</v>
      </c>
      <c r="B289" s="126">
        <v>9.99</v>
      </c>
      <c r="C289" s="179">
        <v>3158.7</v>
      </c>
    </row>
    <row r="290" spans="1:3" x14ac:dyDescent="0.35">
      <c r="A290" s="178" t="s">
        <v>463</v>
      </c>
      <c r="B290" s="126">
        <v>9.94</v>
      </c>
      <c r="C290" s="179">
        <v>2793.2</v>
      </c>
    </row>
    <row r="291" spans="1:3" x14ac:dyDescent="0.35">
      <c r="A291" s="178" t="s">
        <v>464</v>
      </c>
      <c r="B291" s="126">
        <v>9.91</v>
      </c>
      <c r="C291" s="179">
        <v>4021.95</v>
      </c>
    </row>
    <row r="292" spans="1:3" x14ac:dyDescent="0.35">
      <c r="A292" s="178" t="s">
        <v>465</v>
      </c>
      <c r="B292" s="126">
        <v>9.7799999999999994</v>
      </c>
      <c r="C292" s="179">
        <v>3272.1</v>
      </c>
    </row>
    <row r="293" spans="1:3" x14ac:dyDescent="0.35">
      <c r="A293" s="178" t="s">
        <v>466</v>
      </c>
      <c r="B293" s="126">
        <v>9.67</v>
      </c>
      <c r="C293" s="179">
        <v>3087.85</v>
      </c>
    </row>
    <row r="294" spans="1:3" x14ac:dyDescent="0.35">
      <c r="A294" s="178" t="s">
        <v>467</v>
      </c>
      <c r="B294" s="126">
        <v>9.67</v>
      </c>
      <c r="C294" s="179">
        <v>4109.75</v>
      </c>
    </row>
    <row r="295" spans="1:3" x14ac:dyDescent="0.35">
      <c r="A295" s="178" t="s">
        <v>468</v>
      </c>
      <c r="B295" s="126">
        <v>9.66</v>
      </c>
      <c r="C295" s="179">
        <v>3615.15</v>
      </c>
    </row>
    <row r="296" spans="1:3" x14ac:dyDescent="0.35">
      <c r="A296" s="178" t="s">
        <v>469</v>
      </c>
      <c r="B296" s="126">
        <v>9.65</v>
      </c>
      <c r="C296" s="179">
        <v>2892.7</v>
      </c>
    </row>
    <row r="297" spans="1:3" x14ac:dyDescent="0.35">
      <c r="A297" s="178" t="s">
        <v>470</v>
      </c>
      <c r="B297" s="126">
        <v>9.57</v>
      </c>
      <c r="C297" s="179">
        <v>3536.69</v>
      </c>
    </row>
    <row r="298" spans="1:3" x14ac:dyDescent="0.35">
      <c r="A298" s="178" t="s">
        <v>471</v>
      </c>
      <c r="B298" s="126">
        <v>9.5399999999999991</v>
      </c>
      <c r="C298" s="179">
        <v>3242.2</v>
      </c>
    </row>
    <row r="299" spans="1:3" x14ac:dyDescent="0.35">
      <c r="A299" s="178" t="s">
        <v>472</v>
      </c>
      <c r="B299" s="126">
        <v>9.48</v>
      </c>
      <c r="C299" s="179">
        <v>2566.44</v>
      </c>
    </row>
    <row r="300" spans="1:3" x14ac:dyDescent="0.35">
      <c r="A300" s="178" t="s">
        <v>473</v>
      </c>
      <c r="B300" s="126">
        <v>9.4700000000000006</v>
      </c>
      <c r="C300" s="179">
        <v>2583.35</v>
      </c>
    </row>
    <row r="301" spans="1:3" x14ac:dyDescent="0.35">
      <c r="A301" s="178" t="s">
        <v>474</v>
      </c>
      <c r="B301" s="126">
        <v>9.27</v>
      </c>
      <c r="C301" s="179">
        <v>3059.9</v>
      </c>
    </row>
    <row r="302" spans="1:3" x14ac:dyDescent="0.35">
      <c r="A302" s="178" t="s">
        <v>475</v>
      </c>
      <c r="B302" s="126">
        <v>9.16</v>
      </c>
      <c r="C302" s="179">
        <v>3255.5</v>
      </c>
    </row>
    <row r="303" spans="1:3" x14ac:dyDescent="0.35">
      <c r="A303" s="178" t="s">
        <v>476</v>
      </c>
      <c r="B303" s="126">
        <v>8.9499999999999993</v>
      </c>
      <c r="C303" s="179">
        <v>3266.75</v>
      </c>
    </row>
    <row r="304" spans="1:3" x14ac:dyDescent="0.35">
      <c r="A304" s="178" t="s">
        <v>477</v>
      </c>
      <c r="B304" s="126">
        <v>8.93</v>
      </c>
      <c r="C304" s="179">
        <v>2500.4</v>
      </c>
    </row>
    <row r="305" spans="1:3" x14ac:dyDescent="0.35">
      <c r="A305" s="178" t="s">
        <v>478</v>
      </c>
      <c r="B305" s="126">
        <v>8.92</v>
      </c>
      <c r="C305" s="179">
        <v>-1573.6</v>
      </c>
    </row>
    <row r="306" spans="1:3" x14ac:dyDescent="0.35">
      <c r="A306" s="178" t="s">
        <v>479</v>
      </c>
      <c r="B306" s="126">
        <v>8.9</v>
      </c>
      <c r="C306" s="179">
        <v>3819.6</v>
      </c>
    </row>
    <row r="307" spans="1:3" x14ac:dyDescent="0.35">
      <c r="A307" s="178" t="s">
        <v>480</v>
      </c>
      <c r="B307" s="126">
        <v>8.84</v>
      </c>
      <c r="C307" s="179">
        <v>3801.2</v>
      </c>
    </row>
    <row r="308" spans="1:3" x14ac:dyDescent="0.35">
      <c r="A308" s="178" t="s">
        <v>481</v>
      </c>
      <c r="B308" s="126">
        <v>8.82</v>
      </c>
      <c r="C308" s="179">
        <v>2815.2</v>
      </c>
    </row>
    <row r="309" spans="1:3" x14ac:dyDescent="0.35">
      <c r="A309" s="178" t="s">
        <v>482</v>
      </c>
      <c r="B309" s="126">
        <v>8.81</v>
      </c>
      <c r="C309" s="179">
        <v>2984.3</v>
      </c>
    </row>
    <row r="310" spans="1:3" x14ac:dyDescent="0.35">
      <c r="A310" s="178" t="s">
        <v>483</v>
      </c>
      <c r="B310" s="126">
        <v>8.7799999999999994</v>
      </c>
      <c r="C310" s="179">
        <v>2595.1</v>
      </c>
    </row>
    <row r="311" spans="1:3" x14ac:dyDescent="0.35">
      <c r="A311" s="178" t="s">
        <v>484</v>
      </c>
      <c r="B311" s="126">
        <v>8.77</v>
      </c>
      <c r="C311" s="179">
        <v>4177.25</v>
      </c>
    </row>
    <row r="312" spans="1:3" x14ac:dyDescent="0.35">
      <c r="A312" s="178" t="s">
        <v>485</v>
      </c>
      <c r="B312" s="126">
        <v>8.69</v>
      </c>
      <c r="C312" s="179">
        <v>3513.44</v>
      </c>
    </row>
    <row r="313" spans="1:3" x14ac:dyDescent="0.35">
      <c r="A313" s="178" t="s">
        <v>486</v>
      </c>
      <c r="B313" s="126">
        <v>8.6</v>
      </c>
      <c r="C313" s="179">
        <v>2967</v>
      </c>
    </row>
    <row r="314" spans="1:3" x14ac:dyDescent="0.35">
      <c r="A314" s="178" t="s">
        <v>487</v>
      </c>
      <c r="B314" s="126">
        <v>8.43</v>
      </c>
      <c r="C314" s="179">
        <v>3142.05</v>
      </c>
    </row>
    <row r="315" spans="1:3" x14ac:dyDescent="0.35">
      <c r="A315" s="178" t="s">
        <v>488</v>
      </c>
      <c r="B315" s="126">
        <v>8.35</v>
      </c>
      <c r="C315" s="179">
        <v>3132.5</v>
      </c>
    </row>
    <row r="316" spans="1:3" x14ac:dyDescent="0.35">
      <c r="A316" s="178" t="s">
        <v>489</v>
      </c>
      <c r="B316" s="126">
        <v>8.25</v>
      </c>
      <c r="C316" s="179">
        <v>3052.5</v>
      </c>
    </row>
    <row r="317" spans="1:3" x14ac:dyDescent="0.35">
      <c r="A317" s="178" t="s">
        <v>490</v>
      </c>
      <c r="B317" s="126">
        <v>8.2200000000000006</v>
      </c>
      <c r="C317" s="179">
        <v>3288</v>
      </c>
    </row>
    <row r="318" spans="1:3" x14ac:dyDescent="0.35">
      <c r="A318" s="178" t="s">
        <v>491</v>
      </c>
      <c r="B318" s="126">
        <v>8.17</v>
      </c>
      <c r="C318" s="179">
        <v>3390.55</v>
      </c>
    </row>
    <row r="319" spans="1:3" x14ac:dyDescent="0.35">
      <c r="A319" s="178" t="s">
        <v>492</v>
      </c>
      <c r="B319" s="126">
        <v>8.15</v>
      </c>
      <c r="C319" s="179">
        <v>3015.5</v>
      </c>
    </row>
    <row r="320" spans="1:3" x14ac:dyDescent="0.35">
      <c r="A320" s="178" t="s">
        <v>493</v>
      </c>
      <c r="B320" s="126">
        <v>8.14</v>
      </c>
      <c r="C320" s="179">
        <v>2523.4</v>
      </c>
    </row>
    <row r="321" spans="1:3" x14ac:dyDescent="0.35">
      <c r="A321" s="178" t="s">
        <v>494</v>
      </c>
      <c r="B321" s="126">
        <v>8.11</v>
      </c>
      <c r="C321" s="179">
        <v>2595.1999999999998</v>
      </c>
    </row>
    <row r="322" spans="1:3" x14ac:dyDescent="0.35">
      <c r="A322" s="178" t="s">
        <v>495</v>
      </c>
      <c r="B322" s="126">
        <v>8.02</v>
      </c>
      <c r="C322" s="179">
        <v>2887.2</v>
      </c>
    </row>
    <row r="323" spans="1:3" x14ac:dyDescent="0.35">
      <c r="A323" s="178" t="s">
        <v>496</v>
      </c>
      <c r="B323" s="126">
        <v>7.97</v>
      </c>
      <c r="C323" s="179">
        <v>2311.3000000000002</v>
      </c>
    </row>
    <row r="324" spans="1:3" x14ac:dyDescent="0.35">
      <c r="A324" s="178" t="s">
        <v>497</v>
      </c>
      <c r="B324" s="126">
        <v>7.93</v>
      </c>
      <c r="C324" s="179">
        <v>2283.0500000000002</v>
      </c>
    </row>
    <row r="325" spans="1:3" x14ac:dyDescent="0.35">
      <c r="A325" s="178" t="s">
        <v>498</v>
      </c>
      <c r="B325" s="126">
        <v>7.92</v>
      </c>
      <c r="C325" s="179">
        <v>2703.2</v>
      </c>
    </row>
    <row r="326" spans="1:3" x14ac:dyDescent="0.35">
      <c r="A326" s="178" t="s">
        <v>499</v>
      </c>
      <c r="B326" s="126">
        <v>7.77</v>
      </c>
      <c r="C326" s="179">
        <v>2821.8</v>
      </c>
    </row>
    <row r="327" spans="1:3" x14ac:dyDescent="0.35">
      <c r="A327" s="178" t="s">
        <v>500</v>
      </c>
      <c r="B327" s="126">
        <v>7.74</v>
      </c>
      <c r="C327" s="179">
        <v>2167.1999999999998</v>
      </c>
    </row>
    <row r="328" spans="1:3" x14ac:dyDescent="0.35">
      <c r="A328" s="178" t="s">
        <v>501</v>
      </c>
      <c r="B328" s="126">
        <v>7.71</v>
      </c>
      <c r="C328" s="179">
        <v>2599.8000000000002</v>
      </c>
    </row>
    <row r="329" spans="1:3" x14ac:dyDescent="0.35">
      <c r="A329" s="178" t="s">
        <v>502</v>
      </c>
      <c r="B329" s="126">
        <v>7.7</v>
      </c>
      <c r="C329" s="179">
        <v>2194.5</v>
      </c>
    </row>
    <row r="330" spans="1:3" x14ac:dyDescent="0.35">
      <c r="A330" s="178" t="s">
        <v>503</v>
      </c>
      <c r="B330" s="126">
        <v>7.67</v>
      </c>
      <c r="C330" s="179">
        <v>3221.4</v>
      </c>
    </row>
    <row r="331" spans="1:3" x14ac:dyDescent="0.35">
      <c r="A331" s="178" t="s">
        <v>504</v>
      </c>
      <c r="B331" s="126">
        <v>7.66</v>
      </c>
      <c r="C331" s="179">
        <v>3179.75</v>
      </c>
    </row>
    <row r="332" spans="1:3" x14ac:dyDescent="0.35">
      <c r="A332" s="178" t="s">
        <v>505</v>
      </c>
      <c r="B332" s="126">
        <v>7.62</v>
      </c>
      <c r="C332" s="179">
        <v>2781.3</v>
      </c>
    </row>
    <row r="333" spans="1:3" x14ac:dyDescent="0.35">
      <c r="A333" s="178" t="s">
        <v>506</v>
      </c>
      <c r="B333" s="126">
        <v>7.61</v>
      </c>
      <c r="C333" s="179">
        <v>2005.4</v>
      </c>
    </row>
    <row r="334" spans="1:3" x14ac:dyDescent="0.35">
      <c r="A334" s="178" t="s">
        <v>507</v>
      </c>
      <c r="B334" s="126">
        <v>7.58</v>
      </c>
      <c r="C334" s="179">
        <v>2690.9</v>
      </c>
    </row>
    <row r="335" spans="1:3" x14ac:dyDescent="0.35">
      <c r="A335" s="178" t="s">
        <v>508</v>
      </c>
      <c r="B335" s="126">
        <v>7.56</v>
      </c>
      <c r="C335" s="179">
        <v>2224</v>
      </c>
    </row>
    <row r="336" spans="1:3" x14ac:dyDescent="0.35">
      <c r="A336" s="178" t="s">
        <v>509</v>
      </c>
      <c r="B336" s="126">
        <v>7.54</v>
      </c>
      <c r="C336" s="179">
        <v>3242.2</v>
      </c>
    </row>
    <row r="337" spans="1:3" x14ac:dyDescent="0.35">
      <c r="A337" s="178" t="s">
        <v>510</v>
      </c>
      <c r="B337" s="126">
        <v>7.52</v>
      </c>
      <c r="C337" s="179">
        <v>2970.4</v>
      </c>
    </row>
    <row r="338" spans="1:3" x14ac:dyDescent="0.35">
      <c r="A338" s="178" t="s">
        <v>511</v>
      </c>
      <c r="B338" s="126">
        <v>7.46</v>
      </c>
      <c r="C338" s="179">
        <v>3043</v>
      </c>
    </row>
    <row r="339" spans="1:3" x14ac:dyDescent="0.35">
      <c r="A339" s="178" t="s">
        <v>512</v>
      </c>
      <c r="B339" s="126">
        <v>7.19</v>
      </c>
      <c r="C339" s="179">
        <v>4646.25</v>
      </c>
    </row>
    <row r="340" spans="1:3" x14ac:dyDescent="0.35">
      <c r="A340" s="178" t="s">
        <v>513</v>
      </c>
      <c r="B340" s="126">
        <v>7.16</v>
      </c>
      <c r="C340" s="179">
        <v>2460.9</v>
      </c>
    </row>
    <row r="341" spans="1:3" x14ac:dyDescent="0.35">
      <c r="A341" s="178" t="s">
        <v>514</v>
      </c>
      <c r="B341" s="126">
        <v>7.1</v>
      </c>
      <c r="C341" s="179">
        <v>2691.55</v>
      </c>
    </row>
    <row r="342" spans="1:3" x14ac:dyDescent="0.35">
      <c r="A342" s="178" t="s">
        <v>515</v>
      </c>
      <c r="B342" s="126">
        <v>6.81</v>
      </c>
      <c r="C342" s="179">
        <v>2420.4499999999998</v>
      </c>
    </row>
    <row r="343" spans="1:3" x14ac:dyDescent="0.35">
      <c r="A343" s="178" t="s">
        <v>516</v>
      </c>
      <c r="B343" s="126">
        <v>6.78</v>
      </c>
      <c r="C343" s="179">
        <v>2538.9</v>
      </c>
    </row>
    <row r="344" spans="1:3" x14ac:dyDescent="0.35">
      <c r="A344" s="178" t="s">
        <v>517</v>
      </c>
      <c r="B344" s="126">
        <v>6.74</v>
      </c>
      <c r="C344" s="179">
        <v>2898.2</v>
      </c>
    </row>
    <row r="345" spans="1:3" x14ac:dyDescent="0.35">
      <c r="A345" s="178" t="s">
        <v>518</v>
      </c>
      <c r="B345" s="126">
        <v>6.71</v>
      </c>
      <c r="C345" s="179">
        <v>2784.65</v>
      </c>
    </row>
    <row r="346" spans="1:3" x14ac:dyDescent="0.35">
      <c r="A346" s="178" t="s">
        <v>519</v>
      </c>
      <c r="B346" s="126">
        <v>6.64</v>
      </c>
      <c r="C346" s="179">
        <v>2290.8000000000002</v>
      </c>
    </row>
    <row r="347" spans="1:3" x14ac:dyDescent="0.35">
      <c r="A347" s="178" t="s">
        <v>520</v>
      </c>
      <c r="B347" s="126">
        <v>6.64</v>
      </c>
      <c r="C347" s="179">
        <v>2390.4</v>
      </c>
    </row>
    <row r="348" spans="1:3" x14ac:dyDescent="0.35">
      <c r="A348" s="178" t="s">
        <v>521</v>
      </c>
      <c r="B348" s="126">
        <v>6.63</v>
      </c>
      <c r="C348" s="179">
        <v>2571.2399999999998</v>
      </c>
    </row>
    <row r="349" spans="1:3" x14ac:dyDescent="0.35">
      <c r="A349" s="178" t="s">
        <v>522</v>
      </c>
      <c r="B349" s="126">
        <v>6.59</v>
      </c>
      <c r="C349" s="179">
        <v>2774.95</v>
      </c>
    </row>
    <row r="350" spans="1:3" x14ac:dyDescent="0.35">
      <c r="A350" s="178" t="s">
        <v>523</v>
      </c>
      <c r="B350" s="126">
        <v>6.39</v>
      </c>
      <c r="C350" s="179">
        <v>2250.1999999999998</v>
      </c>
    </row>
    <row r="351" spans="1:3" x14ac:dyDescent="0.35">
      <c r="A351" s="178" t="s">
        <v>524</v>
      </c>
      <c r="B351" s="126">
        <v>6.25</v>
      </c>
      <c r="C351" s="179">
        <v>2593.75</v>
      </c>
    </row>
    <row r="352" spans="1:3" x14ac:dyDescent="0.35">
      <c r="A352" s="178" t="s">
        <v>525</v>
      </c>
      <c r="B352" s="126">
        <v>6.23</v>
      </c>
      <c r="C352" s="179">
        <v>2616.6</v>
      </c>
    </row>
    <row r="353" spans="1:3" x14ac:dyDescent="0.35">
      <c r="A353" s="178" t="s">
        <v>526</v>
      </c>
      <c r="B353" s="126">
        <v>6.2</v>
      </c>
      <c r="C353" s="179">
        <v>6383</v>
      </c>
    </row>
    <row r="354" spans="1:3" x14ac:dyDescent="0.35">
      <c r="A354" s="178" t="s">
        <v>527</v>
      </c>
      <c r="B354" s="126">
        <v>6.08</v>
      </c>
      <c r="C354" s="179">
        <v>2614.4</v>
      </c>
    </row>
    <row r="355" spans="1:3" x14ac:dyDescent="0.35">
      <c r="A355" s="178" t="s">
        <v>528</v>
      </c>
      <c r="B355" s="126">
        <v>6</v>
      </c>
      <c r="C355" s="179">
        <v>2580</v>
      </c>
    </row>
    <row r="356" spans="1:3" x14ac:dyDescent="0.35">
      <c r="A356" s="178" t="s">
        <v>529</v>
      </c>
      <c r="B356" s="126">
        <v>5.94</v>
      </c>
      <c r="C356" s="179">
        <v>2347.1999999999998</v>
      </c>
    </row>
    <row r="357" spans="1:3" x14ac:dyDescent="0.35">
      <c r="A357" s="178" t="s">
        <v>530</v>
      </c>
      <c r="B357" s="126">
        <v>5.86</v>
      </c>
      <c r="C357" s="179">
        <v>2081.7800000000002</v>
      </c>
    </row>
    <row r="358" spans="1:3" x14ac:dyDescent="0.35">
      <c r="A358" s="178" t="s">
        <v>531</v>
      </c>
      <c r="B358" s="126">
        <v>5.86</v>
      </c>
      <c r="C358" s="179">
        <v>5970.9</v>
      </c>
    </row>
    <row r="359" spans="1:3" x14ac:dyDescent="0.35">
      <c r="A359" s="178" t="s">
        <v>532</v>
      </c>
      <c r="B359" s="126">
        <v>5.75</v>
      </c>
      <c r="C359" s="179">
        <v>2443.75</v>
      </c>
    </row>
    <row r="360" spans="1:3" x14ac:dyDescent="0.35">
      <c r="A360" s="178" t="s">
        <v>533</v>
      </c>
      <c r="B360" s="126">
        <v>5.72</v>
      </c>
      <c r="C360" s="179">
        <v>2278</v>
      </c>
    </row>
    <row r="361" spans="1:3" x14ac:dyDescent="0.35">
      <c r="A361" s="178" t="s">
        <v>534</v>
      </c>
      <c r="B361" s="126">
        <v>5.68</v>
      </c>
      <c r="C361" s="179">
        <v>1931.2</v>
      </c>
    </row>
    <row r="362" spans="1:3" x14ac:dyDescent="0.35">
      <c r="A362" s="178" t="s">
        <v>535</v>
      </c>
      <c r="B362" s="126">
        <v>5.65</v>
      </c>
      <c r="C362" s="179">
        <v>2344.75</v>
      </c>
    </row>
    <row r="363" spans="1:3" x14ac:dyDescent="0.35">
      <c r="A363" s="178" t="s">
        <v>536</v>
      </c>
      <c r="B363" s="126">
        <v>5.6</v>
      </c>
      <c r="C363" s="179">
        <v>1861.39</v>
      </c>
    </row>
    <row r="364" spans="1:3" x14ac:dyDescent="0.35">
      <c r="A364" s="178" t="s">
        <v>537</v>
      </c>
      <c r="B364" s="126">
        <v>5.57</v>
      </c>
      <c r="C364" s="179">
        <v>2255.85</v>
      </c>
    </row>
    <row r="365" spans="1:3" x14ac:dyDescent="0.35">
      <c r="A365" s="178" t="s">
        <v>538</v>
      </c>
      <c r="B365" s="126">
        <v>5.54</v>
      </c>
      <c r="C365" s="179">
        <v>2201.15</v>
      </c>
    </row>
    <row r="366" spans="1:3" x14ac:dyDescent="0.35">
      <c r="A366" s="178" t="s">
        <v>539</v>
      </c>
      <c r="B366" s="126">
        <v>5.52</v>
      </c>
      <c r="C366" s="179">
        <v>2373.6</v>
      </c>
    </row>
    <row r="367" spans="1:3" x14ac:dyDescent="0.35">
      <c r="A367" s="178" t="s">
        <v>540</v>
      </c>
      <c r="B367" s="126">
        <v>5.51</v>
      </c>
      <c r="C367" s="179">
        <v>1421.55</v>
      </c>
    </row>
    <row r="368" spans="1:3" x14ac:dyDescent="0.35">
      <c r="A368" s="178" t="s">
        <v>541</v>
      </c>
      <c r="B368" s="126">
        <v>5.48</v>
      </c>
      <c r="C368" s="179">
        <v>1762.8</v>
      </c>
    </row>
    <row r="369" spans="1:3" x14ac:dyDescent="0.35">
      <c r="A369" s="178" t="s">
        <v>542</v>
      </c>
      <c r="B369" s="126">
        <v>5.43</v>
      </c>
      <c r="C369" s="179">
        <v>2187.85</v>
      </c>
    </row>
    <row r="370" spans="1:3" x14ac:dyDescent="0.35">
      <c r="A370" s="178" t="s">
        <v>543</v>
      </c>
      <c r="B370" s="126">
        <v>5.4</v>
      </c>
      <c r="C370" s="179">
        <v>1518</v>
      </c>
    </row>
    <row r="371" spans="1:3" x14ac:dyDescent="0.35">
      <c r="A371" s="178" t="s">
        <v>544</v>
      </c>
      <c r="B371" s="126">
        <v>5.32</v>
      </c>
      <c r="C371" s="179">
        <v>1306.4000000000001</v>
      </c>
    </row>
    <row r="372" spans="1:3" x14ac:dyDescent="0.35">
      <c r="A372" s="178" t="s">
        <v>545</v>
      </c>
      <c r="B372" s="126">
        <v>5.3</v>
      </c>
      <c r="C372" s="179">
        <v>1483.5</v>
      </c>
    </row>
    <row r="373" spans="1:3" x14ac:dyDescent="0.35">
      <c r="A373" s="178" t="s">
        <v>546</v>
      </c>
      <c r="B373" s="126">
        <v>5.16</v>
      </c>
      <c r="C373" s="179">
        <v>1393.2</v>
      </c>
    </row>
    <row r="374" spans="1:3" x14ac:dyDescent="0.35">
      <c r="A374" s="178" t="s">
        <v>547</v>
      </c>
      <c r="B374" s="126">
        <v>5.13</v>
      </c>
      <c r="C374" s="179">
        <v>2205.9</v>
      </c>
    </row>
    <row r="375" spans="1:3" x14ac:dyDescent="0.35">
      <c r="A375" s="178" t="s">
        <v>548</v>
      </c>
      <c r="B375" s="126">
        <v>5.12</v>
      </c>
      <c r="C375" s="179">
        <v>1503.8</v>
      </c>
    </row>
    <row r="376" spans="1:3" x14ac:dyDescent="0.35">
      <c r="A376" s="178" t="s">
        <v>549</v>
      </c>
      <c r="B376" s="126">
        <v>5.12</v>
      </c>
      <c r="C376" s="179">
        <v>1771.6</v>
      </c>
    </row>
    <row r="377" spans="1:3" x14ac:dyDescent="0.35">
      <c r="A377" s="178" t="s">
        <v>550</v>
      </c>
      <c r="B377" s="126">
        <v>5.09</v>
      </c>
      <c r="C377" s="179">
        <v>1165.6099999999999</v>
      </c>
    </row>
    <row r="378" spans="1:3" x14ac:dyDescent="0.35">
      <c r="A378" s="178" t="s">
        <v>551</v>
      </c>
      <c r="B378" s="126">
        <v>5.08</v>
      </c>
      <c r="C378" s="179">
        <v>2006.6</v>
      </c>
    </row>
    <row r="379" spans="1:3" x14ac:dyDescent="0.35">
      <c r="A379" s="178" t="s">
        <v>552</v>
      </c>
      <c r="B379" s="126">
        <v>5.04</v>
      </c>
      <c r="C379" s="179">
        <v>1822</v>
      </c>
    </row>
    <row r="380" spans="1:3" x14ac:dyDescent="0.35">
      <c r="A380" s="178" t="s">
        <v>553</v>
      </c>
      <c r="B380" s="126">
        <v>5</v>
      </c>
      <c r="C380" s="179">
        <v>1930</v>
      </c>
    </row>
    <row r="381" spans="1:3" x14ac:dyDescent="0.35">
      <c r="A381" s="178" t="s">
        <v>554</v>
      </c>
      <c r="B381" s="126">
        <v>5</v>
      </c>
      <c r="C381" s="179">
        <v>2500</v>
      </c>
    </row>
    <row r="382" spans="1:3" x14ac:dyDescent="0.35">
      <c r="A382" s="178" t="s">
        <v>555</v>
      </c>
      <c r="B382" s="126">
        <v>4.99</v>
      </c>
      <c r="C382" s="179">
        <v>2145.6999999999998</v>
      </c>
    </row>
    <row r="383" spans="1:3" x14ac:dyDescent="0.35">
      <c r="A383" s="178" t="s">
        <v>556</v>
      </c>
      <c r="B383" s="126">
        <v>4.99</v>
      </c>
      <c r="C383" s="179">
        <v>1456.35</v>
      </c>
    </row>
    <row r="384" spans="1:3" x14ac:dyDescent="0.35">
      <c r="A384" s="178" t="s">
        <v>557</v>
      </c>
      <c r="B384" s="126">
        <v>4.9000000000000004</v>
      </c>
      <c r="C384" s="179">
        <v>1837.5</v>
      </c>
    </row>
    <row r="385" spans="1:3" x14ac:dyDescent="0.35">
      <c r="A385" s="178" t="s">
        <v>558</v>
      </c>
      <c r="B385" s="126">
        <v>4.8</v>
      </c>
      <c r="C385" s="179">
        <v>1840</v>
      </c>
    </row>
    <row r="386" spans="1:3" x14ac:dyDescent="0.35">
      <c r="A386" s="178" t="s">
        <v>559</v>
      </c>
      <c r="B386" s="126">
        <v>4.79</v>
      </c>
      <c r="C386" s="179">
        <v>1735.15</v>
      </c>
    </row>
    <row r="387" spans="1:3" x14ac:dyDescent="0.35">
      <c r="A387" s="178" t="s">
        <v>560</v>
      </c>
      <c r="B387" s="126">
        <v>4.7699999999999996</v>
      </c>
      <c r="C387" s="179">
        <v>1979.55</v>
      </c>
    </row>
    <row r="388" spans="1:3" x14ac:dyDescent="0.35">
      <c r="A388" s="178" t="s">
        <v>561</v>
      </c>
      <c r="B388" s="126">
        <v>4.76</v>
      </c>
      <c r="C388" s="179">
        <v>1356.6</v>
      </c>
    </row>
    <row r="389" spans="1:3" x14ac:dyDescent="0.35">
      <c r="A389" s="178" t="s">
        <v>562</v>
      </c>
      <c r="B389" s="126">
        <v>4.66</v>
      </c>
      <c r="C389" s="179">
        <v>1607.8</v>
      </c>
    </row>
    <row r="390" spans="1:3" x14ac:dyDescent="0.35">
      <c r="A390" s="178" t="s">
        <v>563</v>
      </c>
      <c r="B390" s="126">
        <v>4.5999999999999996</v>
      </c>
      <c r="C390" s="179">
        <v>1150</v>
      </c>
    </row>
    <row r="391" spans="1:3" x14ac:dyDescent="0.35">
      <c r="A391" s="178" t="s">
        <v>564</v>
      </c>
      <c r="B391" s="126">
        <v>4.5599999999999996</v>
      </c>
      <c r="C391" s="179">
        <v>1938</v>
      </c>
    </row>
    <row r="392" spans="1:3" x14ac:dyDescent="0.35">
      <c r="A392" s="178" t="s">
        <v>565</v>
      </c>
      <c r="B392" s="126">
        <v>4.49</v>
      </c>
      <c r="C392" s="179">
        <v>1638.85</v>
      </c>
    </row>
    <row r="393" spans="1:3" x14ac:dyDescent="0.35">
      <c r="A393" s="178" t="s">
        <v>566</v>
      </c>
      <c r="B393" s="126">
        <v>4.45</v>
      </c>
      <c r="C393" s="179">
        <v>1602</v>
      </c>
    </row>
    <row r="394" spans="1:3" x14ac:dyDescent="0.35">
      <c r="A394" s="178" t="s">
        <v>567</v>
      </c>
      <c r="B394" s="126">
        <v>4.4000000000000004</v>
      </c>
      <c r="C394" s="179">
        <v>1577</v>
      </c>
    </row>
    <row r="395" spans="1:3" x14ac:dyDescent="0.35">
      <c r="A395" s="178" t="s">
        <v>568</v>
      </c>
      <c r="B395" s="126">
        <v>4.4000000000000004</v>
      </c>
      <c r="C395" s="179">
        <v>1760</v>
      </c>
    </row>
    <row r="396" spans="1:3" x14ac:dyDescent="0.35">
      <c r="A396" s="178" t="s">
        <v>569</v>
      </c>
      <c r="B396" s="126">
        <v>4.33</v>
      </c>
      <c r="C396" s="179">
        <v>1840.25</v>
      </c>
    </row>
    <row r="397" spans="1:3" x14ac:dyDescent="0.35">
      <c r="A397" s="178" t="s">
        <v>570</v>
      </c>
      <c r="B397" s="126">
        <v>4.29</v>
      </c>
      <c r="C397" s="179">
        <v>1420.55</v>
      </c>
    </row>
    <row r="398" spans="1:3" x14ac:dyDescent="0.35">
      <c r="A398" s="178" t="s">
        <v>571</v>
      </c>
      <c r="B398" s="126">
        <v>4.29</v>
      </c>
      <c r="C398" s="179">
        <v>1136.8499999999999</v>
      </c>
    </row>
    <row r="399" spans="1:3" x14ac:dyDescent="0.35">
      <c r="A399" s="178" t="s">
        <v>572</v>
      </c>
      <c r="B399" s="126">
        <v>4.2699999999999996</v>
      </c>
      <c r="C399" s="179">
        <v>1051.95</v>
      </c>
    </row>
    <row r="400" spans="1:3" x14ac:dyDescent="0.35">
      <c r="A400" s="178" t="s">
        <v>573</v>
      </c>
      <c r="B400" s="126">
        <v>4.2399999999999904</v>
      </c>
      <c r="C400" s="179">
        <v>1857.8</v>
      </c>
    </row>
    <row r="401" spans="1:3" x14ac:dyDescent="0.35">
      <c r="A401" s="178" t="s">
        <v>574</v>
      </c>
      <c r="B401" s="126">
        <v>4.22</v>
      </c>
      <c r="C401" s="179">
        <v>1540.3</v>
      </c>
    </row>
    <row r="402" spans="1:3" x14ac:dyDescent="0.35">
      <c r="A402" s="178" t="s">
        <v>575</v>
      </c>
      <c r="B402" s="126">
        <v>4.1900000000000004</v>
      </c>
      <c r="C402" s="179">
        <v>1466.5</v>
      </c>
    </row>
    <row r="403" spans="1:3" x14ac:dyDescent="0.35">
      <c r="A403" s="178" t="s">
        <v>576</v>
      </c>
      <c r="B403" s="126">
        <v>4.1900000000000004</v>
      </c>
      <c r="C403" s="179">
        <v>1110.3499999999999</v>
      </c>
    </row>
    <row r="404" spans="1:3" x14ac:dyDescent="0.35">
      <c r="A404" s="178" t="s">
        <v>577</v>
      </c>
      <c r="B404" s="126">
        <v>4.17</v>
      </c>
      <c r="C404" s="179">
        <v>1626.3</v>
      </c>
    </row>
    <row r="405" spans="1:3" x14ac:dyDescent="0.35">
      <c r="A405" s="178" t="s">
        <v>578</v>
      </c>
      <c r="B405" s="126">
        <v>4.1500000000000004</v>
      </c>
      <c r="C405" s="179">
        <v>1502.5</v>
      </c>
    </row>
    <row r="406" spans="1:3" x14ac:dyDescent="0.35">
      <c r="A406" s="178" t="s">
        <v>579</v>
      </c>
      <c r="B406" s="126">
        <v>4.13</v>
      </c>
      <c r="C406" s="179">
        <v>1094.45</v>
      </c>
    </row>
    <row r="407" spans="1:3" x14ac:dyDescent="0.35">
      <c r="A407" s="178" t="s">
        <v>580</v>
      </c>
      <c r="B407" s="126">
        <v>4.12</v>
      </c>
      <c r="C407" s="179">
        <v>1400.8</v>
      </c>
    </row>
    <row r="408" spans="1:3" x14ac:dyDescent="0.35">
      <c r="A408" s="178" t="s">
        <v>581</v>
      </c>
      <c r="B408" s="126">
        <v>4.0999999999999996</v>
      </c>
      <c r="C408" s="179">
        <v>1316.85</v>
      </c>
    </row>
    <row r="409" spans="1:3" x14ac:dyDescent="0.35">
      <c r="A409" s="178" t="s">
        <v>582</v>
      </c>
      <c r="B409" s="126">
        <v>4.09</v>
      </c>
      <c r="C409" s="179">
        <v>1867.35</v>
      </c>
    </row>
    <row r="410" spans="1:3" x14ac:dyDescent="0.35">
      <c r="A410" s="178" t="s">
        <v>583</v>
      </c>
      <c r="B410" s="126">
        <v>4.07</v>
      </c>
      <c r="C410" s="179">
        <v>1750.1</v>
      </c>
    </row>
    <row r="411" spans="1:3" x14ac:dyDescent="0.35">
      <c r="A411" s="178" t="s">
        <v>584</v>
      </c>
      <c r="B411" s="126">
        <v>4.07</v>
      </c>
      <c r="C411" s="179">
        <v>1274.05</v>
      </c>
    </row>
    <row r="412" spans="1:3" x14ac:dyDescent="0.35">
      <c r="A412" s="178" t="s">
        <v>585</v>
      </c>
      <c r="B412" s="126">
        <v>4.05</v>
      </c>
      <c r="C412" s="179">
        <v>1346.5</v>
      </c>
    </row>
    <row r="413" spans="1:3" x14ac:dyDescent="0.35">
      <c r="A413" s="178" t="s">
        <v>586</v>
      </c>
      <c r="B413" s="126">
        <v>4.04</v>
      </c>
      <c r="C413" s="179">
        <v>1494.8</v>
      </c>
    </row>
    <row r="414" spans="1:3" x14ac:dyDescent="0.35">
      <c r="A414" s="178" t="s">
        <v>587</v>
      </c>
      <c r="B414" s="126">
        <v>4.03</v>
      </c>
      <c r="C414" s="179">
        <v>1209</v>
      </c>
    </row>
    <row r="415" spans="1:3" x14ac:dyDescent="0.35">
      <c r="A415" s="178" t="s">
        <v>588</v>
      </c>
      <c r="B415" s="126">
        <v>4.0199999999999996</v>
      </c>
      <c r="C415" s="179">
        <v>1427.1</v>
      </c>
    </row>
    <row r="416" spans="1:3" x14ac:dyDescent="0.35">
      <c r="A416" s="178" t="s">
        <v>589</v>
      </c>
      <c r="B416" s="126">
        <v>3.96</v>
      </c>
      <c r="C416" s="179">
        <v>1465.2</v>
      </c>
    </row>
    <row r="417" spans="1:3" x14ac:dyDescent="0.35">
      <c r="A417" s="178" t="s">
        <v>590</v>
      </c>
      <c r="B417" s="126">
        <v>3.96</v>
      </c>
      <c r="C417" s="179">
        <v>1880.49</v>
      </c>
    </row>
    <row r="418" spans="1:3" x14ac:dyDescent="0.35">
      <c r="A418" s="178" t="s">
        <v>591</v>
      </c>
      <c r="B418" s="126">
        <v>3.95</v>
      </c>
      <c r="C418" s="179">
        <v>1520.75</v>
      </c>
    </row>
    <row r="419" spans="1:3" x14ac:dyDescent="0.35">
      <c r="A419" s="178" t="s">
        <v>592</v>
      </c>
      <c r="B419" s="126">
        <v>3.95</v>
      </c>
      <c r="C419" s="179">
        <v>1639.25</v>
      </c>
    </row>
    <row r="420" spans="1:3" x14ac:dyDescent="0.35">
      <c r="A420" s="178" t="s">
        <v>593</v>
      </c>
      <c r="B420" s="126">
        <v>3.92</v>
      </c>
      <c r="C420" s="179">
        <v>1489.6</v>
      </c>
    </row>
    <row r="421" spans="1:3" x14ac:dyDescent="0.35">
      <c r="A421" s="178" t="s">
        <v>594</v>
      </c>
      <c r="B421" s="126">
        <v>3.91</v>
      </c>
      <c r="C421" s="179">
        <v>1583.55</v>
      </c>
    </row>
    <row r="422" spans="1:3" x14ac:dyDescent="0.35">
      <c r="A422" s="178" t="s">
        <v>595</v>
      </c>
      <c r="B422" s="126">
        <v>3.91</v>
      </c>
      <c r="C422" s="179">
        <v>1348.95</v>
      </c>
    </row>
    <row r="423" spans="1:3" x14ac:dyDescent="0.35">
      <c r="A423" s="178" t="s">
        <v>596</v>
      </c>
      <c r="B423" s="126">
        <v>3.89</v>
      </c>
      <c r="C423" s="179">
        <v>1089.2</v>
      </c>
    </row>
    <row r="424" spans="1:3" x14ac:dyDescent="0.35">
      <c r="A424" s="178" t="s">
        <v>597</v>
      </c>
      <c r="B424" s="126">
        <v>3.86</v>
      </c>
      <c r="C424" s="179">
        <v>1659.8</v>
      </c>
    </row>
    <row r="425" spans="1:3" x14ac:dyDescent="0.35">
      <c r="A425" s="178" t="s">
        <v>598</v>
      </c>
      <c r="B425" s="126">
        <v>3.85</v>
      </c>
      <c r="C425" s="179">
        <v>1655.5</v>
      </c>
    </row>
    <row r="426" spans="1:3" x14ac:dyDescent="0.35">
      <c r="A426" s="178" t="s">
        <v>599</v>
      </c>
      <c r="B426" s="126">
        <v>3.85</v>
      </c>
      <c r="C426" s="179">
        <v>1655.5</v>
      </c>
    </row>
    <row r="427" spans="1:3" x14ac:dyDescent="0.35">
      <c r="A427" s="178" t="s">
        <v>600</v>
      </c>
      <c r="B427" s="126">
        <v>3.83</v>
      </c>
      <c r="C427" s="179">
        <v>1187.3</v>
      </c>
    </row>
    <row r="428" spans="1:3" x14ac:dyDescent="0.35">
      <c r="A428" s="178" t="s">
        <v>601</v>
      </c>
      <c r="B428" s="126">
        <v>3.82</v>
      </c>
      <c r="C428" s="179">
        <v>1546.8</v>
      </c>
    </row>
    <row r="429" spans="1:3" x14ac:dyDescent="0.35">
      <c r="A429" s="178" t="s">
        <v>602</v>
      </c>
      <c r="B429" s="126">
        <v>3.78</v>
      </c>
      <c r="C429" s="179">
        <v>1364.38</v>
      </c>
    </row>
    <row r="430" spans="1:3" x14ac:dyDescent="0.35">
      <c r="A430" s="178" t="s">
        <v>603</v>
      </c>
      <c r="B430" s="126">
        <v>3.78</v>
      </c>
      <c r="C430" s="179">
        <v>6615</v>
      </c>
    </row>
    <row r="431" spans="1:3" x14ac:dyDescent="0.35">
      <c r="A431" s="178" t="s">
        <v>604</v>
      </c>
      <c r="B431" s="126">
        <v>3.78</v>
      </c>
      <c r="C431" s="179">
        <v>1266.3</v>
      </c>
    </row>
    <row r="432" spans="1:3" x14ac:dyDescent="0.35">
      <c r="A432" s="178" t="s">
        <v>605</v>
      </c>
      <c r="B432" s="126">
        <v>3.75</v>
      </c>
      <c r="C432" s="179">
        <v>1350</v>
      </c>
    </row>
    <row r="433" spans="1:3" x14ac:dyDescent="0.35">
      <c r="A433" s="178" t="s">
        <v>606</v>
      </c>
      <c r="B433" s="126">
        <v>3.73</v>
      </c>
      <c r="C433" s="179">
        <v>1361.45</v>
      </c>
    </row>
    <row r="434" spans="1:3" x14ac:dyDescent="0.35">
      <c r="A434" s="178" t="s">
        <v>607</v>
      </c>
      <c r="B434" s="126">
        <v>3.72</v>
      </c>
      <c r="C434" s="179">
        <v>1320.6</v>
      </c>
    </row>
    <row r="435" spans="1:3" x14ac:dyDescent="0.35">
      <c r="A435" s="178" t="s">
        <v>608</v>
      </c>
      <c r="B435" s="126">
        <v>3.71</v>
      </c>
      <c r="C435" s="179">
        <v>1576.75</v>
      </c>
    </row>
    <row r="436" spans="1:3" x14ac:dyDescent="0.35">
      <c r="A436" s="178" t="s">
        <v>609</v>
      </c>
      <c r="B436" s="126">
        <v>3.7</v>
      </c>
      <c r="C436" s="179">
        <v>1461.5</v>
      </c>
    </row>
    <row r="437" spans="1:3" x14ac:dyDescent="0.35">
      <c r="A437" s="178" t="s">
        <v>610</v>
      </c>
      <c r="B437" s="126">
        <v>3.68</v>
      </c>
      <c r="C437" s="179">
        <v>1030.4000000000001</v>
      </c>
    </row>
    <row r="438" spans="1:3" x14ac:dyDescent="0.35">
      <c r="A438" s="178" t="s">
        <v>611</v>
      </c>
      <c r="B438" s="126">
        <v>3.68</v>
      </c>
      <c r="C438" s="179">
        <v>1368.25</v>
      </c>
    </row>
    <row r="439" spans="1:3" x14ac:dyDescent="0.35">
      <c r="A439" s="178" t="s">
        <v>612</v>
      </c>
      <c r="B439" s="126">
        <v>3.65</v>
      </c>
      <c r="C439" s="179">
        <v>1441.75</v>
      </c>
    </row>
    <row r="440" spans="1:3" x14ac:dyDescent="0.35">
      <c r="A440" s="178" t="s">
        <v>613</v>
      </c>
      <c r="B440" s="126">
        <v>3.6</v>
      </c>
      <c r="C440" s="179">
        <v>1116</v>
      </c>
    </row>
    <row r="441" spans="1:3" x14ac:dyDescent="0.35">
      <c r="A441" s="178" t="s">
        <v>614</v>
      </c>
      <c r="B441" s="126">
        <v>3.59</v>
      </c>
      <c r="C441" s="179">
        <v>1453.95</v>
      </c>
    </row>
    <row r="442" spans="1:3" x14ac:dyDescent="0.35">
      <c r="A442" s="178" t="s">
        <v>615</v>
      </c>
      <c r="B442" s="126">
        <v>3.58</v>
      </c>
      <c r="C442" s="179">
        <v>1396.2</v>
      </c>
    </row>
    <row r="443" spans="1:3" x14ac:dyDescent="0.35">
      <c r="A443" s="178" t="s">
        <v>616</v>
      </c>
      <c r="B443" s="126">
        <v>3.58</v>
      </c>
      <c r="C443" s="179">
        <v>1270.9000000000001</v>
      </c>
    </row>
    <row r="444" spans="1:3" x14ac:dyDescent="0.35">
      <c r="A444" s="178" t="s">
        <v>617</v>
      </c>
      <c r="B444" s="126">
        <v>3.53</v>
      </c>
      <c r="C444" s="179">
        <v>1429.65</v>
      </c>
    </row>
    <row r="445" spans="1:3" x14ac:dyDescent="0.35">
      <c r="A445" s="178" t="s">
        <v>618</v>
      </c>
      <c r="B445" s="126">
        <v>3.47</v>
      </c>
      <c r="C445" s="179">
        <v>1179.8</v>
      </c>
    </row>
    <row r="446" spans="1:3" x14ac:dyDescent="0.35">
      <c r="A446" s="178" t="s">
        <v>619</v>
      </c>
      <c r="B446" s="126">
        <v>3.45</v>
      </c>
      <c r="C446" s="179">
        <v>1362.75</v>
      </c>
    </row>
    <row r="447" spans="1:3" x14ac:dyDescent="0.35">
      <c r="A447" s="178" t="s">
        <v>620</v>
      </c>
      <c r="B447" s="126">
        <v>3.44</v>
      </c>
      <c r="C447" s="179">
        <v>1376</v>
      </c>
    </row>
    <row r="448" spans="1:3" x14ac:dyDescent="0.35">
      <c r="A448" s="178" t="s">
        <v>621</v>
      </c>
      <c r="B448" s="126">
        <v>3.42</v>
      </c>
      <c r="C448" s="179">
        <v>1265.4000000000001</v>
      </c>
    </row>
    <row r="449" spans="1:3" x14ac:dyDescent="0.35">
      <c r="A449" s="178" t="s">
        <v>622</v>
      </c>
      <c r="B449" s="126">
        <v>3.35</v>
      </c>
      <c r="C449" s="179">
        <v>1390.25</v>
      </c>
    </row>
    <row r="450" spans="1:3" x14ac:dyDescent="0.35">
      <c r="A450" s="178" t="s">
        <v>623</v>
      </c>
      <c r="B450" s="126">
        <v>3.33</v>
      </c>
      <c r="C450" s="179">
        <v>1215.45</v>
      </c>
    </row>
    <row r="451" spans="1:3" x14ac:dyDescent="0.35">
      <c r="A451" s="178" t="s">
        <v>624</v>
      </c>
      <c r="B451" s="126">
        <v>3.2</v>
      </c>
      <c r="C451" s="179">
        <v>752</v>
      </c>
    </row>
    <row r="452" spans="1:3" x14ac:dyDescent="0.35">
      <c r="A452" s="178" t="s">
        <v>625</v>
      </c>
      <c r="B452" s="126">
        <v>3.2</v>
      </c>
      <c r="C452" s="179">
        <v>1152</v>
      </c>
    </row>
    <row r="453" spans="1:3" x14ac:dyDescent="0.35">
      <c r="A453" s="178" t="s">
        <v>626</v>
      </c>
      <c r="B453" s="126">
        <v>3.18</v>
      </c>
      <c r="C453" s="179">
        <v>1367.4</v>
      </c>
    </row>
    <row r="454" spans="1:3" x14ac:dyDescent="0.35">
      <c r="A454" s="178" t="s">
        <v>627</v>
      </c>
      <c r="B454" s="126">
        <v>3.16</v>
      </c>
      <c r="C454" s="179">
        <v>932.2</v>
      </c>
    </row>
    <row r="455" spans="1:3" x14ac:dyDescent="0.35">
      <c r="A455" s="178" t="s">
        <v>628</v>
      </c>
      <c r="B455" s="126">
        <v>3.01</v>
      </c>
      <c r="C455" s="179">
        <v>1098.6500000000001</v>
      </c>
    </row>
    <row r="456" spans="1:3" x14ac:dyDescent="0.35">
      <c r="A456" s="178" t="s">
        <v>629</v>
      </c>
      <c r="B456" s="126">
        <v>3</v>
      </c>
      <c r="C456" s="179">
        <v>510</v>
      </c>
    </row>
    <row r="457" spans="1:3" x14ac:dyDescent="0.35">
      <c r="A457" s="178" t="s">
        <v>630</v>
      </c>
      <c r="B457" s="126">
        <v>3</v>
      </c>
      <c r="C457" s="179">
        <v>1500</v>
      </c>
    </row>
    <row r="458" spans="1:3" x14ac:dyDescent="0.35">
      <c r="A458" s="178" t="s">
        <v>631</v>
      </c>
      <c r="B458" s="126">
        <v>3</v>
      </c>
      <c r="C458" s="179">
        <v>990</v>
      </c>
    </row>
    <row r="459" spans="1:3" x14ac:dyDescent="0.35">
      <c r="A459" s="178" t="s">
        <v>632</v>
      </c>
      <c r="B459" s="126">
        <v>2.98</v>
      </c>
      <c r="C459" s="179">
        <v>1177.0999999999999</v>
      </c>
    </row>
    <row r="460" spans="1:3" x14ac:dyDescent="0.35">
      <c r="A460" s="178" t="s">
        <v>633</v>
      </c>
      <c r="B460" s="126">
        <v>2.92</v>
      </c>
      <c r="C460" s="179">
        <v>1096.8399999999999</v>
      </c>
    </row>
    <row r="461" spans="1:3" x14ac:dyDescent="0.35">
      <c r="A461" s="178" t="s">
        <v>634</v>
      </c>
      <c r="B461" s="126">
        <v>2.79</v>
      </c>
      <c r="C461" s="179">
        <v>689.91</v>
      </c>
    </row>
    <row r="462" spans="1:3" x14ac:dyDescent="0.35">
      <c r="A462" s="178" t="s">
        <v>635</v>
      </c>
      <c r="B462" s="126">
        <v>2.68</v>
      </c>
      <c r="C462" s="179">
        <v>722.4</v>
      </c>
    </row>
    <row r="463" spans="1:3" x14ac:dyDescent="0.35">
      <c r="A463" s="178" t="s">
        <v>636</v>
      </c>
      <c r="B463" s="126">
        <v>2.6</v>
      </c>
      <c r="C463" s="179">
        <v>424</v>
      </c>
    </row>
    <row r="464" spans="1:3" x14ac:dyDescent="0.35">
      <c r="A464" s="178" t="s">
        <v>637</v>
      </c>
      <c r="B464" s="126">
        <v>2.5</v>
      </c>
      <c r="C464" s="179">
        <v>712.5</v>
      </c>
    </row>
    <row r="465" spans="1:3" x14ac:dyDescent="0.35">
      <c r="A465" s="178" t="s">
        <v>638</v>
      </c>
      <c r="B465" s="126">
        <v>2.36</v>
      </c>
      <c r="C465" s="179">
        <v>715.8</v>
      </c>
    </row>
    <row r="466" spans="1:3" x14ac:dyDescent="0.35">
      <c r="A466" s="178" t="s">
        <v>639</v>
      </c>
      <c r="B466" s="126">
        <v>2.33</v>
      </c>
      <c r="C466" s="179">
        <v>538.65</v>
      </c>
    </row>
    <row r="467" spans="1:3" x14ac:dyDescent="0.35">
      <c r="A467" s="178" t="s">
        <v>640</v>
      </c>
      <c r="B467" s="126">
        <v>2.2599999999999998</v>
      </c>
      <c r="C467" s="179">
        <v>983.1</v>
      </c>
    </row>
    <row r="468" spans="1:3" x14ac:dyDescent="0.35">
      <c r="A468" s="178" t="s">
        <v>641</v>
      </c>
      <c r="B468" s="126">
        <v>2.2000000000000002</v>
      </c>
      <c r="C468" s="179">
        <v>946</v>
      </c>
    </row>
    <row r="469" spans="1:3" x14ac:dyDescent="0.35">
      <c r="A469" s="178" t="s">
        <v>642</v>
      </c>
      <c r="B469" s="126">
        <v>2.16</v>
      </c>
      <c r="C469" s="179">
        <v>896.4</v>
      </c>
    </row>
    <row r="470" spans="1:3" x14ac:dyDescent="0.35">
      <c r="A470" s="178" t="s">
        <v>643</v>
      </c>
      <c r="B470" s="126">
        <v>2.14</v>
      </c>
      <c r="C470" s="179">
        <v>909.5</v>
      </c>
    </row>
    <row r="471" spans="1:3" x14ac:dyDescent="0.35">
      <c r="A471" s="178" t="s">
        <v>644</v>
      </c>
      <c r="B471" s="126">
        <v>2.08</v>
      </c>
      <c r="C471" s="179">
        <v>842.4</v>
      </c>
    </row>
    <row r="472" spans="1:3" x14ac:dyDescent="0.35">
      <c r="A472" s="178" t="s">
        <v>645</v>
      </c>
      <c r="B472" s="126">
        <v>2.06</v>
      </c>
      <c r="C472" s="179">
        <v>875.5</v>
      </c>
    </row>
    <row r="473" spans="1:3" x14ac:dyDescent="0.35">
      <c r="A473" s="178" t="s">
        <v>646</v>
      </c>
      <c r="B473" s="126">
        <v>2.06</v>
      </c>
      <c r="C473" s="179">
        <v>515</v>
      </c>
    </row>
    <row r="474" spans="1:3" x14ac:dyDescent="0.35">
      <c r="A474" s="178" t="s">
        <v>647</v>
      </c>
      <c r="B474" s="126">
        <v>2.04</v>
      </c>
      <c r="C474" s="179">
        <v>856.8</v>
      </c>
    </row>
    <row r="475" spans="1:3" x14ac:dyDescent="0.35">
      <c r="A475" s="178" t="s">
        <v>648</v>
      </c>
      <c r="B475" s="126">
        <v>2.04</v>
      </c>
      <c r="C475" s="179">
        <v>856.8</v>
      </c>
    </row>
    <row r="476" spans="1:3" x14ac:dyDescent="0.35">
      <c r="A476" s="178" t="s">
        <v>649</v>
      </c>
      <c r="B476" s="126">
        <v>2.0299999999999998</v>
      </c>
      <c r="C476" s="179">
        <v>862.75</v>
      </c>
    </row>
    <row r="477" spans="1:3" x14ac:dyDescent="0.35">
      <c r="A477" s="178" t="s">
        <v>650</v>
      </c>
      <c r="B477" s="126">
        <v>2.0299999999999998</v>
      </c>
      <c r="C477" s="179">
        <v>872.9</v>
      </c>
    </row>
    <row r="478" spans="1:3" x14ac:dyDescent="0.35">
      <c r="A478" s="178" t="s">
        <v>651</v>
      </c>
      <c r="B478" s="126">
        <v>2</v>
      </c>
      <c r="C478" s="179">
        <v>1000</v>
      </c>
    </row>
    <row r="479" spans="1:3" x14ac:dyDescent="0.35">
      <c r="A479" s="178" t="s">
        <v>652</v>
      </c>
      <c r="B479" s="126">
        <v>2</v>
      </c>
      <c r="C479" s="179">
        <v>2000</v>
      </c>
    </row>
    <row r="480" spans="1:3" x14ac:dyDescent="0.35">
      <c r="A480" s="178" t="s">
        <v>653</v>
      </c>
      <c r="B480" s="126">
        <v>2</v>
      </c>
      <c r="C480" s="179">
        <v>180</v>
      </c>
    </row>
    <row r="481" spans="1:3" x14ac:dyDescent="0.35">
      <c r="A481" s="178" t="s">
        <v>654</v>
      </c>
      <c r="B481" s="126">
        <v>1.97</v>
      </c>
      <c r="C481" s="179">
        <v>847.1</v>
      </c>
    </row>
    <row r="482" spans="1:3" x14ac:dyDescent="0.35">
      <c r="A482" s="178" t="s">
        <v>655</v>
      </c>
      <c r="B482" s="126">
        <v>1.97</v>
      </c>
      <c r="C482" s="179">
        <v>837.25</v>
      </c>
    </row>
    <row r="483" spans="1:3" x14ac:dyDescent="0.35">
      <c r="A483" s="178" t="s">
        <v>656</v>
      </c>
      <c r="B483" s="126">
        <v>1.97</v>
      </c>
      <c r="C483" s="179">
        <v>680.96</v>
      </c>
    </row>
    <row r="484" spans="1:3" x14ac:dyDescent="0.35">
      <c r="A484" s="178" t="s">
        <v>657</v>
      </c>
      <c r="B484" s="126">
        <v>1.95</v>
      </c>
      <c r="C484" s="179">
        <v>828.75</v>
      </c>
    </row>
    <row r="485" spans="1:3" x14ac:dyDescent="0.35">
      <c r="A485" s="178" t="s">
        <v>658</v>
      </c>
      <c r="B485" s="126">
        <v>1.94</v>
      </c>
      <c r="C485" s="179">
        <v>659.6</v>
      </c>
    </row>
    <row r="486" spans="1:3" x14ac:dyDescent="0.35">
      <c r="A486" s="178" t="s">
        <v>659</v>
      </c>
      <c r="B486" s="126">
        <v>1.93</v>
      </c>
      <c r="C486" s="179">
        <v>868.5</v>
      </c>
    </row>
    <row r="487" spans="1:3" x14ac:dyDescent="0.35">
      <c r="A487" s="178" t="s">
        <v>660</v>
      </c>
      <c r="B487" s="126">
        <v>1.82</v>
      </c>
      <c r="C487" s="179">
        <v>764.4</v>
      </c>
    </row>
    <row r="488" spans="1:3" x14ac:dyDescent="0.35">
      <c r="A488" s="178" t="s">
        <v>661</v>
      </c>
      <c r="B488" s="126">
        <v>1.8</v>
      </c>
      <c r="C488" s="179">
        <v>513</v>
      </c>
    </row>
    <row r="489" spans="1:3" x14ac:dyDescent="0.35">
      <c r="A489" s="178" t="s">
        <v>662</v>
      </c>
      <c r="B489" s="126">
        <v>1.8</v>
      </c>
      <c r="C489" s="179">
        <v>747</v>
      </c>
    </row>
    <row r="490" spans="1:3" x14ac:dyDescent="0.35">
      <c r="A490" s="178" t="s">
        <v>663</v>
      </c>
      <c r="B490" s="126">
        <v>1.78</v>
      </c>
      <c r="C490" s="179">
        <v>756.5</v>
      </c>
    </row>
    <row r="491" spans="1:3" x14ac:dyDescent="0.35">
      <c r="A491" s="178" t="s">
        <v>664</v>
      </c>
      <c r="B491" s="126">
        <v>1.72</v>
      </c>
      <c r="C491" s="179">
        <v>679.4</v>
      </c>
    </row>
    <row r="492" spans="1:3" x14ac:dyDescent="0.35">
      <c r="A492" s="178" t="s">
        <v>665</v>
      </c>
      <c r="B492" s="126">
        <v>1.71</v>
      </c>
      <c r="C492" s="179">
        <v>735.3</v>
      </c>
    </row>
    <row r="493" spans="1:3" x14ac:dyDescent="0.35">
      <c r="A493" s="178" t="s">
        <v>666</v>
      </c>
      <c r="B493" s="126">
        <v>1.68</v>
      </c>
      <c r="C493" s="179">
        <v>688.8</v>
      </c>
    </row>
    <row r="494" spans="1:3" x14ac:dyDescent="0.35">
      <c r="A494" s="178" t="s">
        <v>667</v>
      </c>
      <c r="B494" s="126">
        <v>1.68</v>
      </c>
      <c r="C494" s="179">
        <v>722.4</v>
      </c>
    </row>
    <row r="495" spans="1:3" x14ac:dyDescent="0.35">
      <c r="A495" s="178" t="s">
        <v>668</v>
      </c>
      <c r="B495" s="126">
        <v>1.65</v>
      </c>
      <c r="C495" s="179">
        <v>693</v>
      </c>
    </row>
    <row r="496" spans="1:3" x14ac:dyDescent="0.35">
      <c r="A496" s="178" t="s">
        <v>669</v>
      </c>
      <c r="B496" s="126">
        <v>1.64</v>
      </c>
      <c r="C496" s="179">
        <v>705.2</v>
      </c>
    </row>
    <row r="497" spans="1:3" x14ac:dyDescent="0.35">
      <c r="A497" s="178" t="s">
        <v>670</v>
      </c>
      <c r="B497" s="126">
        <v>1.59</v>
      </c>
      <c r="C497" s="179">
        <v>691.65</v>
      </c>
    </row>
    <row r="498" spans="1:3" x14ac:dyDescent="0.35">
      <c r="A498" s="178" t="s">
        <v>671</v>
      </c>
      <c r="B498" s="126">
        <v>1.55</v>
      </c>
      <c r="C498" s="179">
        <v>666.5</v>
      </c>
    </row>
    <row r="499" spans="1:3" x14ac:dyDescent="0.35">
      <c r="A499" s="178" t="s">
        <v>672</v>
      </c>
      <c r="B499" s="126">
        <v>1.42</v>
      </c>
      <c r="C499" s="179">
        <v>596.4</v>
      </c>
    </row>
    <row r="500" spans="1:3" x14ac:dyDescent="0.35">
      <c r="A500" s="178" t="s">
        <v>673</v>
      </c>
      <c r="B500" s="126">
        <v>1.3</v>
      </c>
      <c r="C500" s="179">
        <v>939.4</v>
      </c>
    </row>
    <row r="501" spans="1:3" x14ac:dyDescent="0.35">
      <c r="A501" s="178" t="s">
        <v>674</v>
      </c>
      <c r="B501" s="126">
        <v>1</v>
      </c>
      <c r="C501" s="179">
        <v>2300</v>
      </c>
    </row>
    <row r="502" spans="1:3" x14ac:dyDescent="0.35">
      <c r="A502" s="178" t="s">
        <v>675</v>
      </c>
      <c r="B502" s="126">
        <v>1</v>
      </c>
      <c r="C502" s="179">
        <v>4500</v>
      </c>
    </row>
    <row r="503" spans="1:3" x14ac:dyDescent="0.35">
      <c r="A503" s="178" t="s">
        <v>676</v>
      </c>
      <c r="B503" s="126">
        <v>1</v>
      </c>
      <c r="C503" s="179">
        <v>5000</v>
      </c>
    </row>
    <row r="504" spans="1:3" x14ac:dyDescent="0.35">
      <c r="A504" s="178" t="s">
        <v>677</v>
      </c>
      <c r="B504" s="126">
        <v>1</v>
      </c>
      <c r="C504" s="179">
        <v>195</v>
      </c>
    </row>
    <row r="505" spans="1:3" x14ac:dyDescent="0.35">
      <c r="A505" s="178" t="s">
        <v>678</v>
      </c>
      <c r="B505" s="126">
        <v>1</v>
      </c>
      <c r="C505" s="179">
        <v>500</v>
      </c>
    </row>
    <row r="506" spans="1:3" x14ac:dyDescent="0.35">
      <c r="A506" s="178" t="s">
        <v>679</v>
      </c>
      <c r="B506" s="126">
        <v>1</v>
      </c>
      <c r="C506" s="179">
        <v>2950</v>
      </c>
    </row>
    <row r="507" spans="1:3" x14ac:dyDescent="0.35">
      <c r="A507" s="178" t="s">
        <v>680</v>
      </c>
      <c r="B507" s="126">
        <v>1</v>
      </c>
      <c r="C507" s="179">
        <v>0</v>
      </c>
    </row>
    <row r="508" spans="1:3" x14ac:dyDescent="0.35">
      <c r="A508" s="178" t="s">
        <v>681</v>
      </c>
      <c r="B508" s="126">
        <v>0</v>
      </c>
      <c r="C508" s="179">
        <v>0</v>
      </c>
    </row>
    <row r="509" spans="1:3" x14ac:dyDescent="0.35">
      <c r="A509" s="178" t="s">
        <v>682</v>
      </c>
      <c r="B509" s="126">
        <v>0</v>
      </c>
      <c r="C509" s="179">
        <v>0</v>
      </c>
    </row>
    <row r="510" spans="1:3" x14ac:dyDescent="0.35">
      <c r="A510" s="178" t="s">
        <v>683</v>
      </c>
      <c r="B510" s="126">
        <v>0</v>
      </c>
      <c r="C510" s="179">
        <v>0</v>
      </c>
    </row>
    <row r="511" spans="1:3" x14ac:dyDescent="0.35">
      <c r="A511" s="178" t="s">
        <v>684</v>
      </c>
      <c r="B511" s="126">
        <v>0</v>
      </c>
      <c r="C511" s="179">
        <v>0</v>
      </c>
    </row>
    <row r="512" spans="1:3" x14ac:dyDescent="0.35">
      <c r="A512" s="178" t="s">
        <v>685</v>
      </c>
      <c r="B512" s="126">
        <v>-1</v>
      </c>
      <c r="C512" s="179">
        <v>-450</v>
      </c>
    </row>
    <row r="513" spans="1:3" x14ac:dyDescent="0.35">
      <c r="A513" s="178" t="s">
        <v>686</v>
      </c>
      <c r="B513" s="126">
        <v>-1</v>
      </c>
      <c r="C513" s="179">
        <v>-330</v>
      </c>
    </row>
    <row r="514" spans="1:3" x14ac:dyDescent="0.35">
      <c r="A514" s="178" t="s">
        <v>687</v>
      </c>
      <c r="B514" s="126">
        <v>-1.81</v>
      </c>
      <c r="C514" s="179">
        <v>-778.3</v>
      </c>
    </row>
    <row r="515" spans="1:3" x14ac:dyDescent="0.35">
      <c r="A515" s="178" t="s">
        <v>688</v>
      </c>
      <c r="B515" s="126">
        <v>-2.66</v>
      </c>
      <c r="C515" s="179">
        <v>604.70000000000005</v>
      </c>
    </row>
    <row r="516" spans="1:3" x14ac:dyDescent="0.35">
      <c r="A516" s="178" t="s">
        <v>689</v>
      </c>
      <c r="B516" s="126">
        <v>-3.95</v>
      </c>
      <c r="C516" s="179">
        <v>-1165.25</v>
      </c>
    </row>
    <row r="517" spans="1:3" x14ac:dyDescent="0.35">
      <c r="A517" s="178" t="s">
        <v>690</v>
      </c>
      <c r="B517" s="126">
        <v>-4.2699999999999996</v>
      </c>
      <c r="C517" s="179">
        <v>-1216.95</v>
      </c>
    </row>
    <row r="518" spans="1:3" x14ac:dyDescent="0.35">
      <c r="A518" s="178" t="s">
        <v>691</v>
      </c>
      <c r="B518" s="126">
        <v>-4.66</v>
      </c>
      <c r="C518" s="179">
        <v>-1398</v>
      </c>
    </row>
    <row r="519" spans="1:3" x14ac:dyDescent="0.35">
      <c r="A519" s="178" t="s">
        <v>692</v>
      </c>
      <c r="B519" s="126">
        <v>-8.11</v>
      </c>
      <c r="C519" s="179">
        <v>-2546</v>
      </c>
    </row>
    <row r="520" spans="1:3" x14ac:dyDescent="0.35">
      <c r="A520" s="178" t="s">
        <v>693</v>
      </c>
      <c r="B520" s="126">
        <v>-10.4</v>
      </c>
      <c r="C520" s="179">
        <v>-2645.3</v>
      </c>
    </row>
    <row r="521" spans="1:3" x14ac:dyDescent="0.35">
      <c r="A521" s="178" t="s">
        <v>694</v>
      </c>
      <c r="B521" s="126">
        <v>-19.600000000000001</v>
      </c>
      <c r="C521" s="179">
        <v>-5390</v>
      </c>
    </row>
    <row r="522" spans="1:3" x14ac:dyDescent="0.35">
      <c r="A522" s="178" t="s">
        <v>695</v>
      </c>
      <c r="B522" s="126">
        <v>-20.5</v>
      </c>
      <c r="C522" s="179">
        <v>-7277.5</v>
      </c>
    </row>
    <row r="523" spans="1:3" x14ac:dyDescent="0.35">
      <c r="A523" s="178" t="s">
        <v>696</v>
      </c>
      <c r="B523" s="126">
        <v>-224.28</v>
      </c>
      <c r="C523" s="179">
        <v>-56070</v>
      </c>
    </row>
    <row r="524" spans="1:3" x14ac:dyDescent="0.35">
      <c r="A524" s="178" t="s">
        <v>93</v>
      </c>
      <c r="B524" s="126">
        <v>27579.91</v>
      </c>
      <c r="C524" s="179">
        <v>9325177.5800000299</v>
      </c>
    </row>
    <row r="525" spans="1:3" x14ac:dyDescent="0.35">
      <c r="A525" s="178"/>
    </row>
    <row r="526" spans="1:3" x14ac:dyDescent="0.35">
      <c r="A526" s="178"/>
    </row>
    <row r="527" spans="1:3" x14ac:dyDescent="0.35">
      <c r="A527" s="178"/>
    </row>
    <row r="528" spans="1:3" x14ac:dyDescent="0.35">
      <c r="A528" s="178"/>
    </row>
    <row r="529" spans="1:1" x14ac:dyDescent="0.35">
      <c r="A529" s="178"/>
    </row>
    <row r="530" spans="1:1" x14ac:dyDescent="0.35">
      <c r="A530" s="178"/>
    </row>
    <row r="531" spans="1:1" x14ac:dyDescent="0.35">
      <c r="A531" s="178"/>
    </row>
    <row r="532" spans="1:1" x14ac:dyDescent="0.35">
      <c r="A532" s="178"/>
    </row>
    <row r="533" spans="1:1" x14ac:dyDescent="0.35">
      <c r="A533" s="178"/>
    </row>
    <row r="534" spans="1:1" x14ac:dyDescent="0.35">
      <c r="A534" s="178"/>
    </row>
    <row r="535" spans="1:1" x14ac:dyDescent="0.35">
      <c r="A535" s="178"/>
    </row>
    <row r="536" spans="1:1" x14ac:dyDescent="0.35">
      <c r="A536" s="178"/>
    </row>
    <row r="537" spans="1:1" x14ac:dyDescent="0.35">
      <c r="A537" s="178"/>
    </row>
    <row r="538" spans="1:1" x14ac:dyDescent="0.35">
      <c r="A538" s="178"/>
    </row>
    <row r="539" spans="1:1" x14ac:dyDescent="0.35">
      <c r="A539" s="178"/>
    </row>
    <row r="540" spans="1:1" x14ac:dyDescent="0.35">
      <c r="A540" s="178"/>
    </row>
    <row r="541" spans="1:1" x14ac:dyDescent="0.35">
      <c r="A541" s="178"/>
    </row>
    <row r="542" spans="1:1" x14ac:dyDescent="0.35">
      <c r="A542" s="178"/>
    </row>
    <row r="543" spans="1:1" x14ac:dyDescent="0.35">
      <c r="A543" s="178"/>
    </row>
    <row r="544" spans="1:1" x14ac:dyDescent="0.35">
      <c r="A544" s="178"/>
    </row>
    <row r="545" spans="1:1" x14ac:dyDescent="0.35">
      <c r="A545" s="178"/>
    </row>
    <row r="546" spans="1:1" x14ac:dyDescent="0.35">
      <c r="A546" s="178"/>
    </row>
    <row r="547" spans="1:1" x14ac:dyDescent="0.35">
      <c r="A547" s="178"/>
    </row>
    <row r="548" spans="1:1" x14ac:dyDescent="0.35">
      <c r="A548" s="178"/>
    </row>
    <row r="549" spans="1:1" x14ac:dyDescent="0.35">
      <c r="A549" s="178"/>
    </row>
    <row r="550" spans="1:1" x14ac:dyDescent="0.35">
      <c r="A550" s="178"/>
    </row>
    <row r="551" spans="1:1" x14ac:dyDescent="0.35">
      <c r="A551" s="178"/>
    </row>
    <row r="552" spans="1:1" x14ac:dyDescent="0.35">
      <c r="A552" s="178"/>
    </row>
    <row r="553" spans="1:1" x14ac:dyDescent="0.35">
      <c r="A553" s="178"/>
    </row>
    <row r="554" spans="1:1" x14ac:dyDescent="0.35">
      <c r="A554" s="178"/>
    </row>
    <row r="555" spans="1:1" x14ac:dyDescent="0.35">
      <c r="A555" s="178"/>
    </row>
    <row r="556" spans="1:1" x14ac:dyDescent="0.35">
      <c r="A556" s="178"/>
    </row>
    <row r="557" spans="1:1" x14ac:dyDescent="0.35">
      <c r="A557" s="178"/>
    </row>
    <row r="558" spans="1:1" x14ac:dyDescent="0.35">
      <c r="A558" s="178"/>
    </row>
    <row r="559" spans="1:1" x14ac:dyDescent="0.35">
      <c r="A559" s="178"/>
    </row>
    <row r="560" spans="1:1" x14ac:dyDescent="0.35">
      <c r="A560" s="178"/>
    </row>
    <row r="561" spans="1:1" x14ac:dyDescent="0.35">
      <c r="A561" s="178"/>
    </row>
    <row r="562" spans="1:1" x14ac:dyDescent="0.35">
      <c r="A562" s="178"/>
    </row>
    <row r="563" spans="1:1" x14ac:dyDescent="0.35">
      <c r="A563" s="178"/>
    </row>
    <row r="564" spans="1:1" x14ac:dyDescent="0.35">
      <c r="A564" s="178"/>
    </row>
    <row r="565" spans="1:1" x14ac:dyDescent="0.35">
      <c r="A565" s="178"/>
    </row>
    <row r="566" spans="1:1" x14ac:dyDescent="0.35">
      <c r="A566" s="178"/>
    </row>
    <row r="567" spans="1:1" x14ac:dyDescent="0.35">
      <c r="A567" s="178"/>
    </row>
    <row r="568" spans="1:1" x14ac:dyDescent="0.35">
      <c r="A568" s="178"/>
    </row>
    <row r="569" spans="1:1" x14ac:dyDescent="0.35">
      <c r="A569" s="178"/>
    </row>
    <row r="570" spans="1:1" x14ac:dyDescent="0.35">
      <c r="A570" s="178"/>
    </row>
    <row r="571" spans="1:1" x14ac:dyDescent="0.35">
      <c r="A571" s="178"/>
    </row>
    <row r="572" spans="1:1" x14ac:dyDescent="0.35">
      <c r="A572" s="178"/>
    </row>
    <row r="573" spans="1:1" x14ac:dyDescent="0.35">
      <c r="A573" s="178"/>
    </row>
    <row r="574" spans="1:1" x14ac:dyDescent="0.35">
      <c r="A574" s="178"/>
    </row>
    <row r="575" spans="1:1" x14ac:dyDescent="0.35">
      <c r="A575" s="178"/>
    </row>
    <row r="576" spans="1:1" x14ac:dyDescent="0.35">
      <c r="A576" s="178"/>
    </row>
    <row r="577" spans="1:1" x14ac:dyDescent="0.35">
      <c r="A577" s="178"/>
    </row>
    <row r="578" spans="1:1" x14ac:dyDescent="0.35">
      <c r="A578" s="178"/>
    </row>
    <row r="579" spans="1:1" x14ac:dyDescent="0.35">
      <c r="A579" s="178"/>
    </row>
    <row r="580" spans="1:1" x14ac:dyDescent="0.35">
      <c r="A580" s="178"/>
    </row>
    <row r="581" spans="1:1" x14ac:dyDescent="0.35">
      <c r="A581" s="178"/>
    </row>
    <row r="582" spans="1:1" x14ac:dyDescent="0.35">
      <c r="A582" s="178"/>
    </row>
    <row r="583" spans="1:1" x14ac:dyDescent="0.35">
      <c r="A583" s="178"/>
    </row>
    <row r="584" spans="1:1" x14ac:dyDescent="0.35">
      <c r="A584" s="178"/>
    </row>
    <row r="585" spans="1:1" x14ac:dyDescent="0.35">
      <c r="A585" s="178"/>
    </row>
    <row r="586" spans="1:1" x14ac:dyDescent="0.35">
      <c r="A586" s="178"/>
    </row>
    <row r="587" spans="1:1" x14ac:dyDescent="0.35">
      <c r="A587" s="178"/>
    </row>
    <row r="588" spans="1:1" x14ac:dyDescent="0.35">
      <c r="A588" s="178"/>
    </row>
    <row r="589" spans="1:1" x14ac:dyDescent="0.35">
      <c r="A589" s="178"/>
    </row>
    <row r="590" spans="1:1" x14ac:dyDescent="0.35">
      <c r="A590" s="178"/>
    </row>
  </sheetData>
  <sortState xmlns:xlrd2="http://schemas.microsoft.com/office/spreadsheetml/2017/richdata2" ref="A4:C523">
    <sortCondition descending="1" ref="B4:B523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9"/>
  <sheetViews>
    <sheetView topLeftCell="A28" zoomScale="98" zoomScaleNormal="98" workbookViewId="0">
      <selection activeCell="D50" sqref="D50"/>
    </sheetView>
  </sheetViews>
  <sheetFormatPr defaultRowHeight="14.5" x14ac:dyDescent="0.35"/>
  <cols>
    <col min="1" max="1" width="47.7265625" customWidth="1"/>
    <col min="2" max="2" width="9.81640625" style="126" customWidth="1"/>
    <col min="3" max="3" width="10.81640625" style="179" customWidth="1"/>
    <col min="4" max="4" width="14.1796875" style="179" bestFit="1" customWidth="1"/>
  </cols>
  <sheetData>
    <row r="1" spans="1:4" x14ac:dyDescent="0.35">
      <c r="A1" s="178" t="s">
        <v>56</v>
      </c>
      <c r="B1"/>
    </row>
    <row r="2" spans="1:4" x14ac:dyDescent="0.35">
      <c r="A2" s="178" t="s">
        <v>110</v>
      </c>
      <c r="B2"/>
    </row>
    <row r="3" spans="1:4" x14ac:dyDescent="0.35">
      <c r="A3" s="178" t="s">
        <v>57</v>
      </c>
      <c r="B3" s="178" t="s">
        <v>57</v>
      </c>
      <c r="C3" s="180" t="s">
        <v>57</v>
      </c>
    </row>
    <row r="4" spans="1:4" x14ac:dyDescent="0.35">
      <c r="A4" s="178" t="s">
        <v>113</v>
      </c>
      <c r="B4" s="178" t="s">
        <v>58</v>
      </c>
      <c r="C4" s="180" t="s">
        <v>111</v>
      </c>
      <c r="D4" s="180" t="s">
        <v>112</v>
      </c>
    </row>
    <row r="5" spans="1:4" x14ac:dyDescent="0.35">
      <c r="A5" s="178"/>
      <c r="B5"/>
    </row>
    <row r="6" spans="1:4" x14ac:dyDescent="0.35">
      <c r="A6" s="178" t="s">
        <v>114</v>
      </c>
      <c r="B6">
        <v>380.41</v>
      </c>
      <c r="C6" s="179">
        <v>215</v>
      </c>
      <c r="D6" s="179">
        <v>81788.149999999994</v>
      </c>
    </row>
    <row r="7" spans="1:4" x14ac:dyDescent="0.35">
      <c r="A7" s="178" t="s">
        <v>115</v>
      </c>
      <c r="B7">
        <v>623.03</v>
      </c>
      <c r="C7" s="179">
        <v>215</v>
      </c>
      <c r="D7" s="179">
        <v>133951.45000000001</v>
      </c>
    </row>
    <row r="8" spans="1:4" x14ac:dyDescent="0.35">
      <c r="A8" s="178" t="s">
        <v>116</v>
      </c>
      <c r="B8">
        <v>357.4</v>
      </c>
      <c r="C8" s="179">
        <v>215</v>
      </c>
      <c r="D8" s="179">
        <v>76841</v>
      </c>
    </row>
    <row r="9" spans="1:4" x14ac:dyDescent="0.35">
      <c r="A9" s="178" t="s">
        <v>117</v>
      </c>
      <c r="B9">
        <v>2169.89</v>
      </c>
      <c r="C9" s="179">
        <v>192</v>
      </c>
      <c r="D9" s="179">
        <v>416618.88</v>
      </c>
    </row>
    <row r="10" spans="1:4" x14ac:dyDescent="0.35">
      <c r="A10" s="178" t="s">
        <v>118</v>
      </c>
      <c r="B10">
        <v>1388.61</v>
      </c>
      <c r="C10" s="179">
        <v>192</v>
      </c>
      <c r="D10" s="179">
        <v>266613.12</v>
      </c>
    </row>
    <row r="11" spans="1:4" x14ac:dyDescent="0.35">
      <c r="A11" s="178" t="s">
        <v>119</v>
      </c>
      <c r="B11">
        <v>685.75</v>
      </c>
      <c r="C11" s="179">
        <v>192</v>
      </c>
      <c r="D11" s="179">
        <v>131664</v>
      </c>
    </row>
    <row r="12" spans="1:4" x14ac:dyDescent="0.35">
      <c r="A12" s="178" t="s">
        <v>120</v>
      </c>
      <c r="B12">
        <v>576.16999999999996</v>
      </c>
      <c r="C12" s="179">
        <v>254</v>
      </c>
      <c r="D12" s="179">
        <v>146347.18</v>
      </c>
    </row>
    <row r="13" spans="1:4" x14ac:dyDescent="0.35">
      <c r="A13" s="178" t="s">
        <v>121</v>
      </c>
      <c r="B13">
        <v>438.05</v>
      </c>
      <c r="C13" s="179">
        <v>254</v>
      </c>
      <c r="D13" s="179">
        <v>111264.7</v>
      </c>
    </row>
    <row r="14" spans="1:4" x14ac:dyDescent="0.35">
      <c r="A14" s="178" t="s">
        <v>122</v>
      </c>
      <c r="B14">
        <v>643.75</v>
      </c>
      <c r="C14" s="179">
        <v>278</v>
      </c>
      <c r="D14" s="179">
        <v>178962.5</v>
      </c>
    </row>
    <row r="15" spans="1:4" x14ac:dyDescent="0.35">
      <c r="A15" s="178" t="s">
        <v>123</v>
      </c>
      <c r="B15">
        <v>514.34</v>
      </c>
      <c r="C15" s="179">
        <v>278</v>
      </c>
      <c r="D15" s="179">
        <v>142986.51999999999</v>
      </c>
    </row>
    <row r="16" spans="1:4" x14ac:dyDescent="0.35">
      <c r="A16" s="178" t="s">
        <v>124</v>
      </c>
      <c r="B16">
        <v>271.04000000000002</v>
      </c>
      <c r="C16" s="179">
        <v>278</v>
      </c>
      <c r="D16" s="179">
        <v>75349.119999999995</v>
      </c>
    </row>
    <row r="17" spans="1:4" x14ac:dyDescent="0.35">
      <c r="A17" s="178" t="s">
        <v>125</v>
      </c>
      <c r="B17">
        <v>540.15</v>
      </c>
      <c r="C17" s="179">
        <v>278</v>
      </c>
      <c r="D17" s="179">
        <v>150161.70000000001</v>
      </c>
    </row>
    <row r="18" spans="1:4" x14ac:dyDescent="0.35">
      <c r="A18" s="178" t="s">
        <v>126</v>
      </c>
      <c r="B18">
        <v>985.16</v>
      </c>
      <c r="C18" s="179">
        <v>215</v>
      </c>
      <c r="D18" s="179">
        <v>211809.4</v>
      </c>
    </row>
    <row r="19" spans="1:4" x14ac:dyDescent="0.35">
      <c r="A19" s="178" t="s">
        <v>127</v>
      </c>
      <c r="B19">
        <v>665.58</v>
      </c>
      <c r="C19" s="179">
        <v>270</v>
      </c>
      <c r="D19" s="179">
        <v>179706.6</v>
      </c>
    </row>
    <row r="20" spans="1:4" x14ac:dyDescent="0.35">
      <c r="A20" s="178" t="s">
        <v>128</v>
      </c>
      <c r="B20">
        <v>1283.5</v>
      </c>
      <c r="C20" s="179">
        <v>275</v>
      </c>
      <c r="D20" s="179">
        <v>352962.5</v>
      </c>
    </row>
    <row r="21" spans="1:4" x14ac:dyDescent="0.35">
      <c r="A21" s="178" t="s">
        <v>129</v>
      </c>
      <c r="B21">
        <v>678</v>
      </c>
      <c r="C21" s="179">
        <v>275</v>
      </c>
      <c r="D21" s="179">
        <v>186450</v>
      </c>
    </row>
    <row r="22" spans="1:4" x14ac:dyDescent="0.35">
      <c r="A22" s="178" t="s">
        <v>130</v>
      </c>
      <c r="B22">
        <v>607.66</v>
      </c>
      <c r="C22" s="179">
        <v>192</v>
      </c>
      <c r="D22" s="179">
        <v>116670.72</v>
      </c>
    </row>
    <row r="23" spans="1:4" x14ac:dyDescent="0.35">
      <c r="A23" s="178" t="s">
        <v>131</v>
      </c>
      <c r="B23">
        <v>2543.56</v>
      </c>
      <c r="C23" s="179">
        <v>192</v>
      </c>
      <c r="D23" s="179">
        <v>488363.52000000002</v>
      </c>
    </row>
    <row r="24" spans="1:4" x14ac:dyDescent="0.35">
      <c r="A24" s="178" t="s">
        <v>132</v>
      </c>
      <c r="B24">
        <v>678.44</v>
      </c>
      <c r="C24" s="179">
        <v>192</v>
      </c>
      <c r="D24" s="179">
        <v>130260.48</v>
      </c>
    </row>
    <row r="25" spans="1:4" x14ac:dyDescent="0.35">
      <c r="A25" s="178" t="s">
        <v>133</v>
      </c>
      <c r="B25">
        <v>627.53</v>
      </c>
      <c r="C25" s="179">
        <v>175</v>
      </c>
      <c r="D25" s="179">
        <v>109817.75</v>
      </c>
    </row>
    <row r="26" spans="1:4" x14ac:dyDescent="0.35">
      <c r="A26" s="178" t="s">
        <v>134</v>
      </c>
      <c r="B26">
        <v>345.24</v>
      </c>
      <c r="C26" s="179">
        <v>270</v>
      </c>
      <c r="D26" s="179">
        <v>93214.8</v>
      </c>
    </row>
    <row r="27" spans="1:4" x14ac:dyDescent="0.35">
      <c r="A27" s="178" t="s">
        <v>135</v>
      </c>
      <c r="B27">
        <v>247.37</v>
      </c>
      <c r="C27" s="179">
        <v>270</v>
      </c>
      <c r="D27" s="179">
        <f>+B27*C27</f>
        <v>66789.899999999994</v>
      </c>
    </row>
    <row r="28" spans="1:4" x14ac:dyDescent="0.35">
      <c r="A28" s="178" t="s">
        <v>136</v>
      </c>
      <c r="B28">
        <v>235.16</v>
      </c>
      <c r="C28" s="179">
        <v>305</v>
      </c>
      <c r="D28" s="179">
        <v>71723.8</v>
      </c>
    </row>
    <row r="29" spans="1:4" x14ac:dyDescent="0.35">
      <c r="A29" s="178" t="s">
        <v>137</v>
      </c>
      <c r="B29">
        <v>314.81</v>
      </c>
      <c r="C29" s="179">
        <v>305</v>
      </c>
      <c r="D29" s="179">
        <v>96017.05</v>
      </c>
    </row>
    <row r="30" spans="1:4" x14ac:dyDescent="0.35">
      <c r="A30" s="178" t="s">
        <v>138</v>
      </c>
      <c r="B30">
        <v>321.39999999999998</v>
      </c>
      <c r="C30" s="179">
        <v>305</v>
      </c>
      <c r="D30" s="179">
        <v>98027</v>
      </c>
    </row>
    <row r="31" spans="1:4" x14ac:dyDescent="0.35">
      <c r="A31" s="178" t="s">
        <v>139</v>
      </c>
      <c r="B31">
        <v>383.36</v>
      </c>
      <c r="C31" s="179">
        <v>235</v>
      </c>
      <c r="D31" s="179">
        <v>90089.600000000006</v>
      </c>
    </row>
    <row r="32" spans="1:4" x14ac:dyDescent="0.35">
      <c r="A32" s="178" t="s">
        <v>140</v>
      </c>
      <c r="B32">
        <v>355.33</v>
      </c>
      <c r="C32" s="179">
        <v>260</v>
      </c>
      <c r="D32" s="179">
        <v>92385.8</v>
      </c>
    </row>
    <row r="33" spans="1:4" x14ac:dyDescent="0.35">
      <c r="A33" s="178" t="s">
        <v>141</v>
      </c>
      <c r="B33">
        <v>414.96</v>
      </c>
      <c r="C33" s="179">
        <v>201</v>
      </c>
      <c r="D33" s="179">
        <v>83406.960000000006</v>
      </c>
    </row>
    <row r="34" spans="1:4" x14ac:dyDescent="0.35">
      <c r="A34" s="178" t="s">
        <v>142</v>
      </c>
      <c r="B34">
        <v>405.85</v>
      </c>
      <c r="C34" s="179">
        <v>201</v>
      </c>
      <c r="D34" s="179">
        <v>81575.850000000006</v>
      </c>
    </row>
    <row r="35" spans="1:4" x14ac:dyDescent="0.35">
      <c r="A35" s="178" t="s">
        <v>143</v>
      </c>
      <c r="B35">
        <v>273.29000000000002</v>
      </c>
      <c r="C35" s="179">
        <v>201</v>
      </c>
      <c r="D35" s="179">
        <v>54931.29</v>
      </c>
    </row>
    <row r="36" spans="1:4" x14ac:dyDescent="0.35">
      <c r="A36" s="178" t="s">
        <v>144</v>
      </c>
      <c r="B36">
        <v>271.27999999999997</v>
      </c>
      <c r="C36" s="179">
        <v>201</v>
      </c>
      <c r="D36" s="179">
        <v>54527.28</v>
      </c>
    </row>
    <row r="37" spans="1:4" x14ac:dyDescent="0.35">
      <c r="A37" s="178" t="s">
        <v>145</v>
      </c>
      <c r="B37">
        <v>260.70999999999998</v>
      </c>
      <c r="C37" s="179">
        <v>201</v>
      </c>
      <c r="D37" s="179">
        <v>52402.71</v>
      </c>
    </row>
    <row r="38" spans="1:4" x14ac:dyDescent="0.35">
      <c r="A38" s="178" t="s">
        <v>146</v>
      </c>
      <c r="B38">
        <v>268.62</v>
      </c>
      <c r="C38" s="179">
        <v>201</v>
      </c>
      <c r="D38" s="179">
        <v>53992.62</v>
      </c>
    </row>
    <row r="39" spans="1:4" x14ac:dyDescent="0.35">
      <c r="A39" s="178" t="s">
        <v>147</v>
      </c>
      <c r="B39">
        <v>273.12</v>
      </c>
      <c r="C39" s="179">
        <v>201</v>
      </c>
      <c r="D39" s="179">
        <v>54897.120000000003</v>
      </c>
    </row>
    <row r="40" spans="1:4" x14ac:dyDescent="0.35">
      <c r="A40" s="178" t="s">
        <v>148</v>
      </c>
      <c r="B40">
        <v>1573.84</v>
      </c>
      <c r="C40" s="179">
        <v>165</v>
      </c>
      <c r="D40" s="179">
        <v>259683.6</v>
      </c>
    </row>
    <row r="41" spans="1:4" x14ac:dyDescent="0.35">
      <c r="A41" s="178" t="s">
        <v>149</v>
      </c>
      <c r="B41">
        <v>1045.6099999999999</v>
      </c>
      <c r="C41" s="179">
        <v>165</v>
      </c>
      <c r="D41" s="179">
        <v>172525.65</v>
      </c>
    </row>
    <row r="42" spans="1:4" x14ac:dyDescent="0.35">
      <c r="A42" s="178" t="s">
        <v>150</v>
      </c>
      <c r="B42">
        <v>364.41</v>
      </c>
      <c r="C42" s="179">
        <v>270</v>
      </c>
      <c r="D42" s="179">
        <v>98390.7</v>
      </c>
    </row>
    <row r="43" spans="1:4" x14ac:dyDescent="0.35">
      <c r="A43" s="178" t="s">
        <v>151</v>
      </c>
      <c r="B43">
        <v>625.94000000000005</v>
      </c>
      <c r="C43" s="179">
        <v>192</v>
      </c>
      <c r="D43" s="179">
        <v>120180.48</v>
      </c>
    </row>
    <row r="44" spans="1:4" x14ac:dyDescent="0.35">
      <c r="A44" s="178" t="s">
        <v>152</v>
      </c>
      <c r="B44">
        <v>1373.16</v>
      </c>
      <c r="C44" s="179">
        <v>192</v>
      </c>
      <c r="D44" s="179">
        <v>263646.71999999997</v>
      </c>
    </row>
    <row r="45" spans="1:4" x14ac:dyDescent="0.35">
      <c r="A45" s="178" t="s">
        <v>153</v>
      </c>
      <c r="B45">
        <f>SUM(B6:B44)</f>
        <v>26011.48</v>
      </c>
      <c r="D45" s="179">
        <f>SUM(D6:D44)</f>
        <v>5646998.2199999997</v>
      </c>
    </row>
    <row r="46" spans="1:4" x14ac:dyDescent="0.35">
      <c r="A46" s="178" t="s">
        <v>93</v>
      </c>
      <c r="B46" s="178"/>
      <c r="C46" s="180"/>
    </row>
    <row r="47" spans="1:4" x14ac:dyDescent="0.35">
      <c r="B47" s="126">
        <f>+B45-2600</f>
        <v>23411.48</v>
      </c>
      <c r="D47" s="179">
        <f>+D45/B45</f>
        <v>217.09638282788984</v>
      </c>
    </row>
    <row r="49" spans="4:4" x14ac:dyDescent="0.35">
      <c r="D49" s="179">
        <f>+D45- (2600*145)</f>
        <v>5269998.22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topLeftCell="A8" workbookViewId="0">
      <selection activeCell="D27" sqref="D27"/>
    </sheetView>
  </sheetViews>
  <sheetFormatPr defaultRowHeight="14.5" x14ac:dyDescent="0.35"/>
  <cols>
    <col min="1" max="1" width="48.81640625" customWidth="1"/>
    <col min="2" max="2" width="11.26953125" style="126" bestFit="1" customWidth="1"/>
    <col min="3" max="3" width="9.90625" style="179" bestFit="1" customWidth="1"/>
    <col min="4" max="4" width="12.6328125" style="179" bestFit="1" customWidth="1"/>
  </cols>
  <sheetData>
    <row r="1" spans="1:4" x14ac:dyDescent="0.35">
      <c r="A1" s="178" t="s">
        <v>56</v>
      </c>
    </row>
    <row r="2" spans="1:4" x14ac:dyDescent="0.35">
      <c r="A2" s="178" t="s">
        <v>110</v>
      </c>
    </row>
    <row r="3" spans="1:4" x14ac:dyDescent="0.35">
      <c r="A3" s="178" t="s">
        <v>57</v>
      </c>
      <c r="B3" s="205" t="s">
        <v>58</v>
      </c>
      <c r="C3" s="180" t="s">
        <v>111</v>
      </c>
      <c r="D3" s="180" t="s">
        <v>112</v>
      </c>
    </row>
    <row r="4" spans="1:4" x14ac:dyDescent="0.35">
      <c r="A4" s="178" t="s">
        <v>154</v>
      </c>
    </row>
    <row r="5" spans="1:4" x14ac:dyDescent="0.35">
      <c r="A5" s="178" t="s">
        <v>155</v>
      </c>
      <c r="B5" s="126">
        <v>257.77999999999997</v>
      </c>
      <c r="C5" s="179">
        <v>348.33333333333297</v>
      </c>
      <c r="D5" s="179">
        <v>81200.7</v>
      </c>
    </row>
    <row r="6" spans="1:4" x14ac:dyDescent="0.35">
      <c r="A6" s="178" t="s">
        <v>156</v>
      </c>
      <c r="B6" s="126">
        <v>281.93</v>
      </c>
      <c r="C6" s="179">
        <v>262</v>
      </c>
      <c r="D6" s="179">
        <v>73865.66</v>
      </c>
    </row>
    <row r="7" spans="1:4" x14ac:dyDescent="0.35">
      <c r="A7" s="178" t="s">
        <v>157</v>
      </c>
      <c r="B7" s="126">
        <v>213.65</v>
      </c>
      <c r="C7" s="179">
        <v>262</v>
      </c>
      <c r="D7" s="179">
        <v>55976.3</v>
      </c>
    </row>
    <row r="8" spans="1:4" x14ac:dyDescent="0.35">
      <c r="A8" s="178" t="s">
        <v>158</v>
      </c>
      <c r="B8" s="126">
        <v>206.4</v>
      </c>
      <c r="C8" s="179">
        <v>262</v>
      </c>
      <c r="D8" s="179">
        <v>54076.800000000003</v>
      </c>
    </row>
    <row r="9" spans="1:4" x14ac:dyDescent="0.35">
      <c r="A9" s="178" t="s">
        <v>159</v>
      </c>
      <c r="B9" s="126">
        <v>299.94</v>
      </c>
      <c r="C9" s="179">
        <v>363.25165033006601</v>
      </c>
      <c r="D9" s="179">
        <v>108953.7</v>
      </c>
    </row>
    <row r="10" spans="1:4" x14ac:dyDescent="0.35">
      <c r="A10" s="178" t="s">
        <v>160</v>
      </c>
      <c r="B10" s="126">
        <v>306.92</v>
      </c>
      <c r="C10" s="179">
        <v>364.57089795386401</v>
      </c>
      <c r="D10" s="179">
        <v>111894.1</v>
      </c>
    </row>
    <row r="11" spans="1:4" x14ac:dyDescent="0.35">
      <c r="A11" s="178" t="s">
        <v>161</v>
      </c>
      <c r="B11" s="126">
        <v>289.39</v>
      </c>
      <c r="C11" s="179">
        <v>364.76502297936997</v>
      </c>
      <c r="D11" s="179">
        <v>105423.35</v>
      </c>
    </row>
    <row r="12" spans="1:4" x14ac:dyDescent="0.35">
      <c r="A12" s="178" t="s">
        <v>162</v>
      </c>
      <c r="B12" s="126">
        <v>294.16000000000003</v>
      </c>
      <c r="C12" s="179">
        <v>365</v>
      </c>
      <c r="D12" s="179">
        <v>107368.4</v>
      </c>
    </row>
    <row r="13" spans="1:4" x14ac:dyDescent="0.35">
      <c r="A13" s="178" t="s">
        <v>163</v>
      </c>
      <c r="B13" s="126">
        <v>327.96</v>
      </c>
      <c r="C13" s="179">
        <v>330</v>
      </c>
      <c r="D13" s="179">
        <v>108226.8</v>
      </c>
    </row>
    <row r="14" spans="1:4" x14ac:dyDescent="0.35">
      <c r="A14" s="178" t="s">
        <v>164</v>
      </c>
      <c r="B14" s="126">
        <v>312.88</v>
      </c>
      <c r="C14" s="179">
        <v>365</v>
      </c>
      <c r="D14" s="179">
        <v>114201.2</v>
      </c>
    </row>
    <row r="15" spans="1:4" x14ac:dyDescent="0.35">
      <c r="A15" s="178" t="s">
        <v>165</v>
      </c>
      <c r="B15" s="126">
        <v>319.04000000000002</v>
      </c>
      <c r="C15" s="179">
        <v>365</v>
      </c>
      <c r="D15" s="179">
        <v>116449.60000000001</v>
      </c>
    </row>
    <row r="16" spans="1:4" x14ac:dyDescent="0.35">
      <c r="A16" s="178" t="s">
        <v>166</v>
      </c>
      <c r="B16" s="126">
        <v>320.56</v>
      </c>
      <c r="C16" s="179">
        <v>365</v>
      </c>
      <c r="D16" s="179">
        <v>117004.4</v>
      </c>
    </row>
    <row r="17" spans="1:4" x14ac:dyDescent="0.35">
      <c r="A17" s="178" t="s">
        <v>167</v>
      </c>
      <c r="B17" s="126">
        <v>310.52999999999997</v>
      </c>
      <c r="C17" s="179">
        <v>362.79731426915299</v>
      </c>
      <c r="D17" s="179">
        <v>112659.45</v>
      </c>
    </row>
    <row r="18" spans="1:4" x14ac:dyDescent="0.35">
      <c r="A18" s="178" t="s">
        <v>168</v>
      </c>
      <c r="B18" s="126">
        <v>345.97</v>
      </c>
      <c r="C18" s="179">
        <v>365</v>
      </c>
      <c r="D18" s="179">
        <v>126279.05</v>
      </c>
    </row>
    <row r="19" spans="1:4" x14ac:dyDescent="0.35">
      <c r="A19" s="178" t="s">
        <v>169</v>
      </c>
      <c r="B19" s="126">
        <v>323.17</v>
      </c>
      <c r="C19" s="179">
        <v>365</v>
      </c>
      <c r="D19" s="179">
        <v>117957.05</v>
      </c>
    </row>
    <row r="20" spans="1:4" x14ac:dyDescent="0.35">
      <c r="A20" s="178" t="s">
        <v>170</v>
      </c>
      <c r="B20" s="126">
        <v>323.68</v>
      </c>
      <c r="C20" s="179">
        <v>365</v>
      </c>
      <c r="D20" s="179">
        <v>118143.2</v>
      </c>
    </row>
    <row r="21" spans="1:4" x14ac:dyDescent="0.35">
      <c r="A21" s="178" t="s">
        <v>171</v>
      </c>
      <c r="B21" s="126">
        <v>324.60000000000002</v>
      </c>
      <c r="C21" s="179">
        <v>364.62846580406699</v>
      </c>
      <c r="D21" s="179">
        <v>118358.39999999999</v>
      </c>
    </row>
    <row r="22" spans="1:4" x14ac:dyDescent="0.35">
      <c r="A22" s="178" t="s">
        <v>172</v>
      </c>
      <c r="B22" s="126">
        <v>294.8</v>
      </c>
      <c r="C22" s="179">
        <v>364.20217096336501</v>
      </c>
      <c r="D22" s="179">
        <v>107366.8</v>
      </c>
    </row>
    <row r="23" spans="1:4" x14ac:dyDescent="0.35">
      <c r="A23" s="178" t="s">
        <v>173</v>
      </c>
      <c r="B23" s="126">
        <v>595.66</v>
      </c>
      <c r="C23" s="179">
        <v>365</v>
      </c>
      <c r="D23" s="179">
        <v>217415.9</v>
      </c>
    </row>
    <row r="24" spans="1:4" x14ac:dyDescent="0.35">
      <c r="A24" s="178" t="s">
        <v>174</v>
      </c>
      <c r="B24" s="126">
        <v>325.83999999999997</v>
      </c>
      <c r="C24" s="179">
        <v>314.23029707832097</v>
      </c>
      <c r="D24" s="179">
        <v>102388.8</v>
      </c>
    </row>
    <row r="25" spans="1:4" x14ac:dyDescent="0.35">
      <c r="A25" s="178" t="s">
        <v>175</v>
      </c>
    </row>
    <row r="26" spans="1:4" x14ac:dyDescent="0.35">
      <c r="A26" s="178" t="s">
        <v>93</v>
      </c>
      <c r="B26" s="205">
        <f>SUM(B5:B25)</f>
        <v>6274.8600000000015</v>
      </c>
      <c r="C26" s="180"/>
      <c r="D26" s="179">
        <f>SUM(D5:D25)</f>
        <v>2175209.6599999997</v>
      </c>
    </row>
    <row r="27" spans="1:4" x14ac:dyDescent="0.35">
      <c r="A27" s="178"/>
    </row>
    <row r="28" spans="1:4" x14ac:dyDescent="0.35">
      <c r="A28" s="178"/>
      <c r="D28" s="179">
        <f>+D26/B26</f>
        <v>346.65469189750831</v>
      </c>
    </row>
    <row r="29" spans="1:4" x14ac:dyDescent="0.35">
      <c r="A29" s="178"/>
    </row>
    <row r="30" spans="1:4" x14ac:dyDescent="0.35">
      <c r="A30" s="178"/>
    </row>
    <row r="31" spans="1:4" x14ac:dyDescent="0.35">
      <c r="A31" s="178"/>
    </row>
    <row r="32" spans="1:4" x14ac:dyDescent="0.35">
      <c r="A32" s="178"/>
    </row>
    <row r="33" spans="1:3" x14ac:dyDescent="0.35">
      <c r="A33" s="178"/>
    </row>
    <row r="34" spans="1:3" x14ac:dyDescent="0.35">
      <c r="A34" s="178"/>
    </row>
    <row r="35" spans="1:3" x14ac:dyDescent="0.35">
      <c r="A35" s="178"/>
    </row>
    <row r="36" spans="1:3" x14ac:dyDescent="0.35">
      <c r="A36" s="178"/>
    </row>
    <row r="37" spans="1:3" x14ac:dyDescent="0.35">
      <c r="A37" s="178"/>
    </row>
    <row r="38" spans="1:3" x14ac:dyDescent="0.35">
      <c r="A38" s="178"/>
    </row>
    <row r="39" spans="1:3" x14ac:dyDescent="0.35">
      <c r="A39" s="178"/>
    </row>
    <row r="40" spans="1:3" x14ac:dyDescent="0.35">
      <c r="A40" s="178"/>
    </row>
    <row r="41" spans="1:3" x14ac:dyDescent="0.35">
      <c r="A41" s="178"/>
    </row>
    <row r="42" spans="1:3" x14ac:dyDescent="0.35">
      <c r="A42" s="178"/>
    </row>
    <row r="43" spans="1:3" x14ac:dyDescent="0.35">
      <c r="A43" s="178"/>
    </row>
    <row r="44" spans="1:3" x14ac:dyDescent="0.35">
      <c r="A44" s="178"/>
    </row>
    <row r="45" spans="1:3" x14ac:dyDescent="0.35">
      <c r="A45" s="178"/>
    </row>
    <row r="46" spans="1:3" x14ac:dyDescent="0.35">
      <c r="A46" s="178"/>
    </row>
    <row r="47" spans="1:3" x14ac:dyDescent="0.35">
      <c r="A47" s="178"/>
    </row>
    <row r="48" spans="1:3" x14ac:dyDescent="0.35">
      <c r="A48" s="178"/>
      <c r="B48" s="205"/>
      <c r="C48" s="180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519"/>
  <sheetViews>
    <sheetView workbookViewId="0">
      <selection activeCell="I14" sqref="I14"/>
    </sheetView>
  </sheetViews>
  <sheetFormatPr defaultRowHeight="14.5" x14ac:dyDescent="0.35"/>
  <cols>
    <col min="1" max="1" width="23" customWidth="1"/>
    <col min="2" max="2" width="9.81640625" style="126" bestFit="1" customWidth="1"/>
    <col min="3" max="3" width="15.81640625" style="179" customWidth="1"/>
    <col min="10" max="10" width="13.7265625" customWidth="1"/>
    <col min="11" max="11" width="12.81640625" customWidth="1"/>
    <col min="12" max="12" width="11.54296875" customWidth="1"/>
    <col min="13" max="13" width="8.90625" customWidth="1"/>
  </cols>
  <sheetData>
    <row r="1" spans="1:13" x14ac:dyDescent="0.35">
      <c r="A1" s="178"/>
    </row>
    <row r="2" spans="1:13" x14ac:dyDescent="0.35">
      <c r="A2" s="178"/>
      <c r="B2" s="79"/>
      <c r="C2" s="208"/>
      <c r="I2" s="227" t="s">
        <v>97</v>
      </c>
    </row>
    <row r="3" spans="1:13" x14ac:dyDescent="0.35">
      <c r="A3" s="178"/>
      <c r="B3" s="210"/>
      <c r="C3" s="211"/>
      <c r="D3" s="178"/>
      <c r="E3" s="178"/>
      <c r="F3" s="178"/>
    </row>
    <row r="4" spans="1:13" x14ac:dyDescent="0.35">
      <c r="A4" s="178"/>
      <c r="I4" s="228" t="s">
        <v>98</v>
      </c>
    </row>
    <row r="5" spans="1:13" x14ac:dyDescent="0.35">
      <c r="A5" s="178"/>
      <c r="I5" s="228" t="s">
        <v>99</v>
      </c>
    </row>
    <row r="6" spans="1:13" x14ac:dyDescent="0.35">
      <c r="A6" s="178"/>
    </row>
    <row r="7" spans="1:13" ht="49" customHeight="1" x14ac:dyDescent="0.35">
      <c r="A7" s="178"/>
      <c r="J7" s="230" t="s">
        <v>100</v>
      </c>
      <c r="K7" s="230" t="s">
        <v>101</v>
      </c>
      <c r="L7" s="230" t="s">
        <v>102</v>
      </c>
      <c r="M7" s="230" t="s">
        <v>103</v>
      </c>
    </row>
    <row r="8" spans="1:13" x14ac:dyDescent="0.35">
      <c r="A8" s="178"/>
      <c r="I8" s="229">
        <v>45748</v>
      </c>
      <c r="J8" s="226">
        <v>312</v>
      </c>
      <c r="K8" s="226">
        <v>228</v>
      </c>
      <c r="L8" s="226">
        <f>+J8-K8</f>
        <v>84</v>
      </c>
      <c r="M8" s="171">
        <f>+'[3]Monthly sheet '!$C$11</f>
        <v>24324.74</v>
      </c>
    </row>
    <row r="9" spans="1:13" x14ac:dyDescent="0.35">
      <c r="A9" s="178"/>
      <c r="I9" s="229">
        <v>46113</v>
      </c>
      <c r="J9" s="226">
        <v>324</v>
      </c>
      <c r="K9" s="226">
        <v>238</v>
      </c>
      <c r="L9" s="226">
        <f>+J9-K9</f>
        <v>86</v>
      </c>
      <c r="M9" s="171">
        <f>+'Monthly sheet '!C11</f>
        <v>26938.209999999995</v>
      </c>
    </row>
    <row r="10" spans="1:13" x14ac:dyDescent="0.35">
      <c r="A10" s="178"/>
    </row>
    <row r="11" spans="1:13" x14ac:dyDescent="0.35">
      <c r="A11" s="178"/>
    </row>
    <row r="12" spans="1:13" x14ac:dyDescent="0.35">
      <c r="A12" s="178"/>
    </row>
    <row r="13" spans="1:13" x14ac:dyDescent="0.35">
      <c r="A13" s="178"/>
    </row>
    <row r="14" spans="1:13" x14ac:dyDescent="0.35">
      <c r="A14" s="178"/>
    </row>
    <row r="15" spans="1:13" x14ac:dyDescent="0.35">
      <c r="A15" s="178"/>
    </row>
    <row r="16" spans="1:13" x14ac:dyDescent="0.35">
      <c r="A16" s="178"/>
    </row>
    <row r="17" spans="1:1" x14ac:dyDescent="0.35">
      <c r="A17" s="178"/>
    </row>
    <row r="18" spans="1:1" x14ac:dyDescent="0.35">
      <c r="A18" s="178"/>
    </row>
    <row r="19" spans="1:1" x14ac:dyDescent="0.35">
      <c r="A19" s="178"/>
    </row>
    <row r="20" spans="1:1" x14ac:dyDescent="0.35">
      <c r="A20" s="178"/>
    </row>
    <row r="21" spans="1:1" x14ac:dyDescent="0.35">
      <c r="A21" s="178"/>
    </row>
    <row r="22" spans="1:1" x14ac:dyDescent="0.35">
      <c r="A22" s="178"/>
    </row>
    <row r="23" spans="1:1" x14ac:dyDescent="0.35">
      <c r="A23" s="178"/>
    </row>
    <row r="24" spans="1:1" x14ac:dyDescent="0.35">
      <c r="A24" s="178"/>
    </row>
    <row r="25" spans="1:1" x14ac:dyDescent="0.35">
      <c r="A25" s="178"/>
    </row>
    <row r="26" spans="1:1" x14ac:dyDescent="0.35">
      <c r="A26" s="178"/>
    </row>
    <row r="27" spans="1:1" x14ac:dyDescent="0.35">
      <c r="A27" s="178"/>
    </row>
    <row r="28" spans="1:1" x14ac:dyDescent="0.35">
      <c r="A28" s="178"/>
    </row>
    <row r="29" spans="1:1" x14ac:dyDescent="0.35">
      <c r="A29" s="178"/>
    </row>
    <row r="30" spans="1:1" x14ac:dyDescent="0.35">
      <c r="A30" s="178"/>
    </row>
    <row r="31" spans="1:1" x14ac:dyDescent="0.35">
      <c r="A31" s="178"/>
    </row>
    <row r="32" spans="1:1" x14ac:dyDescent="0.35">
      <c r="A32" s="178"/>
    </row>
    <row r="33" spans="1:1" x14ac:dyDescent="0.35">
      <c r="A33" s="178"/>
    </row>
    <row r="34" spans="1:1" x14ac:dyDescent="0.35">
      <c r="A34" s="178"/>
    </row>
    <row r="35" spans="1:1" x14ac:dyDescent="0.35">
      <c r="A35" s="178"/>
    </row>
    <row r="36" spans="1:1" x14ac:dyDescent="0.35">
      <c r="A36" s="178"/>
    </row>
    <row r="37" spans="1:1" x14ac:dyDescent="0.35">
      <c r="A37" s="178"/>
    </row>
    <row r="38" spans="1:1" x14ac:dyDescent="0.35">
      <c r="A38" s="178"/>
    </row>
    <row r="39" spans="1:1" x14ac:dyDescent="0.35">
      <c r="A39" s="178"/>
    </row>
    <row r="40" spans="1:1" x14ac:dyDescent="0.35">
      <c r="A40" s="178"/>
    </row>
    <row r="41" spans="1:1" x14ac:dyDescent="0.35">
      <c r="A41" s="178"/>
    </row>
    <row r="42" spans="1:1" x14ac:dyDescent="0.35">
      <c r="A42" s="178"/>
    </row>
    <row r="43" spans="1:1" x14ac:dyDescent="0.35">
      <c r="A43" s="178"/>
    </row>
    <row r="44" spans="1:1" x14ac:dyDescent="0.35">
      <c r="A44" s="178"/>
    </row>
    <row r="45" spans="1:1" x14ac:dyDescent="0.35">
      <c r="A45" s="178"/>
    </row>
    <row r="46" spans="1:1" x14ac:dyDescent="0.35">
      <c r="A46" s="178"/>
    </row>
    <row r="47" spans="1:1" x14ac:dyDescent="0.35">
      <c r="A47" s="178"/>
    </row>
    <row r="48" spans="1:1" x14ac:dyDescent="0.35">
      <c r="A48" s="178"/>
    </row>
    <row r="49" spans="1:1" x14ac:dyDescent="0.35">
      <c r="A49" s="178"/>
    </row>
    <row r="50" spans="1:1" x14ac:dyDescent="0.35">
      <c r="A50" s="178"/>
    </row>
    <row r="51" spans="1:1" x14ac:dyDescent="0.35">
      <c r="A51" s="178"/>
    </row>
    <row r="52" spans="1:1" x14ac:dyDescent="0.35">
      <c r="A52" s="178"/>
    </row>
    <row r="53" spans="1:1" x14ac:dyDescent="0.35">
      <c r="A53" s="178"/>
    </row>
    <row r="54" spans="1:1" x14ac:dyDescent="0.35">
      <c r="A54" s="178"/>
    </row>
    <row r="55" spans="1:1" x14ac:dyDescent="0.35">
      <c r="A55" s="178"/>
    </row>
    <row r="56" spans="1:1" x14ac:dyDescent="0.35">
      <c r="A56" s="178"/>
    </row>
    <row r="57" spans="1:1" x14ac:dyDescent="0.35">
      <c r="A57" s="178"/>
    </row>
    <row r="58" spans="1:1" x14ac:dyDescent="0.35">
      <c r="A58" s="178"/>
    </row>
    <row r="59" spans="1:1" x14ac:dyDescent="0.35">
      <c r="A59" s="178"/>
    </row>
    <row r="60" spans="1:1" x14ac:dyDescent="0.35">
      <c r="A60" s="178"/>
    </row>
    <row r="61" spans="1:1" x14ac:dyDescent="0.35">
      <c r="A61" s="178"/>
    </row>
    <row r="62" spans="1:1" x14ac:dyDescent="0.35">
      <c r="A62" s="178"/>
    </row>
    <row r="63" spans="1:1" x14ac:dyDescent="0.35">
      <c r="A63" s="178"/>
    </row>
    <row r="64" spans="1:1" x14ac:dyDescent="0.35">
      <c r="A64" s="178"/>
    </row>
    <row r="65" spans="1:1" x14ac:dyDescent="0.35">
      <c r="A65" s="178"/>
    </row>
    <row r="66" spans="1:1" x14ac:dyDescent="0.35">
      <c r="A66" s="178"/>
    </row>
    <row r="67" spans="1:1" x14ac:dyDescent="0.35">
      <c r="A67" s="178"/>
    </row>
    <row r="68" spans="1:1" x14ac:dyDescent="0.35">
      <c r="A68" s="178"/>
    </row>
    <row r="69" spans="1:1" x14ac:dyDescent="0.35">
      <c r="A69" s="178"/>
    </row>
    <row r="70" spans="1:1" x14ac:dyDescent="0.35">
      <c r="A70" s="178"/>
    </row>
    <row r="71" spans="1:1" x14ac:dyDescent="0.35">
      <c r="A71" s="178"/>
    </row>
    <row r="72" spans="1:1" x14ac:dyDescent="0.35">
      <c r="A72" s="178"/>
    </row>
    <row r="73" spans="1:1" x14ac:dyDescent="0.35">
      <c r="A73" s="178"/>
    </row>
    <row r="74" spans="1:1" x14ac:dyDescent="0.35">
      <c r="A74" s="178"/>
    </row>
    <row r="75" spans="1:1" x14ac:dyDescent="0.35">
      <c r="A75" s="178"/>
    </row>
    <row r="76" spans="1:1" x14ac:dyDescent="0.35">
      <c r="A76" s="178"/>
    </row>
    <row r="77" spans="1:1" x14ac:dyDescent="0.35">
      <c r="A77" s="178"/>
    </row>
    <row r="78" spans="1:1" x14ac:dyDescent="0.35">
      <c r="A78" s="178"/>
    </row>
    <row r="79" spans="1:1" x14ac:dyDescent="0.35">
      <c r="A79" s="178"/>
    </row>
    <row r="80" spans="1:1" x14ac:dyDescent="0.35">
      <c r="A80" s="178"/>
    </row>
    <row r="81" spans="1:1" x14ac:dyDescent="0.35">
      <c r="A81" s="178"/>
    </row>
    <row r="82" spans="1:1" x14ac:dyDescent="0.35">
      <c r="A82" s="178"/>
    </row>
    <row r="83" spans="1:1" x14ac:dyDescent="0.35">
      <c r="A83" s="178"/>
    </row>
    <row r="84" spans="1:1" x14ac:dyDescent="0.35">
      <c r="A84" s="178"/>
    </row>
    <row r="85" spans="1:1" x14ac:dyDescent="0.35">
      <c r="A85" s="178"/>
    </row>
    <row r="86" spans="1:1" x14ac:dyDescent="0.35">
      <c r="A86" s="178"/>
    </row>
    <row r="87" spans="1:1" x14ac:dyDescent="0.35">
      <c r="A87" s="178"/>
    </row>
    <row r="88" spans="1:1" x14ac:dyDescent="0.35">
      <c r="A88" s="178"/>
    </row>
    <row r="89" spans="1:1" x14ac:dyDescent="0.35">
      <c r="A89" s="178"/>
    </row>
    <row r="90" spans="1:1" x14ac:dyDescent="0.35">
      <c r="A90" s="178"/>
    </row>
    <row r="91" spans="1:1" x14ac:dyDescent="0.35">
      <c r="A91" s="178"/>
    </row>
    <row r="92" spans="1:1" x14ac:dyDescent="0.35">
      <c r="A92" s="178"/>
    </row>
    <row r="93" spans="1:1" x14ac:dyDescent="0.35">
      <c r="A93" s="178"/>
    </row>
    <row r="94" spans="1:1" x14ac:dyDescent="0.35">
      <c r="A94" s="178"/>
    </row>
    <row r="95" spans="1:1" x14ac:dyDescent="0.35">
      <c r="A95" s="178"/>
    </row>
    <row r="96" spans="1:1" x14ac:dyDescent="0.35">
      <c r="A96" s="178"/>
    </row>
    <row r="97" spans="1:1" x14ac:dyDescent="0.35">
      <c r="A97" s="178"/>
    </row>
    <row r="98" spans="1:1" x14ac:dyDescent="0.35">
      <c r="A98" s="178"/>
    </row>
    <row r="99" spans="1:1" x14ac:dyDescent="0.35">
      <c r="A99" s="178"/>
    </row>
    <row r="100" spans="1:1" x14ac:dyDescent="0.35">
      <c r="A100" s="178"/>
    </row>
    <row r="101" spans="1:1" x14ac:dyDescent="0.35">
      <c r="A101" s="178"/>
    </row>
    <row r="102" spans="1:1" x14ac:dyDescent="0.35">
      <c r="A102" s="178"/>
    </row>
    <row r="103" spans="1:1" x14ac:dyDescent="0.35">
      <c r="A103" s="178"/>
    </row>
    <row r="104" spans="1:1" x14ac:dyDescent="0.35">
      <c r="A104" s="178"/>
    </row>
    <row r="105" spans="1:1" x14ac:dyDescent="0.35">
      <c r="A105" s="178"/>
    </row>
    <row r="106" spans="1:1" x14ac:dyDescent="0.35">
      <c r="A106" s="178"/>
    </row>
    <row r="107" spans="1:1" x14ac:dyDescent="0.35">
      <c r="A107" s="178"/>
    </row>
    <row r="108" spans="1:1" x14ac:dyDescent="0.35">
      <c r="A108" s="178"/>
    </row>
    <row r="109" spans="1:1" x14ac:dyDescent="0.35">
      <c r="A109" s="178"/>
    </row>
    <row r="110" spans="1:1" x14ac:dyDescent="0.35">
      <c r="A110" s="178"/>
    </row>
    <row r="111" spans="1:1" x14ac:dyDescent="0.35">
      <c r="A111" s="178"/>
    </row>
    <row r="112" spans="1:1" x14ac:dyDescent="0.35">
      <c r="A112" s="178"/>
    </row>
    <row r="113" spans="1:1" x14ac:dyDescent="0.35">
      <c r="A113" s="178"/>
    </row>
    <row r="114" spans="1:1" x14ac:dyDescent="0.35">
      <c r="A114" s="178"/>
    </row>
    <row r="115" spans="1:1" x14ac:dyDescent="0.35">
      <c r="A115" s="178"/>
    </row>
    <row r="116" spans="1:1" x14ac:dyDescent="0.35">
      <c r="A116" s="178"/>
    </row>
    <row r="117" spans="1:1" x14ac:dyDescent="0.35">
      <c r="A117" s="178"/>
    </row>
    <row r="118" spans="1:1" x14ac:dyDescent="0.35">
      <c r="A118" s="178"/>
    </row>
    <row r="119" spans="1:1" x14ac:dyDescent="0.35">
      <c r="A119" s="178"/>
    </row>
    <row r="120" spans="1:1" x14ac:dyDescent="0.35">
      <c r="A120" s="178"/>
    </row>
    <row r="121" spans="1:1" x14ac:dyDescent="0.35">
      <c r="A121" s="178"/>
    </row>
    <row r="122" spans="1:1" x14ac:dyDescent="0.35">
      <c r="A122" s="178"/>
    </row>
    <row r="123" spans="1:1" x14ac:dyDescent="0.35">
      <c r="A123" s="178"/>
    </row>
    <row r="124" spans="1:1" x14ac:dyDescent="0.35">
      <c r="A124" s="178"/>
    </row>
    <row r="125" spans="1:1" x14ac:dyDescent="0.35">
      <c r="A125" s="178"/>
    </row>
    <row r="126" spans="1:1" x14ac:dyDescent="0.35">
      <c r="A126" s="178"/>
    </row>
    <row r="127" spans="1:1" x14ac:dyDescent="0.35">
      <c r="A127" s="178"/>
    </row>
    <row r="128" spans="1:1" x14ac:dyDescent="0.35">
      <c r="A128" s="178"/>
    </row>
    <row r="129" spans="1:1" x14ac:dyDescent="0.35">
      <c r="A129" s="178"/>
    </row>
    <row r="130" spans="1:1" x14ac:dyDescent="0.35">
      <c r="A130" s="178"/>
    </row>
    <row r="131" spans="1:1" x14ac:dyDescent="0.35">
      <c r="A131" s="178"/>
    </row>
    <row r="132" spans="1:1" x14ac:dyDescent="0.35">
      <c r="A132" s="178"/>
    </row>
    <row r="133" spans="1:1" x14ac:dyDescent="0.35">
      <c r="A133" s="178"/>
    </row>
    <row r="134" spans="1:1" x14ac:dyDescent="0.35">
      <c r="A134" s="178"/>
    </row>
    <row r="135" spans="1:1" x14ac:dyDescent="0.35">
      <c r="A135" s="178"/>
    </row>
    <row r="136" spans="1:1" x14ac:dyDescent="0.35">
      <c r="A136" s="178"/>
    </row>
    <row r="137" spans="1:1" x14ac:dyDescent="0.35">
      <c r="A137" s="178"/>
    </row>
    <row r="138" spans="1:1" x14ac:dyDescent="0.35">
      <c r="A138" s="178"/>
    </row>
    <row r="139" spans="1:1" x14ac:dyDescent="0.35">
      <c r="A139" s="178"/>
    </row>
    <row r="140" spans="1:1" x14ac:dyDescent="0.35">
      <c r="A140" s="178"/>
    </row>
    <row r="141" spans="1:1" x14ac:dyDescent="0.35">
      <c r="A141" s="178"/>
    </row>
    <row r="142" spans="1:1" x14ac:dyDescent="0.35">
      <c r="A142" s="178"/>
    </row>
    <row r="143" spans="1:1" x14ac:dyDescent="0.35">
      <c r="A143" s="178"/>
    </row>
    <row r="144" spans="1:1" x14ac:dyDescent="0.35">
      <c r="A144" s="178"/>
    </row>
    <row r="145" spans="1:1" x14ac:dyDescent="0.35">
      <c r="A145" s="178"/>
    </row>
    <row r="146" spans="1:1" x14ac:dyDescent="0.35">
      <c r="A146" s="178"/>
    </row>
    <row r="147" spans="1:1" x14ac:dyDescent="0.35">
      <c r="A147" s="178"/>
    </row>
    <row r="148" spans="1:1" x14ac:dyDescent="0.35">
      <c r="A148" s="178"/>
    </row>
    <row r="149" spans="1:1" x14ac:dyDescent="0.35">
      <c r="A149" s="178"/>
    </row>
    <row r="150" spans="1:1" x14ac:dyDescent="0.35">
      <c r="A150" s="178"/>
    </row>
    <row r="151" spans="1:1" x14ac:dyDescent="0.35">
      <c r="A151" s="178"/>
    </row>
    <row r="152" spans="1:1" x14ac:dyDescent="0.35">
      <c r="A152" s="178"/>
    </row>
    <row r="153" spans="1:1" x14ac:dyDescent="0.35">
      <c r="A153" s="178"/>
    </row>
    <row r="154" spans="1:1" x14ac:dyDescent="0.35">
      <c r="A154" s="178"/>
    </row>
    <row r="155" spans="1:1" x14ac:dyDescent="0.35">
      <c r="A155" s="178"/>
    </row>
    <row r="156" spans="1:1" x14ac:dyDescent="0.35">
      <c r="A156" s="178"/>
    </row>
    <row r="157" spans="1:1" x14ac:dyDescent="0.35">
      <c r="A157" s="178"/>
    </row>
    <row r="158" spans="1:1" x14ac:dyDescent="0.35">
      <c r="A158" s="178"/>
    </row>
    <row r="159" spans="1:1" x14ac:dyDescent="0.35">
      <c r="A159" s="178"/>
    </row>
    <row r="160" spans="1:1" x14ac:dyDescent="0.35">
      <c r="A160" s="178"/>
    </row>
    <row r="161" spans="1:1" x14ac:dyDescent="0.35">
      <c r="A161" s="178"/>
    </row>
    <row r="162" spans="1:1" x14ac:dyDescent="0.35">
      <c r="A162" s="178"/>
    </row>
    <row r="163" spans="1:1" x14ac:dyDescent="0.35">
      <c r="A163" s="178"/>
    </row>
    <row r="164" spans="1:1" x14ac:dyDescent="0.35">
      <c r="A164" s="178"/>
    </row>
    <row r="165" spans="1:1" x14ac:dyDescent="0.35">
      <c r="A165" s="178"/>
    </row>
    <row r="166" spans="1:1" x14ac:dyDescent="0.35">
      <c r="A166" s="178"/>
    </row>
    <row r="167" spans="1:1" x14ac:dyDescent="0.35">
      <c r="A167" s="178"/>
    </row>
    <row r="168" spans="1:1" x14ac:dyDescent="0.35">
      <c r="A168" s="178"/>
    </row>
    <row r="169" spans="1:1" x14ac:dyDescent="0.35">
      <c r="A169" s="178"/>
    </row>
    <row r="170" spans="1:1" x14ac:dyDescent="0.35">
      <c r="A170" s="178"/>
    </row>
    <row r="171" spans="1:1" x14ac:dyDescent="0.35">
      <c r="A171" s="178"/>
    </row>
    <row r="172" spans="1:1" x14ac:dyDescent="0.35">
      <c r="A172" s="178"/>
    </row>
    <row r="173" spans="1:1" x14ac:dyDescent="0.35">
      <c r="A173" s="178"/>
    </row>
    <row r="174" spans="1:1" x14ac:dyDescent="0.35">
      <c r="A174" s="178"/>
    </row>
    <row r="175" spans="1:1" x14ac:dyDescent="0.35">
      <c r="A175" s="178"/>
    </row>
    <row r="176" spans="1:1" x14ac:dyDescent="0.35">
      <c r="A176" s="178"/>
    </row>
    <row r="177" spans="1:1" x14ac:dyDescent="0.35">
      <c r="A177" s="178"/>
    </row>
    <row r="178" spans="1:1" x14ac:dyDescent="0.35">
      <c r="A178" s="178"/>
    </row>
    <row r="179" spans="1:1" x14ac:dyDescent="0.35">
      <c r="A179" s="178"/>
    </row>
    <row r="180" spans="1:1" x14ac:dyDescent="0.35">
      <c r="A180" s="178"/>
    </row>
    <row r="181" spans="1:1" x14ac:dyDescent="0.35">
      <c r="A181" s="178"/>
    </row>
    <row r="182" spans="1:1" x14ac:dyDescent="0.35">
      <c r="A182" s="178"/>
    </row>
    <row r="183" spans="1:1" x14ac:dyDescent="0.35">
      <c r="A183" s="178"/>
    </row>
    <row r="184" spans="1:1" x14ac:dyDescent="0.35">
      <c r="A184" s="178"/>
    </row>
    <row r="185" spans="1:1" x14ac:dyDescent="0.35">
      <c r="A185" s="178"/>
    </row>
    <row r="186" spans="1:1" x14ac:dyDescent="0.35">
      <c r="A186" s="178"/>
    </row>
    <row r="187" spans="1:1" x14ac:dyDescent="0.35">
      <c r="A187" s="178"/>
    </row>
    <row r="188" spans="1:1" x14ac:dyDescent="0.35">
      <c r="A188" s="178"/>
    </row>
    <row r="189" spans="1:1" x14ac:dyDescent="0.35">
      <c r="A189" s="178"/>
    </row>
    <row r="190" spans="1:1" x14ac:dyDescent="0.35">
      <c r="A190" s="178"/>
    </row>
    <row r="191" spans="1:1" x14ac:dyDescent="0.35">
      <c r="A191" s="178"/>
    </row>
    <row r="192" spans="1:1" x14ac:dyDescent="0.35">
      <c r="A192" s="178"/>
    </row>
    <row r="193" spans="1:1" x14ac:dyDescent="0.35">
      <c r="A193" s="178"/>
    </row>
    <row r="194" spans="1:1" x14ac:dyDescent="0.35">
      <c r="A194" s="178"/>
    </row>
    <row r="195" spans="1:1" x14ac:dyDescent="0.35">
      <c r="A195" s="178"/>
    </row>
    <row r="196" spans="1:1" x14ac:dyDescent="0.35">
      <c r="A196" s="178"/>
    </row>
    <row r="197" spans="1:1" x14ac:dyDescent="0.35">
      <c r="A197" s="178"/>
    </row>
    <row r="198" spans="1:1" x14ac:dyDescent="0.35">
      <c r="A198" s="178"/>
    </row>
    <row r="199" spans="1:1" x14ac:dyDescent="0.35">
      <c r="A199" s="178"/>
    </row>
    <row r="200" spans="1:1" x14ac:dyDescent="0.35">
      <c r="A200" s="178"/>
    </row>
    <row r="201" spans="1:1" x14ac:dyDescent="0.35">
      <c r="A201" s="178"/>
    </row>
    <row r="202" spans="1:1" x14ac:dyDescent="0.35">
      <c r="A202" s="178"/>
    </row>
    <row r="203" spans="1:1" x14ac:dyDescent="0.35">
      <c r="A203" s="178"/>
    </row>
    <row r="204" spans="1:1" x14ac:dyDescent="0.35">
      <c r="A204" s="178"/>
    </row>
    <row r="205" spans="1:1" x14ac:dyDescent="0.35">
      <c r="A205" s="178"/>
    </row>
    <row r="206" spans="1:1" x14ac:dyDescent="0.35">
      <c r="A206" s="178"/>
    </row>
    <row r="207" spans="1:1" x14ac:dyDescent="0.35">
      <c r="A207" s="178"/>
    </row>
    <row r="208" spans="1:1" x14ac:dyDescent="0.35">
      <c r="A208" s="178"/>
    </row>
    <row r="209" spans="1:1" x14ac:dyDescent="0.35">
      <c r="A209" s="178"/>
    </row>
    <row r="210" spans="1:1" x14ac:dyDescent="0.35">
      <c r="A210" s="178"/>
    </row>
    <row r="211" spans="1:1" x14ac:dyDescent="0.35">
      <c r="A211" s="178"/>
    </row>
    <row r="212" spans="1:1" x14ac:dyDescent="0.35">
      <c r="A212" s="178"/>
    </row>
    <row r="213" spans="1:1" x14ac:dyDescent="0.35">
      <c r="A213" s="178"/>
    </row>
    <row r="214" spans="1:1" x14ac:dyDescent="0.35">
      <c r="A214" s="178"/>
    </row>
    <row r="215" spans="1:1" x14ac:dyDescent="0.35">
      <c r="A215" s="178"/>
    </row>
    <row r="216" spans="1:1" x14ac:dyDescent="0.35">
      <c r="A216" s="178"/>
    </row>
    <row r="217" spans="1:1" x14ac:dyDescent="0.35">
      <c r="A217" s="178"/>
    </row>
    <row r="218" spans="1:1" x14ac:dyDescent="0.35">
      <c r="A218" s="178"/>
    </row>
    <row r="219" spans="1:1" x14ac:dyDescent="0.35">
      <c r="A219" s="178"/>
    </row>
    <row r="220" spans="1:1" x14ac:dyDescent="0.35">
      <c r="A220" s="178"/>
    </row>
    <row r="221" spans="1:1" x14ac:dyDescent="0.35">
      <c r="A221" s="178"/>
    </row>
    <row r="222" spans="1:1" x14ac:dyDescent="0.35">
      <c r="A222" s="178"/>
    </row>
    <row r="223" spans="1:1" x14ac:dyDescent="0.35">
      <c r="A223" s="178"/>
    </row>
    <row r="224" spans="1:1" x14ac:dyDescent="0.35">
      <c r="A224" s="178"/>
    </row>
    <row r="225" spans="1:1" x14ac:dyDescent="0.35">
      <c r="A225" s="178"/>
    </row>
    <row r="226" spans="1:1" x14ac:dyDescent="0.35">
      <c r="A226" s="178"/>
    </row>
    <row r="227" spans="1:1" x14ac:dyDescent="0.35">
      <c r="A227" s="178"/>
    </row>
    <row r="228" spans="1:1" x14ac:dyDescent="0.35">
      <c r="A228" s="178"/>
    </row>
    <row r="229" spans="1:1" x14ac:dyDescent="0.35">
      <c r="A229" s="178"/>
    </row>
    <row r="230" spans="1:1" x14ac:dyDescent="0.35">
      <c r="A230" s="178"/>
    </row>
    <row r="231" spans="1:1" x14ac:dyDescent="0.35">
      <c r="A231" s="178"/>
    </row>
    <row r="232" spans="1:1" x14ac:dyDescent="0.35">
      <c r="A232" s="178"/>
    </row>
    <row r="233" spans="1:1" x14ac:dyDescent="0.35">
      <c r="A233" s="178"/>
    </row>
    <row r="234" spans="1:1" x14ac:dyDescent="0.35">
      <c r="A234" s="178"/>
    </row>
    <row r="235" spans="1:1" x14ac:dyDescent="0.35">
      <c r="A235" s="178"/>
    </row>
    <row r="236" spans="1:1" x14ac:dyDescent="0.35">
      <c r="A236" s="178"/>
    </row>
    <row r="237" spans="1:1" x14ac:dyDescent="0.35">
      <c r="A237" s="178"/>
    </row>
    <row r="238" spans="1:1" x14ac:dyDescent="0.35">
      <c r="A238" s="178"/>
    </row>
    <row r="239" spans="1:1" x14ac:dyDescent="0.35">
      <c r="A239" s="178"/>
    </row>
    <row r="240" spans="1:1" x14ac:dyDescent="0.35">
      <c r="A240" s="178"/>
    </row>
    <row r="241" spans="1:1" x14ac:dyDescent="0.35">
      <c r="A241" s="178"/>
    </row>
    <row r="242" spans="1:1" x14ac:dyDescent="0.35">
      <c r="A242" s="178"/>
    </row>
    <row r="243" spans="1:1" x14ac:dyDescent="0.35">
      <c r="A243" s="178"/>
    </row>
    <row r="244" spans="1:1" x14ac:dyDescent="0.35">
      <c r="A244" s="178"/>
    </row>
    <row r="245" spans="1:1" x14ac:dyDescent="0.35">
      <c r="A245" s="178"/>
    </row>
    <row r="246" spans="1:1" x14ac:dyDescent="0.35">
      <c r="A246" s="178"/>
    </row>
    <row r="247" spans="1:1" x14ac:dyDescent="0.35">
      <c r="A247" s="178"/>
    </row>
    <row r="248" spans="1:1" x14ac:dyDescent="0.35">
      <c r="A248" s="178"/>
    </row>
    <row r="249" spans="1:1" x14ac:dyDescent="0.35">
      <c r="A249" s="178"/>
    </row>
    <row r="250" spans="1:1" x14ac:dyDescent="0.35">
      <c r="A250" s="178"/>
    </row>
    <row r="251" spans="1:1" x14ac:dyDescent="0.35">
      <c r="A251" s="178"/>
    </row>
    <row r="252" spans="1:1" x14ac:dyDescent="0.35">
      <c r="A252" s="178"/>
    </row>
    <row r="253" spans="1:1" x14ac:dyDescent="0.35">
      <c r="A253" s="178"/>
    </row>
    <row r="254" spans="1:1" x14ac:dyDescent="0.35">
      <c r="A254" s="178"/>
    </row>
    <row r="255" spans="1:1" x14ac:dyDescent="0.35">
      <c r="A255" s="178"/>
    </row>
    <row r="256" spans="1:1" x14ac:dyDescent="0.35">
      <c r="A256" s="178"/>
    </row>
    <row r="257" spans="1:1" x14ac:dyDescent="0.35">
      <c r="A257" s="178"/>
    </row>
    <row r="258" spans="1:1" x14ac:dyDescent="0.35">
      <c r="A258" s="178"/>
    </row>
    <row r="259" spans="1:1" x14ac:dyDescent="0.35">
      <c r="A259" s="178"/>
    </row>
    <row r="260" spans="1:1" x14ac:dyDescent="0.35">
      <c r="A260" s="178"/>
    </row>
    <row r="261" spans="1:1" x14ac:dyDescent="0.35">
      <c r="A261" s="178"/>
    </row>
    <row r="262" spans="1:1" x14ac:dyDescent="0.35">
      <c r="A262" s="178"/>
    </row>
    <row r="263" spans="1:1" x14ac:dyDescent="0.35">
      <c r="A263" s="178"/>
    </row>
    <row r="264" spans="1:1" x14ac:dyDescent="0.35">
      <c r="A264" s="178"/>
    </row>
    <row r="265" spans="1:1" x14ac:dyDescent="0.35">
      <c r="A265" s="178"/>
    </row>
    <row r="266" spans="1:1" x14ac:dyDescent="0.35">
      <c r="A266" s="178"/>
    </row>
    <row r="267" spans="1:1" x14ac:dyDescent="0.35">
      <c r="A267" s="178"/>
    </row>
    <row r="268" spans="1:1" x14ac:dyDescent="0.35">
      <c r="A268" s="178"/>
    </row>
    <row r="269" spans="1:1" x14ac:dyDescent="0.35">
      <c r="A269" s="178"/>
    </row>
    <row r="270" spans="1:1" x14ac:dyDescent="0.35">
      <c r="A270" s="178"/>
    </row>
    <row r="271" spans="1:1" x14ac:dyDescent="0.35">
      <c r="A271" s="178"/>
    </row>
    <row r="272" spans="1:1" x14ac:dyDescent="0.35">
      <c r="A272" s="178"/>
    </row>
    <row r="273" spans="1:1" x14ac:dyDescent="0.35">
      <c r="A273" s="178"/>
    </row>
    <row r="274" spans="1:1" x14ac:dyDescent="0.35">
      <c r="A274" s="178"/>
    </row>
    <row r="275" spans="1:1" x14ac:dyDescent="0.35">
      <c r="A275" s="178"/>
    </row>
    <row r="276" spans="1:1" x14ac:dyDescent="0.35">
      <c r="A276" s="178"/>
    </row>
    <row r="277" spans="1:1" x14ac:dyDescent="0.35">
      <c r="A277" s="178"/>
    </row>
    <row r="278" spans="1:1" x14ac:dyDescent="0.35">
      <c r="A278" s="178"/>
    </row>
    <row r="279" spans="1:1" x14ac:dyDescent="0.35">
      <c r="A279" s="178"/>
    </row>
    <row r="280" spans="1:1" x14ac:dyDescent="0.35">
      <c r="A280" s="178"/>
    </row>
    <row r="281" spans="1:1" x14ac:dyDescent="0.35">
      <c r="A281" s="178"/>
    </row>
    <row r="282" spans="1:1" x14ac:dyDescent="0.35">
      <c r="A282" s="178"/>
    </row>
    <row r="283" spans="1:1" x14ac:dyDescent="0.35">
      <c r="A283" s="178"/>
    </row>
    <row r="284" spans="1:1" x14ac:dyDescent="0.35">
      <c r="A284" s="178"/>
    </row>
    <row r="285" spans="1:1" x14ac:dyDescent="0.35">
      <c r="A285" s="178"/>
    </row>
    <row r="286" spans="1:1" x14ac:dyDescent="0.35">
      <c r="A286" s="178"/>
    </row>
    <row r="287" spans="1:1" x14ac:dyDescent="0.35">
      <c r="A287" s="178"/>
    </row>
    <row r="288" spans="1:1" x14ac:dyDescent="0.35">
      <c r="A288" s="178"/>
    </row>
    <row r="289" spans="1:1" x14ac:dyDescent="0.35">
      <c r="A289" s="178"/>
    </row>
    <row r="290" spans="1:1" x14ac:dyDescent="0.35">
      <c r="A290" s="178"/>
    </row>
    <row r="291" spans="1:1" x14ac:dyDescent="0.35">
      <c r="A291" s="178"/>
    </row>
    <row r="292" spans="1:1" x14ac:dyDescent="0.35">
      <c r="A292" s="178"/>
    </row>
    <row r="293" spans="1:1" x14ac:dyDescent="0.35">
      <c r="A293" s="178"/>
    </row>
    <row r="294" spans="1:1" x14ac:dyDescent="0.35">
      <c r="A294" s="178"/>
    </row>
    <row r="295" spans="1:1" x14ac:dyDescent="0.35">
      <c r="A295" s="178"/>
    </row>
    <row r="296" spans="1:1" x14ac:dyDescent="0.35">
      <c r="A296" s="178"/>
    </row>
    <row r="297" spans="1:1" x14ac:dyDescent="0.35">
      <c r="A297" s="178"/>
    </row>
    <row r="298" spans="1:1" x14ac:dyDescent="0.35">
      <c r="A298" s="178"/>
    </row>
    <row r="299" spans="1:1" x14ac:dyDescent="0.35">
      <c r="A299" s="178"/>
    </row>
    <row r="300" spans="1:1" x14ac:dyDescent="0.35">
      <c r="A300" s="178"/>
    </row>
    <row r="301" spans="1:1" x14ac:dyDescent="0.35">
      <c r="A301" s="178"/>
    </row>
    <row r="302" spans="1:1" x14ac:dyDescent="0.35">
      <c r="A302" s="178"/>
    </row>
    <row r="303" spans="1:1" x14ac:dyDescent="0.35">
      <c r="A303" s="178"/>
    </row>
    <row r="304" spans="1:1" x14ac:dyDescent="0.35">
      <c r="A304" s="178"/>
    </row>
    <row r="305" spans="1:1" x14ac:dyDescent="0.35">
      <c r="A305" s="178"/>
    </row>
    <row r="306" spans="1:1" x14ac:dyDescent="0.35">
      <c r="A306" s="178"/>
    </row>
    <row r="307" spans="1:1" x14ac:dyDescent="0.35">
      <c r="A307" s="178"/>
    </row>
    <row r="308" spans="1:1" x14ac:dyDescent="0.35">
      <c r="A308" s="178"/>
    </row>
    <row r="309" spans="1:1" x14ac:dyDescent="0.35">
      <c r="A309" s="178"/>
    </row>
    <row r="310" spans="1:1" x14ac:dyDescent="0.35">
      <c r="A310" s="178"/>
    </row>
    <row r="311" spans="1:1" x14ac:dyDescent="0.35">
      <c r="A311" s="178"/>
    </row>
    <row r="312" spans="1:1" x14ac:dyDescent="0.35">
      <c r="A312" s="178"/>
    </row>
    <row r="313" spans="1:1" x14ac:dyDescent="0.35">
      <c r="A313" s="178"/>
    </row>
    <row r="314" spans="1:1" x14ac:dyDescent="0.35">
      <c r="A314" s="178"/>
    </row>
    <row r="315" spans="1:1" x14ac:dyDescent="0.35">
      <c r="A315" s="178"/>
    </row>
    <row r="316" spans="1:1" x14ac:dyDescent="0.35">
      <c r="A316" s="178"/>
    </row>
    <row r="317" spans="1:1" x14ac:dyDescent="0.35">
      <c r="A317" s="178"/>
    </row>
    <row r="318" spans="1:1" x14ac:dyDescent="0.35">
      <c r="A318" s="178"/>
    </row>
    <row r="319" spans="1:1" x14ac:dyDescent="0.35">
      <c r="A319" s="178"/>
    </row>
    <row r="320" spans="1:1" x14ac:dyDescent="0.35">
      <c r="A320" s="178"/>
    </row>
    <row r="321" spans="1:1" x14ac:dyDescent="0.35">
      <c r="A321" s="178"/>
    </row>
    <row r="322" spans="1:1" x14ac:dyDescent="0.35">
      <c r="A322" s="178"/>
    </row>
    <row r="323" spans="1:1" x14ac:dyDescent="0.35">
      <c r="A323" s="178"/>
    </row>
    <row r="324" spans="1:1" x14ac:dyDescent="0.35">
      <c r="A324" s="178"/>
    </row>
    <row r="325" spans="1:1" x14ac:dyDescent="0.35">
      <c r="A325" s="178"/>
    </row>
    <row r="326" spans="1:1" x14ac:dyDescent="0.35">
      <c r="A326" s="178"/>
    </row>
    <row r="327" spans="1:1" x14ac:dyDescent="0.35">
      <c r="A327" s="178"/>
    </row>
    <row r="328" spans="1:1" x14ac:dyDescent="0.35">
      <c r="A328" s="178"/>
    </row>
    <row r="329" spans="1:1" x14ac:dyDescent="0.35">
      <c r="A329" s="178"/>
    </row>
    <row r="330" spans="1:1" x14ac:dyDescent="0.35">
      <c r="A330" s="178"/>
    </row>
    <row r="331" spans="1:1" x14ac:dyDescent="0.35">
      <c r="A331" s="178"/>
    </row>
    <row r="332" spans="1:1" x14ac:dyDescent="0.35">
      <c r="A332" s="178"/>
    </row>
    <row r="333" spans="1:1" x14ac:dyDescent="0.35">
      <c r="A333" s="178"/>
    </row>
    <row r="334" spans="1:1" x14ac:dyDescent="0.35">
      <c r="A334" s="178"/>
    </row>
    <row r="335" spans="1:1" x14ac:dyDescent="0.35">
      <c r="A335" s="178"/>
    </row>
    <row r="336" spans="1:1" x14ac:dyDescent="0.35">
      <c r="A336" s="178"/>
    </row>
    <row r="337" spans="1:1" x14ac:dyDescent="0.35">
      <c r="A337" s="178"/>
    </row>
    <row r="338" spans="1:1" x14ac:dyDescent="0.35">
      <c r="A338" s="178"/>
    </row>
    <row r="339" spans="1:1" x14ac:dyDescent="0.35">
      <c r="A339" s="178"/>
    </row>
    <row r="340" spans="1:1" x14ac:dyDescent="0.35">
      <c r="A340" s="178"/>
    </row>
    <row r="341" spans="1:1" x14ac:dyDescent="0.35">
      <c r="A341" s="178"/>
    </row>
    <row r="342" spans="1:1" x14ac:dyDescent="0.35">
      <c r="A342" s="178"/>
    </row>
    <row r="343" spans="1:1" x14ac:dyDescent="0.35">
      <c r="A343" s="178"/>
    </row>
    <row r="344" spans="1:1" x14ac:dyDescent="0.35">
      <c r="A344" s="178"/>
    </row>
    <row r="345" spans="1:1" x14ac:dyDescent="0.35">
      <c r="A345" s="178"/>
    </row>
    <row r="346" spans="1:1" x14ac:dyDescent="0.35">
      <c r="A346" s="178"/>
    </row>
    <row r="347" spans="1:1" x14ac:dyDescent="0.35">
      <c r="A347" s="178"/>
    </row>
    <row r="348" spans="1:1" x14ac:dyDescent="0.35">
      <c r="A348" s="178"/>
    </row>
    <row r="349" spans="1:1" x14ac:dyDescent="0.35">
      <c r="A349" s="178"/>
    </row>
    <row r="350" spans="1:1" x14ac:dyDescent="0.35">
      <c r="A350" s="178"/>
    </row>
    <row r="351" spans="1:1" x14ac:dyDescent="0.35">
      <c r="A351" s="178"/>
    </row>
    <row r="352" spans="1:1" x14ac:dyDescent="0.35">
      <c r="A352" s="178"/>
    </row>
    <row r="353" spans="1:1" x14ac:dyDescent="0.35">
      <c r="A353" s="178"/>
    </row>
    <row r="354" spans="1:1" x14ac:dyDescent="0.35">
      <c r="A354" s="178"/>
    </row>
    <row r="355" spans="1:1" x14ac:dyDescent="0.35">
      <c r="A355" s="178"/>
    </row>
    <row r="356" spans="1:1" x14ac:dyDescent="0.35">
      <c r="A356" s="178"/>
    </row>
    <row r="357" spans="1:1" x14ac:dyDescent="0.35">
      <c r="A357" s="178"/>
    </row>
    <row r="358" spans="1:1" x14ac:dyDescent="0.35">
      <c r="A358" s="178"/>
    </row>
    <row r="359" spans="1:1" x14ac:dyDescent="0.35">
      <c r="A359" s="178"/>
    </row>
    <row r="360" spans="1:1" x14ac:dyDescent="0.35">
      <c r="A360" s="178"/>
    </row>
    <row r="361" spans="1:1" x14ac:dyDescent="0.35">
      <c r="A361" s="178"/>
    </row>
    <row r="362" spans="1:1" x14ac:dyDescent="0.35">
      <c r="A362" s="178"/>
    </row>
    <row r="363" spans="1:1" x14ac:dyDescent="0.35">
      <c r="A363" s="178"/>
    </row>
    <row r="364" spans="1:1" x14ac:dyDescent="0.35">
      <c r="A364" s="178"/>
    </row>
    <row r="365" spans="1:1" x14ac:dyDescent="0.35">
      <c r="A365" s="178"/>
    </row>
    <row r="366" spans="1:1" x14ac:dyDescent="0.35">
      <c r="A366" s="178"/>
    </row>
    <row r="367" spans="1:1" x14ac:dyDescent="0.35">
      <c r="A367" s="178"/>
    </row>
    <row r="368" spans="1:1" x14ac:dyDescent="0.35">
      <c r="A368" s="178"/>
    </row>
    <row r="369" spans="1:1" x14ac:dyDescent="0.35">
      <c r="A369" s="178"/>
    </row>
    <row r="370" spans="1:1" x14ac:dyDescent="0.35">
      <c r="A370" s="178"/>
    </row>
    <row r="371" spans="1:1" x14ac:dyDescent="0.35">
      <c r="A371" s="178"/>
    </row>
    <row r="372" spans="1:1" x14ac:dyDescent="0.35">
      <c r="A372" s="178"/>
    </row>
    <row r="373" spans="1:1" x14ac:dyDescent="0.35">
      <c r="A373" s="178"/>
    </row>
    <row r="374" spans="1:1" x14ac:dyDescent="0.35">
      <c r="A374" s="178"/>
    </row>
    <row r="375" spans="1:1" x14ac:dyDescent="0.35">
      <c r="A375" s="178"/>
    </row>
    <row r="376" spans="1:1" x14ac:dyDescent="0.35">
      <c r="A376" s="178"/>
    </row>
    <row r="377" spans="1:1" x14ac:dyDescent="0.35">
      <c r="A377" s="178"/>
    </row>
    <row r="378" spans="1:1" x14ac:dyDescent="0.35">
      <c r="A378" s="178"/>
    </row>
    <row r="379" spans="1:1" x14ac:dyDescent="0.35">
      <c r="A379" s="178"/>
    </row>
    <row r="380" spans="1:1" x14ac:dyDescent="0.35">
      <c r="A380" s="178"/>
    </row>
    <row r="381" spans="1:1" x14ac:dyDescent="0.35">
      <c r="A381" s="178"/>
    </row>
    <row r="382" spans="1:1" x14ac:dyDescent="0.35">
      <c r="A382" s="178"/>
    </row>
    <row r="383" spans="1:1" x14ac:dyDescent="0.35">
      <c r="A383" s="178"/>
    </row>
    <row r="384" spans="1:1" x14ac:dyDescent="0.35">
      <c r="A384" s="178"/>
    </row>
    <row r="385" spans="1:1" x14ac:dyDescent="0.35">
      <c r="A385" s="178"/>
    </row>
    <row r="386" spans="1:1" x14ac:dyDescent="0.35">
      <c r="A386" s="178"/>
    </row>
    <row r="387" spans="1:1" x14ac:dyDescent="0.35">
      <c r="A387" s="178"/>
    </row>
    <row r="388" spans="1:1" x14ac:dyDescent="0.35">
      <c r="A388" s="178"/>
    </row>
    <row r="389" spans="1:1" x14ac:dyDescent="0.35">
      <c r="A389" s="178"/>
    </row>
    <row r="390" spans="1:1" x14ac:dyDescent="0.35">
      <c r="A390" s="178"/>
    </row>
    <row r="391" spans="1:1" x14ac:dyDescent="0.35">
      <c r="A391" s="178"/>
    </row>
    <row r="392" spans="1:1" x14ac:dyDescent="0.35">
      <c r="A392" s="178"/>
    </row>
    <row r="393" spans="1:1" x14ac:dyDescent="0.35">
      <c r="A393" s="178"/>
    </row>
    <row r="394" spans="1:1" x14ac:dyDescent="0.35">
      <c r="A394" s="178"/>
    </row>
    <row r="395" spans="1:1" x14ac:dyDescent="0.35">
      <c r="A395" s="178"/>
    </row>
    <row r="396" spans="1:1" x14ac:dyDescent="0.35">
      <c r="A396" s="178"/>
    </row>
    <row r="397" spans="1:1" x14ac:dyDescent="0.35">
      <c r="A397" s="178"/>
    </row>
    <row r="398" spans="1:1" x14ac:dyDescent="0.35">
      <c r="A398" s="178"/>
    </row>
    <row r="399" spans="1:1" x14ac:dyDescent="0.35">
      <c r="A399" s="178"/>
    </row>
    <row r="400" spans="1:1" x14ac:dyDescent="0.35">
      <c r="A400" s="178"/>
    </row>
    <row r="401" spans="1:1" x14ac:dyDescent="0.35">
      <c r="A401" s="178"/>
    </row>
    <row r="402" spans="1:1" x14ac:dyDescent="0.35">
      <c r="A402" s="178"/>
    </row>
    <row r="403" spans="1:1" x14ac:dyDescent="0.35">
      <c r="A403" s="178"/>
    </row>
    <row r="404" spans="1:1" x14ac:dyDescent="0.35">
      <c r="A404" s="178"/>
    </row>
    <row r="405" spans="1:1" x14ac:dyDescent="0.35">
      <c r="A405" s="178"/>
    </row>
    <row r="406" spans="1:1" x14ac:dyDescent="0.35">
      <c r="A406" s="178"/>
    </row>
    <row r="407" spans="1:1" x14ac:dyDescent="0.35">
      <c r="A407" s="178"/>
    </row>
    <row r="408" spans="1:1" x14ac:dyDescent="0.35">
      <c r="A408" s="178"/>
    </row>
    <row r="409" spans="1:1" x14ac:dyDescent="0.35">
      <c r="A409" s="178"/>
    </row>
    <row r="410" spans="1:1" x14ac:dyDescent="0.35">
      <c r="A410" s="178"/>
    </row>
    <row r="411" spans="1:1" x14ac:dyDescent="0.35">
      <c r="A411" s="178"/>
    </row>
    <row r="412" spans="1:1" x14ac:dyDescent="0.35">
      <c r="A412" s="178"/>
    </row>
    <row r="413" spans="1:1" x14ac:dyDescent="0.35">
      <c r="A413" s="178"/>
    </row>
    <row r="414" spans="1:1" x14ac:dyDescent="0.35">
      <c r="A414" s="178"/>
    </row>
    <row r="415" spans="1:1" x14ac:dyDescent="0.35">
      <c r="A415" s="178"/>
    </row>
    <row r="416" spans="1:1" x14ac:dyDescent="0.35">
      <c r="A416" s="178"/>
    </row>
    <row r="417" spans="1:1" x14ac:dyDescent="0.35">
      <c r="A417" s="178"/>
    </row>
    <row r="418" spans="1:1" x14ac:dyDescent="0.35">
      <c r="A418" s="178"/>
    </row>
    <row r="419" spans="1:1" x14ac:dyDescent="0.35">
      <c r="A419" s="178"/>
    </row>
    <row r="420" spans="1:1" x14ac:dyDescent="0.35">
      <c r="A420" s="178"/>
    </row>
    <row r="421" spans="1:1" x14ac:dyDescent="0.35">
      <c r="A421" s="178"/>
    </row>
    <row r="422" spans="1:1" x14ac:dyDescent="0.35">
      <c r="A422" s="178"/>
    </row>
    <row r="423" spans="1:1" x14ac:dyDescent="0.35">
      <c r="A423" s="178"/>
    </row>
    <row r="424" spans="1:1" x14ac:dyDescent="0.35">
      <c r="A424" s="178"/>
    </row>
    <row r="425" spans="1:1" x14ac:dyDescent="0.35">
      <c r="A425" s="178"/>
    </row>
    <row r="426" spans="1:1" x14ac:dyDescent="0.35">
      <c r="A426" s="178"/>
    </row>
    <row r="427" spans="1:1" x14ac:dyDescent="0.35">
      <c r="A427" s="178"/>
    </row>
    <row r="428" spans="1:1" x14ac:dyDescent="0.35">
      <c r="A428" s="178"/>
    </row>
    <row r="429" spans="1:1" x14ac:dyDescent="0.35">
      <c r="A429" s="178"/>
    </row>
    <row r="430" spans="1:1" x14ac:dyDescent="0.35">
      <c r="A430" s="178"/>
    </row>
    <row r="431" spans="1:1" x14ac:dyDescent="0.35">
      <c r="A431" s="178"/>
    </row>
    <row r="432" spans="1:1" x14ac:dyDescent="0.35">
      <c r="A432" s="178"/>
    </row>
    <row r="433" spans="1:1" x14ac:dyDescent="0.35">
      <c r="A433" s="178"/>
    </row>
    <row r="434" spans="1:1" x14ac:dyDescent="0.35">
      <c r="A434" s="178"/>
    </row>
    <row r="435" spans="1:1" x14ac:dyDescent="0.35">
      <c r="A435" s="178"/>
    </row>
    <row r="436" spans="1:1" x14ac:dyDescent="0.35">
      <c r="A436" s="178"/>
    </row>
    <row r="437" spans="1:1" x14ac:dyDescent="0.35">
      <c r="A437" s="178"/>
    </row>
    <row r="438" spans="1:1" x14ac:dyDescent="0.35">
      <c r="A438" s="178"/>
    </row>
    <row r="439" spans="1:1" x14ac:dyDescent="0.35">
      <c r="A439" s="178"/>
    </row>
    <row r="440" spans="1:1" x14ac:dyDescent="0.35">
      <c r="A440" s="178"/>
    </row>
    <row r="441" spans="1:1" x14ac:dyDescent="0.35">
      <c r="A441" s="178"/>
    </row>
    <row r="442" spans="1:1" x14ac:dyDescent="0.35">
      <c r="A442" s="178"/>
    </row>
    <row r="443" spans="1:1" x14ac:dyDescent="0.35">
      <c r="A443" s="178"/>
    </row>
    <row r="444" spans="1:1" x14ac:dyDescent="0.35">
      <c r="A444" s="178"/>
    </row>
    <row r="445" spans="1:1" x14ac:dyDescent="0.35">
      <c r="A445" s="178"/>
    </row>
    <row r="446" spans="1:1" x14ac:dyDescent="0.35">
      <c r="A446" s="178"/>
    </row>
    <row r="447" spans="1:1" x14ac:dyDescent="0.35">
      <c r="A447" s="178"/>
    </row>
    <row r="448" spans="1:1" x14ac:dyDescent="0.35">
      <c r="A448" s="178"/>
    </row>
    <row r="449" spans="1:1" x14ac:dyDescent="0.35">
      <c r="A449" s="178"/>
    </row>
    <row r="450" spans="1:1" x14ac:dyDescent="0.35">
      <c r="A450" s="178"/>
    </row>
    <row r="451" spans="1:1" x14ac:dyDescent="0.35">
      <c r="A451" s="178"/>
    </row>
    <row r="452" spans="1:1" x14ac:dyDescent="0.35">
      <c r="A452" s="178"/>
    </row>
    <row r="453" spans="1:1" x14ac:dyDescent="0.35">
      <c r="A453" s="178"/>
    </row>
    <row r="454" spans="1:1" x14ac:dyDescent="0.35">
      <c r="A454" s="178"/>
    </row>
    <row r="455" spans="1:1" x14ac:dyDescent="0.35">
      <c r="A455" s="178"/>
    </row>
    <row r="456" spans="1:1" x14ac:dyDescent="0.35">
      <c r="A456" s="178"/>
    </row>
    <row r="457" spans="1:1" x14ac:dyDescent="0.35">
      <c r="A457" s="178"/>
    </row>
    <row r="458" spans="1:1" x14ac:dyDescent="0.35">
      <c r="A458" s="178"/>
    </row>
    <row r="459" spans="1:1" x14ac:dyDescent="0.35">
      <c r="A459" s="178"/>
    </row>
    <row r="460" spans="1:1" x14ac:dyDescent="0.35">
      <c r="A460" s="178"/>
    </row>
    <row r="461" spans="1:1" x14ac:dyDescent="0.35">
      <c r="A461" s="178"/>
    </row>
    <row r="462" spans="1:1" x14ac:dyDescent="0.35">
      <c r="A462" s="178"/>
    </row>
    <row r="463" spans="1:1" x14ac:dyDescent="0.35">
      <c r="A463" s="178"/>
    </row>
    <row r="464" spans="1:1" x14ac:dyDescent="0.35">
      <c r="A464" s="178"/>
    </row>
    <row r="465" spans="1:1" x14ac:dyDescent="0.35">
      <c r="A465" s="178"/>
    </row>
    <row r="466" spans="1:1" x14ac:dyDescent="0.35">
      <c r="A466" s="178"/>
    </row>
    <row r="467" spans="1:1" x14ac:dyDescent="0.35">
      <c r="A467" s="178"/>
    </row>
    <row r="468" spans="1:1" x14ac:dyDescent="0.35">
      <c r="A468" s="178"/>
    </row>
    <row r="469" spans="1:1" x14ac:dyDescent="0.35">
      <c r="A469" s="178"/>
    </row>
    <row r="470" spans="1:1" x14ac:dyDescent="0.35">
      <c r="A470" s="178"/>
    </row>
    <row r="471" spans="1:1" x14ac:dyDescent="0.35">
      <c r="A471" s="178"/>
    </row>
    <row r="472" spans="1:1" x14ac:dyDescent="0.35">
      <c r="A472" s="178"/>
    </row>
    <row r="473" spans="1:1" x14ac:dyDescent="0.35">
      <c r="A473" s="178"/>
    </row>
    <row r="474" spans="1:1" x14ac:dyDescent="0.35">
      <c r="A474" s="178"/>
    </row>
    <row r="475" spans="1:1" x14ac:dyDescent="0.35">
      <c r="A475" s="178"/>
    </row>
    <row r="476" spans="1:1" x14ac:dyDescent="0.35">
      <c r="A476" s="178"/>
    </row>
    <row r="477" spans="1:1" x14ac:dyDescent="0.35">
      <c r="A477" s="178"/>
    </row>
    <row r="478" spans="1:1" x14ac:dyDescent="0.35">
      <c r="A478" s="178"/>
    </row>
    <row r="479" spans="1:1" x14ac:dyDescent="0.35">
      <c r="A479" s="178"/>
    </row>
    <row r="480" spans="1:1" x14ac:dyDescent="0.35">
      <c r="A480" s="178"/>
    </row>
    <row r="481" spans="1:1" x14ac:dyDescent="0.35">
      <c r="A481" s="178"/>
    </row>
    <row r="482" spans="1:1" x14ac:dyDescent="0.35">
      <c r="A482" s="178"/>
    </row>
    <row r="483" spans="1:1" x14ac:dyDescent="0.35">
      <c r="A483" s="178"/>
    </row>
    <row r="484" spans="1:1" x14ac:dyDescent="0.35">
      <c r="A484" s="178"/>
    </row>
    <row r="485" spans="1:1" x14ac:dyDescent="0.35">
      <c r="A485" s="178"/>
    </row>
    <row r="486" spans="1:1" x14ac:dyDescent="0.35">
      <c r="A486" s="178"/>
    </row>
    <row r="487" spans="1:1" x14ac:dyDescent="0.35">
      <c r="A487" s="178"/>
    </row>
    <row r="488" spans="1:1" x14ac:dyDescent="0.35">
      <c r="A488" s="178"/>
    </row>
    <row r="489" spans="1:1" x14ac:dyDescent="0.35">
      <c r="A489" s="178"/>
    </row>
    <row r="490" spans="1:1" x14ac:dyDescent="0.35">
      <c r="A490" s="178"/>
    </row>
    <row r="491" spans="1:1" x14ac:dyDescent="0.35">
      <c r="A491" s="178"/>
    </row>
    <row r="492" spans="1:1" x14ac:dyDescent="0.35">
      <c r="A492" s="178"/>
    </row>
    <row r="493" spans="1:1" x14ac:dyDescent="0.35">
      <c r="A493" s="178"/>
    </row>
    <row r="494" spans="1:1" x14ac:dyDescent="0.35">
      <c r="A494" s="178"/>
    </row>
    <row r="495" spans="1:1" x14ac:dyDescent="0.35">
      <c r="A495" s="178"/>
    </row>
    <row r="496" spans="1:1" x14ac:dyDescent="0.35">
      <c r="A496" s="178"/>
    </row>
    <row r="497" spans="1:1" x14ac:dyDescent="0.35">
      <c r="A497" s="178"/>
    </row>
    <row r="498" spans="1:1" x14ac:dyDescent="0.35">
      <c r="A498" s="178"/>
    </row>
    <row r="499" spans="1:1" x14ac:dyDescent="0.35">
      <c r="A499" s="178"/>
    </row>
    <row r="500" spans="1:1" x14ac:dyDescent="0.35">
      <c r="A500" s="178"/>
    </row>
    <row r="501" spans="1:1" x14ac:dyDescent="0.35">
      <c r="A501" s="178"/>
    </row>
    <row r="502" spans="1:1" x14ac:dyDescent="0.35">
      <c r="A502" s="178"/>
    </row>
    <row r="503" spans="1:1" x14ac:dyDescent="0.35">
      <c r="A503" s="178"/>
    </row>
    <row r="504" spans="1:1" x14ac:dyDescent="0.35">
      <c r="A504" s="178"/>
    </row>
    <row r="505" spans="1:1" x14ac:dyDescent="0.35">
      <c r="A505" s="178"/>
    </row>
    <row r="506" spans="1:1" x14ac:dyDescent="0.35">
      <c r="A506" s="178"/>
    </row>
    <row r="507" spans="1:1" x14ac:dyDescent="0.35">
      <c r="A507" s="178"/>
    </row>
    <row r="508" spans="1:1" x14ac:dyDescent="0.35">
      <c r="A508" s="178"/>
    </row>
    <row r="509" spans="1:1" x14ac:dyDescent="0.35">
      <c r="A509" s="178"/>
    </row>
    <row r="510" spans="1:1" x14ac:dyDescent="0.35">
      <c r="A510" s="178"/>
    </row>
    <row r="511" spans="1:1" x14ac:dyDescent="0.35">
      <c r="A511" s="178"/>
    </row>
    <row r="512" spans="1:1" x14ac:dyDescent="0.35">
      <c r="A512" s="178"/>
    </row>
    <row r="513" spans="1:1" x14ac:dyDescent="0.35">
      <c r="A513" s="178"/>
    </row>
    <row r="514" spans="1:1" x14ac:dyDescent="0.35">
      <c r="A514" s="178"/>
    </row>
    <row r="515" spans="1:1" x14ac:dyDescent="0.35">
      <c r="A515" s="178"/>
    </row>
    <row r="516" spans="1:1" x14ac:dyDescent="0.35">
      <c r="A516" s="178"/>
    </row>
    <row r="517" spans="1:1" x14ac:dyDescent="0.35">
      <c r="A517" s="178"/>
    </row>
    <row r="518" spans="1:1" x14ac:dyDescent="0.35">
      <c r="A518" s="178"/>
    </row>
    <row r="519" spans="1:1" x14ac:dyDescent="0.35">
      <c r="A519" s="178"/>
    </row>
    <row r="520" spans="1:1" x14ac:dyDescent="0.35">
      <c r="A520" s="178"/>
    </row>
    <row r="521" spans="1:1" x14ac:dyDescent="0.35">
      <c r="A521" s="178"/>
    </row>
    <row r="522" spans="1:1" x14ac:dyDescent="0.35">
      <c r="A522" s="178"/>
    </row>
    <row r="523" spans="1:1" x14ac:dyDescent="0.35">
      <c r="A523" s="178"/>
    </row>
    <row r="524" spans="1:1" x14ac:dyDescent="0.35">
      <c r="A524" s="178"/>
    </row>
    <row r="525" spans="1:1" x14ac:dyDescent="0.35">
      <c r="A525" s="178"/>
    </row>
    <row r="526" spans="1:1" x14ac:dyDescent="0.35">
      <c r="A526" s="178"/>
    </row>
    <row r="527" spans="1:1" x14ac:dyDescent="0.35">
      <c r="A527" s="178"/>
    </row>
    <row r="528" spans="1:1" x14ac:dyDescent="0.35">
      <c r="A528" s="178"/>
    </row>
    <row r="529" spans="1:1" x14ac:dyDescent="0.35">
      <c r="A529" s="178"/>
    </row>
    <row r="530" spans="1:1" x14ac:dyDescent="0.35">
      <c r="A530" s="178"/>
    </row>
    <row r="531" spans="1:1" x14ac:dyDescent="0.35">
      <c r="A531" s="178"/>
    </row>
    <row r="532" spans="1:1" x14ac:dyDescent="0.35">
      <c r="A532" s="178"/>
    </row>
    <row r="533" spans="1:1" x14ac:dyDescent="0.35">
      <c r="A533" s="178"/>
    </row>
    <row r="534" spans="1:1" x14ac:dyDescent="0.35">
      <c r="A534" s="178"/>
    </row>
    <row r="535" spans="1:1" x14ac:dyDescent="0.35">
      <c r="A535" s="178"/>
    </row>
    <row r="536" spans="1:1" x14ac:dyDescent="0.35">
      <c r="A536" s="178"/>
    </row>
    <row r="537" spans="1:1" x14ac:dyDescent="0.35">
      <c r="A537" s="178"/>
    </row>
    <row r="538" spans="1:1" x14ac:dyDescent="0.35">
      <c r="A538" s="178"/>
    </row>
    <row r="539" spans="1:1" x14ac:dyDescent="0.35">
      <c r="A539" s="178"/>
    </row>
    <row r="540" spans="1:1" x14ac:dyDescent="0.35">
      <c r="A540" s="178"/>
    </row>
    <row r="541" spans="1:1" x14ac:dyDescent="0.35">
      <c r="A541" s="178"/>
    </row>
    <row r="542" spans="1:1" x14ac:dyDescent="0.35">
      <c r="A542" s="178"/>
    </row>
    <row r="543" spans="1:1" x14ac:dyDescent="0.35">
      <c r="A543" s="178"/>
    </row>
    <row r="544" spans="1:1" x14ac:dyDescent="0.35">
      <c r="A544" s="178"/>
    </row>
    <row r="545" spans="1:1" x14ac:dyDescent="0.35">
      <c r="A545" s="178"/>
    </row>
    <row r="546" spans="1:1" x14ac:dyDescent="0.35">
      <c r="A546" s="178"/>
    </row>
    <row r="547" spans="1:1" x14ac:dyDescent="0.35">
      <c r="A547" s="178"/>
    </row>
    <row r="548" spans="1:1" x14ac:dyDescent="0.35">
      <c r="A548" s="178"/>
    </row>
    <row r="549" spans="1:1" x14ac:dyDescent="0.35">
      <c r="A549" s="178"/>
    </row>
    <row r="550" spans="1:1" x14ac:dyDescent="0.35">
      <c r="A550" s="178"/>
    </row>
    <row r="551" spans="1:1" x14ac:dyDescent="0.35">
      <c r="A551" s="178"/>
    </row>
    <row r="552" spans="1:1" x14ac:dyDescent="0.35">
      <c r="A552" s="178"/>
    </row>
    <row r="553" spans="1:1" x14ac:dyDescent="0.35">
      <c r="A553" s="178"/>
    </row>
    <row r="554" spans="1:1" x14ac:dyDescent="0.35">
      <c r="A554" s="178"/>
    </row>
    <row r="555" spans="1:1" x14ac:dyDescent="0.35">
      <c r="A555" s="178"/>
    </row>
    <row r="556" spans="1:1" x14ac:dyDescent="0.35">
      <c r="A556" s="178"/>
    </row>
    <row r="557" spans="1:1" x14ac:dyDescent="0.35">
      <c r="A557" s="178"/>
    </row>
    <row r="558" spans="1:1" x14ac:dyDescent="0.35">
      <c r="A558" s="178"/>
    </row>
    <row r="559" spans="1:1" x14ac:dyDescent="0.35">
      <c r="A559" s="178"/>
    </row>
    <row r="560" spans="1:1" x14ac:dyDescent="0.35">
      <c r="A560" s="178"/>
    </row>
    <row r="561" spans="1:1" x14ac:dyDescent="0.35">
      <c r="A561" s="178"/>
    </row>
    <row r="562" spans="1:1" x14ac:dyDescent="0.35">
      <c r="A562" s="178"/>
    </row>
    <row r="563" spans="1:1" x14ac:dyDescent="0.35">
      <c r="A563" s="178"/>
    </row>
    <row r="564" spans="1:1" x14ac:dyDescent="0.35">
      <c r="A564" s="178"/>
    </row>
    <row r="565" spans="1:1" x14ac:dyDescent="0.35">
      <c r="A565" s="178"/>
    </row>
    <row r="566" spans="1:1" x14ac:dyDescent="0.35">
      <c r="A566" s="178"/>
    </row>
    <row r="567" spans="1:1" x14ac:dyDescent="0.35">
      <c r="A567" s="178"/>
    </row>
    <row r="568" spans="1:1" x14ac:dyDescent="0.35">
      <c r="A568" s="178"/>
    </row>
    <row r="569" spans="1:1" x14ac:dyDescent="0.35">
      <c r="A569" s="178"/>
    </row>
    <row r="570" spans="1:1" x14ac:dyDescent="0.35">
      <c r="A570" s="178"/>
    </row>
    <row r="571" spans="1:1" x14ac:dyDescent="0.35">
      <c r="A571" s="178"/>
    </row>
    <row r="572" spans="1:1" x14ac:dyDescent="0.35">
      <c r="A572" s="178"/>
    </row>
    <row r="573" spans="1:1" x14ac:dyDescent="0.35">
      <c r="A573" s="178"/>
    </row>
    <row r="574" spans="1:1" x14ac:dyDescent="0.35">
      <c r="A574" s="178"/>
    </row>
    <row r="575" spans="1:1" x14ac:dyDescent="0.35">
      <c r="A575" s="178"/>
    </row>
    <row r="576" spans="1:1" x14ac:dyDescent="0.35">
      <c r="A576" s="178"/>
    </row>
    <row r="577" spans="1:1" x14ac:dyDescent="0.35">
      <c r="A577" s="178"/>
    </row>
    <row r="578" spans="1:1" x14ac:dyDescent="0.35">
      <c r="A578" s="178"/>
    </row>
    <row r="579" spans="1:1" x14ac:dyDescent="0.35">
      <c r="A579" s="178"/>
    </row>
    <row r="580" spans="1:1" x14ac:dyDescent="0.35">
      <c r="A580" s="178"/>
    </row>
    <row r="581" spans="1:1" x14ac:dyDescent="0.35">
      <c r="A581" s="178"/>
    </row>
    <row r="582" spans="1:1" x14ac:dyDescent="0.35">
      <c r="A582" s="178"/>
    </row>
    <row r="583" spans="1:1" x14ac:dyDescent="0.35">
      <c r="A583" s="178"/>
    </row>
    <row r="584" spans="1:1" x14ac:dyDescent="0.35">
      <c r="A584" s="178"/>
    </row>
    <row r="585" spans="1:1" x14ac:dyDescent="0.35">
      <c r="A585" s="178"/>
    </row>
    <row r="586" spans="1:1" x14ac:dyDescent="0.35">
      <c r="A586" s="178"/>
    </row>
    <row r="587" spans="1:1" x14ac:dyDescent="0.35">
      <c r="A587" s="178"/>
    </row>
    <row r="588" spans="1:1" x14ac:dyDescent="0.35">
      <c r="A588" s="178"/>
    </row>
    <row r="589" spans="1:1" x14ac:dyDescent="0.35">
      <c r="A589" s="178"/>
    </row>
    <row r="590" spans="1:1" x14ac:dyDescent="0.35">
      <c r="A590" s="178"/>
    </row>
    <row r="591" spans="1:1" x14ac:dyDescent="0.35">
      <c r="A591" s="178"/>
    </row>
    <row r="592" spans="1:1" x14ac:dyDescent="0.35">
      <c r="A592" s="178"/>
    </row>
    <row r="593" spans="1:1" x14ac:dyDescent="0.35">
      <c r="A593" s="178"/>
    </row>
    <row r="594" spans="1:1" x14ac:dyDescent="0.35">
      <c r="A594" s="178"/>
    </row>
    <row r="595" spans="1:1" x14ac:dyDescent="0.35">
      <c r="A595" s="178"/>
    </row>
    <row r="596" spans="1:1" x14ac:dyDescent="0.35">
      <c r="A596" s="178"/>
    </row>
    <row r="597" spans="1:1" x14ac:dyDescent="0.35">
      <c r="A597" s="178"/>
    </row>
    <row r="598" spans="1:1" x14ac:dyDescent="0.35">
      <c r="A598" s="178"/>
    </row>
    <row r="599" spans="1:1" x14ac:dyDescent="0.35">
      <c r="A599" s="178"/>
    </row>
    <row r="600" spans="1:1" x14ac:dyDescent="0.35">
      <c r="A600" s="178"/>
    </row>
    <row r="601" spans="1:1" x14ac:dyDescent="0.35">
      <c r="A601" s="178"/>
    </row>
    <row r="602" spans="1:1" x14ac:dyDescent="0.35">
      <c r="A602" s="178"/>
    </row>
    <row r="603" spans="1:1" x14ac:dyDescent="0.35">
      <c r="A603" s="178"/>
    </row>
    <row r="604" spans="1:1" x14ac:dyDescent="0.35">
      <c r="A604" s="178"/>
    </row>
    <row r="605" spans="1:1" x14ac:dyDescent="0.35">
      <c r="A605" s="178"/>
    </row>
    <row r="606" spans="1:1" x14ac:dyDescent="0.35">
      <c r="A606" s="178"/>
    </row>
    <row r="607" spans="1:1" x14ac:dyDescent="0.35">
      <c r="A607" s="178"/>
    </row>
    <row r="608" spans="1:1" x14ac:dyDescent="0.35">
      <c r="A608" s="178"/>
    </row>
    <row r="609" spans="1:1" x14ac:dyDescent="0.35">
      <c r="A609" s="178"/>
    </row>
    <row r="610" spans="1:1" x14ac:dyDescent="0.35">
      <c r="A610" s="178"/>
    </row>
    <row r="611" spans="1:1" x14ac:dyDescent="0.35">
      <c r="A611" s="178"/>
    </row>
    <row r="612" spans="1:1" x14ac:dyDescent="0.35">
      <c r="A612" s="178"/>
    </row>
    <row r="613" spans="1:1" x14ac:dyDescent="0.35">
      <c r="A613" s="178"/>
    </row>
    <row r="614" spans="1:1" x14ac:dyDescent="0.35">
      <c r="A614" s="178"/>
    </row>
    <row r="615" spans="1:1" x14ac:dyDescent="0.35">
      <c r="A615" s="178"/>
    </row>
    <row r="616" spans="1:1" x14ac:dyDescent="0.35">
      <c r="A616" s="178"/>
    </row>
    <row r="617" spans="1:1" x14ac:dyDescent="0.35">
      <c r="A617" s="178"/>
    </row>
    <row r="618" spans="1:1" x14ac:dyDescent="0.35">
      <c r="A618" s="178"/>
    </row>
    <row r="619" spans="1:1" x14ac:dyDescent="0.35">
      <c r="A619" s="178"/>
    </row>
    <row r="620" spans="1:1" x14ac:dyDescent="0.35">
      <c r="A620" s="178"/>
    </row>
    <row r="621" spans="1:1" x14ac:dyDescent="0.35">
      <c r="A621" s="178"/>
    </row>
    <row r="622" spans="1:1" x14ac:dyDescent="0.35">
      <c r="A622" s="178"/>
    </row>
    <row r="623" spans="1:1" x14ac:dyDescent="0.35">
      <c r="A623" s="178"/>
    </row>
    <row r="624" spans="1:1" x14ac:dyDescent="0.35">
      <c r="A624" s="178"/>
    </row>
    <row r="625" spans="1:1" x14ac:dyDescent="0.35">
      <c r="A625" s="178"/>
    </row>
    <row r="626" spans="1:1" x14ac:dyDescent="0.35">
      <c r="A626" s="178"/>
    </row>
    <row r="627" spans="1:1" x14ac:dyDescent="0.35">
      <c r="A627" s="178"/>
    </row>
    <row r="628" spans="1:1" x14ac:dyDescent="0.35">
      <c r="A628" s="178"/>
    </row>
    <row r="629" spans="1:1" x14ac:dyDescent="0.35">
      <c r="A629" s="178"/>
    </row>
    <row r="630" spans="1:1" x14ac:dyDescent="0.35">
      <c r="A630" s="178"/>
    </row>
    <row r="631" spans="1:1" x14ac:dyDescent="0.35">
      <c r="A631" s="178"/>
    </row>
    <row r="632" spans="1:1" x14ac:dyDescent="0.35">
      <c r="A632" s="178"/>
    </row>
    <row r="633" spans="1:1" x14ac:dyDescent="0.35">
      <c r="A633" s="178"/>
    </row>
    <row r="634" spans="1:1" x14ac:dyDescent="0.35">
      <c r="A634" s="178"/>
    </row>
    <row r="635" spans="1:1" x14ac:dyDescent="0.35">
      <c r="A635" s="178"/>
    </row>
    <row r="636" spans="1:1" x14ac:dyDescent="0.35">
      <c r="A636" s="178"/>
    </row>
    <row r="637" spans="1:1" x14ac:dyDescent="0.35">
      <c r="A637" s="178"/>
    </row>
    <row r="638" spans="1:1" x14ac:dyDescent="0.35">
      <c r="A638" s="178"/>
    </row>
    <row r="639" spans="1:1" x14ac:dyDescent="0.35">
      <c r="A639" s="178"/>
    </row>
    <row r="640" spans="1:1" x14ac:dyDescent="0.35">
      <c r="A640" s="178"/>
    </row>
    <row r="641" spans="1:1" x14ac:dyDescent="0.35">
      <c r="A641" s="178"/>
    </row>
    <row r="642" spans="1:1" x14ac:dyDescent="0.35">
      <c r="A642" s="178"/>
    </row>
    <row r="643" spans="1:1" x14ac:dyDescent="0.35">
      <c r="A643" s="178"/>
    </row>
    <row r="644" spans="1:1" x14ac:dyDescent="0.35">
      <c r="A644" s="178"/>
    </row>
    <row r="645" spans="1:1" x14ac:dyDescent="0.35">
      <c r="A645" s="178"/>
    </row>
    <row r="646" spans="1:1" x14ac:dyDescent="0.35">
      <c r="A646" s="178"/>
    </row>
    <row r="647" spans="1:1" x14ac:dyDescent="0.35">
      <c r="A647" s="178"/>
    </row>
    <row r="648" spans="1:1" x14ac:dyDescent="0.35">
      <c r="A648" s="178"/>
    </row>
    <row r="649" spans="1:1" x14ac:dyDescent="0.35">
      <c r="A649" s="178"/>
    </row>
    <row r="650" spans="1:1" x14ac:dyDescent="0.35">
      <c r="A650" s="178"/>
    </row>
    <row r="651" spans="1:1" x14ac:dyDescent="0.35">
      <c r="A651" s="178"/>
    </row>
    <row r="652" spans="1:1" x14ac:dyDescent="0.35">
      <c r="A652" s="178"/>
    </row>
    <row r="653" spans="1:1" x14ac:dyDescent="0.35">
      <c r="A653" s="178"/>
    </row>
    <row r="654" spans="1:1" x14ac:dyDescent="0.35">
      <c r="A654" s="178"/>
    </row>
    <row r="655" spans="1:1" x14ac:dyDescent="0.35">
      <c r="A655" s="178"/>
    </row>
    <row r="656" spans="1:1" x14ac:dyDescent="0.35">
      <c r="A656" s="178"/>
    </row>
    <row r="657" spans="1:1" x14ac:dyDescent="0.35">
      <c r="A657" s="178"/>
    </row>
    <row r="658" spans="1:1" x14ac:dyDescent="0.35">
      <c r="A658" s="178"/>
    </row>
    <row r="659" spans="1:1" x14ac:dyDescent="0.35">
      <c r="A659" s="178"/>
    </row>
    <row r="660" spans="1:1" x14ac:dyDescent="0.35">
      <c r="A660" s="178"/>
    </row>
    <row r="661" spans="1:1" x14ac:dyDescent="0.35">
      <c r="A661" s="178"/>
    </row>
    <row r="662" spans="1:1" x14ac:dyDescent="0.35">
      <c r="A662" s="178"/>
    </row>
    <row r="663" spans="1:1" x14ac:dyDescent="0.35">
      <c r="A663" s="178"/>
    </row>
    <row r="664" spans="1:1" x14ac:dyDescent="0.35">
      <c r="A664" s="178"/>
    </row>
    <row r="665" spans="1:1" x14ac:dyDescent="0.35">
      <c r="A665" s="178"/>
    </row>
    <row r="666" spans="1:1" x14ac:dyDescent="0.35">
      <c r="A666" s="178"/>
    </row>
    <row r="667" spans="1:1" x14ac:dyDescent="0.35">
      <c r="A667" s="178"/>
    </row>
    <row r="668" spans="1:1" x14ac:dyDescent="0.35">
      <c r="A668" s="178"/>
    </row>
    <row r="669" spans="1:1" x14ac:dyDescent="0.35">
      <c r="A669" s="178"/>
    </row>
    <row r="670" spans="1:1" x14ac:dyDescent="0.35">
      <c r="A670" s="178"/>
    </row>
    <row r="671" spans="1:1" x14ac:dyDescent="0.35">
      <c r="A671" s="178"/>
    </row>
    <row r="672" spans="1:1" x14ac:dyDescent="0.35">
      <c r="A672" s="178"/>
    </row>
    <row r="673" spans="1:1" x14ac:dyDescent="0.35">
      <c r="A673" s="178"/>
    </row>
    <row r="674" spans="1:1" x14ac:dyDescent="0.35">
      <c r="A674" s="178"/>
    </row>
    <row r="675" spans="1:1" x14ac:dyDescent="0.35">
      <c r="A675" s="178"/>
    </row>
    <row r="676" spans="1:1" x14ac:dyDescent="0.35">
      <c r="A676" s="178"/>
    </row>
    <row r="677" spans="1:1" x14ac:dyDescent="0.35">
      <c r="A677" s="178"/>
    </row>
    <row r="678" spans="1:1" x14ac:dyDescent="0.35">
      <c r="A678" s="178"/>
    </row>
    <row r="679" spans="1:1" x14ac:dyDescent="0.35">
      <c r="A679" s="178"/>
    </row>
    <row r="680" spans="1:1" x14ac:dyDescent="0.35">
      <c r="A680" s="178"/>
    </row>
    <row r="681" spans="1:1" x14ac:dyDescent="0.35">
      <c r="A681" s="178"/>
    </row>
    <row r="682" spans="1:1" x14ac:dyDescent="0.35">
      <c r="A682" s="178"/>
    </row>
    <row r="683" spans="1:1" x14ac:dyDescent="0.35">
      <c r="A683" s="178"/>
    </row>
    <row r="684" spans="1:1" x14ac:dyDescent="0.35">
      <c r="A684" s="178"/>
    </row>
    <row r="685" spans="1:1" x14ac:dyDescent="0.35">
      <c r="A685" s="178"/>
    </row>
    <row r="686" spans="1:1" x14ac:dyDescent="0.35">
      <c r="A686" s="178"/>
    </row>
    <row r="687" spans="1:1" x14ac:dyDescent="0.35">
      <c r="A687" s="178"/>
    </row>
    <row r="688" spans="1:1" x14ac:dyDescent="0.35">
      <c r="A688" s="178"/>
    </row>
    <row r="689" spans="1:1" x14ac:dyDescent="0.35">
      <c r="A689" s="178"/>
    </row>
    <row r="690" spans="1:1" x14ac:dyDescent="0.35">
      <c r="A690" s="178"/>
    </row>
    <row r="691" spans="1:1" x14ac:dyDescent="0.35">
      <c r="A691" s="178"/>
    </row>
    <row r="692" spans="1:1" x14ac:dyDescent="0.35">
      <c r="A692" s="178"/>
    </row>
    <row r="693" spans="1:1" x14ac:dyDescent="0.35">
      <c r="A693" s="178"/>
    </row>
    <row r="694" spans="1:1" x14ac:dyDescent="0.35">
      <c r="A694" s="178"/>
    </row>
    <row r="695" spans="1:1" x14ac:dyDescent="0.35">
      <c r="A695" s="178"/>
    </row>
    <row r="696" spans="1:1" x14ac:dyDescent="0.35">
      <c r="A696" s="178"/>
    </row>
    <row r="697" spans="1:1" x14ac:dyDescent="0.35">
      <c r="A697" s="178"/>
    </row>
    <row r="698" spans="1:1" x14ac:dyDescent="0.35">
      <c r="A698" s="178"/>
    </row>
    <row r="699" spans="1:1" x14ac:dyDescent="0.35">
      <c r="A699" s="178"/>
    </row>
    <row r="700" spans="1:1" x14ac:dyDescent="0.35">
      <c r="A700" s="178"/>
    </row>
    <row r="701" spans="1:1" x14ac:dyDescent="0.35">
      <c r="A701" s="178"/>
    </row>
    <row r="702" spans="1:1" x14ac:dyDescent="0.35">
      <c r="A702" s="178"/>
    </row>
    <row r="703" spans="1:1" x14ac:dyDescent="0.35">
      <c r="A703" s="178"/>
    </row>
    <row r="704" spans="1:1" x14ac:dyDescent="0.35">
      <c r="A704" s="178"/>
    </row>
    <row r="705" spans="1:1" x14ac:dyDescent="0.35">
      <c r="A705" s="178"/>
    </row>
    <row r="706" spans="1:1" x14ac:dyDescent="0.35">
      <c r="A706" s="178"/>
    </row>
    <row r="707" spans="1:1" x14ac:dyDescent="0.35">
      <c r="A707" s="178"/>
    </row>
    <row r="708" spans="1:1" x14ac:dyDescent="0.35">
      <c r="A708" s="178"/>
    </row>
    <row r="709" spans="1:1" x14ac:dyDescent="0.35">
      <c r="A709" s="178"/>
    </row>
    <row r="710" spans="1:1" x14ac:dyDescent="0.35">
      <c r="A710" s="178"/>
    </row>
    <row r="711" spans="1:1" x14ac:dyDescent="0.35">
      <c r="A711" s="178"/>
    </row>
    <row r="712" spans="1:1" x14ac:dyDescent="0.35">
      <c r="A712" s="178"/>
    </row>
    <row r="713" spans="1:1" x14ac:dyDescent="0.35">
      <c r="A713" s="178"/>
    </row>
    <row r="714" spans="1:1" x14ac:dyDescent="0.35">
      <c r="A714" s="178"/>
    </row>
    <row r="715" spans="1:1" x14ac:dyDescent="0.35">
      <c r="A715" s="178"/>
    </row>
    <row r="716" spans="1:1" x14ac:dyDescent="0.35">
      <c r="A716" s="178"/>
    </row>
    <row r="717" spans="1:1" x14ac:dyDescent="0.35">
      <c r="A717" s="178"/>
    </row>
    <row r="718" spans="1:1" x14ac:dyDescent="0.35">
      <c r="A718" s="178"/>
    </row>
    <row r="719" spans="1:1" x14ac:dyDescent="0.35">
      <c r="A719" s="178"/>
    </row>
    <row r="720" spans="1:1" x14ac:dyDescent="0.35">
      <c r="A720" s="178"/>
    </row>
    <row r="721" spans="1:1" x14ac:dyDescent="0.35">
      <c r="A721" s="178"/>
    </row>
    <row r="722" spans="1:1" x14ac:dyDescent="0.35">
      <c r="A722" s="178"/>
    </row>
    <row r="723" spans="1:1" x14ac:dyDescent="0.35">
      <c r="A723" s="178"/>
    </row>
    <row r="724" spans="1:1" x14ac:dyDescent="0.35">
      <c r="A724" s="178"/>
    </row>
    <row r="725" spans="1:1" x14ac:dyDescent="0.35">
      <c r="A725" s="178"/>
    </row>
    <row r="726" spans="1:1" x14ac:dyDescent="0.35">
      <c r="A726" s="178"/>
    </row>
    <row r="727" spans="1:1" x14ac:dyDescent="0.35">
      <c r="A727" s="178"/>
    </row>
    <row r="728" spans="1:1" x14ac:dyDescent="0.35">
      <c r="A728" s="178"/>
    </row>
    <row r="729" spans="1:1" x14ac:dyDescent="0.35">
      <c r="A729" s="178"/>
    </row>
    <row r="730" spans="1:1" x14ac:dyDescent="0.35">
      <c r="A730" s="178"/>
    </row>
    <row r="731" spans="1:1" x14ac:dyDescent="0.35">
      <c r="A731" s="178"/>
    </row>
    <row r="732" spans="1:1" x14ac:dyDescent="0.35">
      <c r="A732" s="178"/>
    </row>
    <row r="733" spans="1:1" x14ac:dyDescent="0.35">
      <c r="A733" s="178"/>
    </row>
    <row r="734" spans="1:1" x14ac:dyDescent="0.35">
      <c r="A734" s="178"/>
    </row>
    <row r="735" spans="1:1" x14ac:dyDescent="0.35">
      <c r="A735" s="178"/>
    </row>
    <row r="736" spans="1:1" x14ac:dyDescent="0.35">
      <c r="A736" s="178"/>
    </row>
    <row r="737" spans="1:1" x14ac:dyDescent="0.35">
      <c r="A737" s="178"/>
    </row>
    <row r="738" spans="1:1" x14ac:dyDescent="0.35">
      <c r="A738" s="178"/>
    </row>
    <row r="739" spans="1:1" x14ac:dyDescent="0.35">
      <c r="A739" s="178"/>
    </row>
    <row r="740" spans="1:1" x14ac:dyDescent="0.35">
      <c r="A740" s="178"/>
    </row>
    <row r="741" spans="1:1" x14ac:dyDescent="0.35">
      <c r="A741" s="178"/>
    </row>
    <row r="742" spans="1:1" x14ac:dyDescent="0.35">
      <c r="A742" s="178"/>
    </row>
    <row r="743" spans="1:1" x14ac:dyDescent="0.35">
      <c r="A743" s="178"/>
    </row>
    <row r="744" spans="1:1" x14ac:dyDescent="0.35">
      <c r="A744" s="178"/>
    </row>
    <row r="745" spans="1:1" x14ac:dyDescent="0.35">
      <c r="A745" s="178"/>
    </row>
    <row r="746" spans="1:1" x14ac:dyDescent="0.35">
      <c r="A746" s="178"/>
    </row>
    <row r="747" spans="1:1" x14ac:dyDescent="0.35">
      <c r="A747" s="178"/>
    </row>
    <row r="748" spans="1:1" x14ac:dyDescent="0.35">
      <c r="A748" s="178"/>
    </row>
    <row r="749" spans="1:1" x14ac:dyDescent="0.35">
      <c r="A749" s="178"/>
    </row>
    <row r="750" spans="1:1" x14ac:dyDescent="0.35">
      <c r="A750" s="178"/>
    </row>
    <row r="751" spans="1:1" x14ac:dyDescent="0.35">
      <c r="A751" s="178"/>
    </row>
    <row r="752" spans="1:1" x14ac:dyDescent="0.35">
      <c r="A752" s="178"/>
    </row>
    <row r="753" spans="1:1" x14ac:dyDescent="0.35">
      <c r="A753" s="178"/>
    </row>
    <row r="754" spans="1:1" x14ac:dyDescent="0.35">
      <c r="A754" s="178"/>
    </row>
    <row r="755" spans="1:1" x14ac:dyDescent="0.35">
      <c r="A755" s="178"/>
    </row>
    <row r="756" spans="1:1" x14ac:dyDescent="0.35">
      <c r="A756" s="178"/>
    </row>
    <row r="757" spans="1:1" x14ac:dyDescent="0.35">
      <c r="A757" s="178"/>
    </row>
    <row r="758" spans="1:1" x14ac:dyDescent="0.35">
      <c r="A758" s="178"/>
    </row>
    <row r="759" spans="1:1" x14ac:dyDescent="0.35">
      <c r="A759" s="178"/>
    </row>
    <row r="760" spans="1:1" x14ac:dyDescent="0.35">
      <c r="A760" s="178"/>
    </row>
    <row r="761" spans="1:1" x14ac:dyDescent="0.35">
      <c r="A761" s="178"/>
    </row>
    <row r="762" spans="1:1" x14ac:dyDescent="0.35">
      <c r="A762" s="178"/>
    </row>
    <row r="763" spans="1:1" x14ac:dyDescent="0.35">
      <c r="A763" s="178"/>
    </row>
    <row r="764" spans="1:1" x14ac:dyDescent="0.35">
      <c r="A764" s="178"/>
    </row>
    <row r="765" spans="1:1" x14ac:dyDescent="0.35">
      <c r="A765" s="178"/>
    </row>
    <row r="766" spans="1:1" x14ac:dyDescent="0.35">
      <c r="A766" s="178"/>
    </row>
    <row r="767" spans="1:1" x14ac:dyDescent="0.35">
      <c r="A767" s="178"/>
    </row>
    <row r="768" spans="1:1" x14ac:dyDescent="0.35">
      <c r="A768" s="178"/>
    </row>
    <row r="769" spans="1:1" x14ac:dyDescent="0.35">
      <c r="A769" s="178"/>
    </row>
    <row r="770" spans="1:1" x14ac:dyDescent="0.35">
      <c r="A770" s="178"/>
    </row>
    <row r="771" spans="1:1" x14ac:dyDescent="0.35">
      <c r="A771" s="178"/>
    </row>
    <row r="772" spans="1:1" x14ac:dyDescent="0.35">
      <c r="A772" s="178"/>
    </row>
    <row r="773" spans="1:1" x14ac:dyDescent="0.35">
      <c r="A773" s="178"/>
    </row>
    <row r="774" spans="1:1" x14ac:dyDescent="0.35">
      <c r="A774" s="178"/>
    </row>
    <row r="775" spans="1:1" x14ac:dyDescent="0.35">
      <c r="A775" s="178"/>
    </row>
    <row r="776" spans="1:1" x14ac:dyDescent="0.35">
      <c r="A776" s="178"/>
    </row>
    <row r="777" spans="1:1" x14ac:dyDescent="0.35">
      <c r="A777" s="178"/>
    </row>
    <row r="778" spans="1:1" x14ac:dyDescent="0.35">
      <c r="A778" s="178"/>
    </row>
    <row r="779" spans="1:1" x14ac:dyDescent="0.35">
      <c r="A779" s="178"/>
    </row>
    <row r="780" spans="1:1" x14ac:dyDescent="0.35">
      <c r="A780" s="178"/>
    </row>
    <row r="781" spans="1:1" x14ac:dyDescent="0.35">
      <c r="A781" s="178"/>
    </row>
    <row r="782" spans="1:1" x14ac:dyDescent="0.35">
      <c r="A782" s="178"/>
    </row>
    <row r="783" spans="1:1" x14ac:dyDescent="0.35">
      <c r="A783" s="178"/>
    </row>
    <row r="784" spans="1:1" x14ac:dyDescent="0.35">
      <c r="A784" s="178"/>
    </row>
    <row r="785" spans="1:1" x14ac:dyDescent="0.35">
      <c r="A785" s="178"/>
    </row>
    <row r="786" spans="1:1" x14ac:dyDescent="0.35">
      <c r="A786" s="178"/>
    </row>
    <row r="787" spans="1:1" x14ac:dyDescent="0.35">
      <c r="A787" s="178"/>
    </row>
    <row r="788" spans="1:1" x14ac:dyDescent="0.35">
      <c r="A788" s="178"/>
    </row>
    <row r="789" spans="1:1" x14ac:dyDescent="0.35">
      <c r="A789" s="178"/>
    </row>
    <row r="790" spans="1:1" x14ac:dyDescent="0.35">
      <c r="A790" s="178"/>
    </row>
    <row r="791" spans="1:1" x14ac:dyDescent="0.35">
      <c r="A791" s="178"/>
    </row>
    <row r="792" spans="1:1" x14ac:dyDescent="0.35">
      <c r="A792" s="178"/>
    </row>
    <row r="793" spans="1:1" x14ac:dyDescent="0.35">
      <c r="A793" s="178"/>
    </row>
    <row r="794" spans="1:1" x14ac:dyDescent="0.35">
      <c r="A794" s="178"/>
    </row>
    <row r="795" spans="1:1" x14ac:dyDescent="0.35">
      <c r="A795" s="178"/>
    </row>
    <row r="796" spans="1:1" x14ac:dyDescent="0.35">
      <c r="A796" s="178"/>
    </row>
    <row r="797" spans="1:1" x14ac:dyDescent="0.35">
      <c r="A797" s="178"/>
    </row>
    <row r="798" spans="1:1" x14ac:dyDescent="0.35">
      <c r="A798" s="178"/>
    </row>
    <row r="799" spans="1:1" x14ac:dyDescent="0.35">
      <c r="A799" s="178"/>
    </row>
    <row r="800" spans="1:1" x14ac:dyDescent="0.35">
      <c r="A800" s="178"/>
    </row>
    <row r="801" spans="1:1" x14ac:dyDescent="0.35">
      <c r="A801" s="178"/>
    </row>
    <row r="802" spans="1:1" x14ac:dyDescent="0.35">
      <c r="A802" s="178"/>
    </row>
    <row r="803" spans="1:1" x14ac:dyDescent="0.35">
      <c r="A803" s="178"/>
    </row>
    <row r="804" spans="1:1" x14ac:dyDescent="0.35">
      <c r="A804" s="178"/>
    </row>
    <row r="805" spans="1:1" x14ac:dyDescent="0.35">
      <c r="A805" s="178"/>
    </row>
    <row r="806" spans="1:1" x14ac:dyDescent="0.35">
      <c r="A806" s="178"/>
    </row>
    <row r="807" spans="1:1" x14ac:dyDescent="0.35">
      <c r="A807" s="178"/>
    </row>
    <row r="808" spans="1:1" x14ac:dyDescent="0.35">
      <c r="A808" s="178"/>
    </row>
    <row r="809" spans="1:1" x14ac:dyDescent="0.35">
      <c r="A809" s="178"/>
    </row>
    <row r="810" spans="1:1" x14ac:dyDescent="0.35">
      <c r="A810" s="178"/>
    </row>
    <row r="811" spans="1:1" x14ac:dyDescent="0.35">
      <c r="A811" s="178"/>
    </row>
    <row r="812" spans="1:1" x14ac:dyDescent="0.35">
      <c r="A812" s="178"/>
    </row>
    <row r="813" spans="1:1" x14ac:dyDescent="0.35">
      <c r="A813" s="178"/>
    </row>
    <row r="814" spans="1:1" x14ac:dyDescent="0.35">
      <c r="A814" s="178"/>
    </row>
    <row r="815" spans="1:1" x14ac:dyDescent="0.35">
      <c r="A815" s="178"/>
    </row>
    <row r="816" spans="1:1" x14ac:dyDescent="0.35">
      <c r="A816" s="178"/>
    </row>
    <row r="817" spans="1:1" x14ac:dyDescent="0.35">
      <c r="A817" s="178"/>
    </row>
    <row r="818" spans="1:1" x14ac:dyDescent="0.35">
      <c r="A818" s="178"/>
    </row>
    <row r="819" spans="1:1" x14ac:dyDescent="0.35">
      <c r="A819" s="178"/>
    </row>
    <row r="820" spans="1:1" x14ac:dyDescent="0.35">
      <c r="A820" s="178"/>
    </row>
    <row r="821" spans="1:1" x14ac:dyDescent="0.35">
      <c r="A821" s="178"/>
    </row>
    <row r="822" spans="1:1" x14ac:dyDescent="0.35">
      <c r="A822" s="178"/>
    </row>
    <row r="823" spans="1:1" x14ac:dyDescent="0.35">
      <c r="A823" s="178"/>
    </row>
    <row r="824" spans="1:1" x14ac:dyDescent="0.35">
      <c r="A824" s="178"/>
    </row>
    <row r="825" spans="1:1" x14ac:dyDescent="0.35">
      <c r="A825" s="178"/>
    </row>
    <row r="826" spans="1:1" x14ac:dyDescent="0.35">
      <c r="A826" s="178"/>
    </row>
    <row r="827" spans="1:1" x14ac:dyDescent="0.35">
      <c r="A827" s="178"/>
    </row>
    <row r="828" spans="1:1" x14ac:dyDescent="0.35">
      <c r="A828" s="178"/>
    </row>
    <row r="829" spans="1:1" x14ac:dyDescent="0.35">
      <c r="A829" s="178"/>
    </row>
    <row r="830" spans="1:1" x14ac:dyDescent="0.35">
      <c r="A830" s="178"/>
    </row>
    <row r="831" spans="1:1" x14ac:dyDescent="0.35">
      <c r="A831" s="178"/>
    </row>
    <row r="832" spans="1:1" x14ac:dyDescent="0.35">
      <c r="A832" s="178"/>
    </row>
    <row r="833" spans="1:1" x14ac:dyDescent="0.35">
      <c r="A833" s="178"/>
    </row>
    <row r="834" spans="1:1" x14ac:dyDescent="0.35">
      <c r="A834" s="178"/>
    </row>
    <row r="835" spans="1:1" x14ac:dyDescent="0.35">
      <c r="A835" s="178"/>
    </row>
    <row r="836" spans="1:1" x14ac:dyDescent="0.35">
      <c r="A836" s="178"/>
    </row>
    <row r="837" spans="1:1" x14ac:dyDescent="0.35">
      <c r="A837" s="178"/>
    </row>
    <row r="838" spans="1:1" x14ac:dyDescent="0.35">
      <c r="A838" s="178"/>
    </row>
    <row r="839" spans="1:1" x14ac:dyDescent="0.35">
      <c r="A839" s="178"/>
    </row>
    <row r="840" spans="1:1" x14ac:dyDescent="0.35">
      <c r="A840" s="178"/>
    </row>
    <row r="841" spans="1:1" x14ac:dyDescent="0.35">
      <c r="A841" s="178"/>
    </row>
    <row r="842" spans="1:1" x14ac:dyDescent="0.35">
      <c r="A842" s="178"/>
    </row>
    <row r="843" spans="1:1" x14ac:dyDescent="0.35">
      <c r="A843" s="178"/>
    </row>
    <row r="844" spans="1:1" x14ac:dyDescent="0.35">
      <c r="A844" s="178"/>
    </row>
    <row r="845" spans="1:1" x14ac:dyDescent="0.35">
      <c r="A845" s="178"/>
    </row>
    <row r="846" spans="1:1" x14ac:dyDescent="0.35">
      <c r="A846" s="178"/>
    </row>
    <row r="847" spans="1:1" x14ac:dyDescent="0.35">
      <c r="A847" s="178"/>
    </row>
    <row r="848" spans="1:1" x14ac:dyDescent="0.35">
      <c r="A848" s="178"/>
    </row>
    <row r="849" spans="1:1" x14ac:dyDescent="0.35">
      <c r="A849" s="178"/>
    </row>
    <row r="850" spans="1:1" x14ac:dyDescent="0.35">
      <c r="A850" s="178"/>
    </row>
    <row r="851" spans="1:1" x14ac:dyDescent="0.35">
      <c r="A851" s="178"/>
    </row>
    <row r="852" spans="1:1" x14ac:dyDescent="0.35">
      <c r="A852" s="178"/>
    </row>
    <row r="853" spans="1:1" x14ac:dyDescent="0.35">
      <c r="A853" s="178"/>
    </row>
    <row r="854" spans="1:1" x14ac:dyDescent="0.35">
      <c r="A854" s="178"/>
    </row>
    <row r="855" spans="1:1" x14ac:dyDescent="0.35">
      <c r="A855" s="178"/>
    </row>
    <row r="856" spans="1:1" x14ac:dyDescent="0.35">
      <c r="A856" s="178"/>
    </row>
    <row r="857" spans="1:1" x14ac:dyDescent="0.35">
      <c r="A857" s="178"/>
    </row>
    <row r="858" spans="1:1" x14ac:dyDescent="0.35">
      <c r="A858" s="178"/>
    </row>
    <row r="859" spans="1:1" x14ac:dyDescent="0.35">
      <c r="A859" s="178"/>
    </row>
    <row r="860" spans="1:1" x14ac:dyDescent="0.35">
      <c r="A860" s="178"/>
    </row>
    <row r="861" spans="1:1" x14ac:dyDescent="0.35">
      <c r="A861" s="178"/>
    </row>
    <row r="862" spans="1:1" x14ac:dyDescent="0.35">
      <c r="A862" s="178"/>
    </row>
    <row r="863" spans="1:1" x14ac:dyDescent="0.35">
      <c r="A863" s="178"/>
    </row>
    <row r="864" spans="1:1" x14ac:dyDescent="0.35">
      <c r="A864" s="178"/>
    </row>
    <row r="865" spans="1:1" x14ac:dyDescent="0.35">
      <c r="A865" s="178"/>
    </row>
    <row r="866" spans="1:1" x14ac:dyDescent="0.35">
      <c r="A866" s="178"/>
    </row>
    <row r="867" spans="1:1" x14ac:dyDescent="0.35">
      <c r="A867" s="178"/>
    </row>
    <row r="868" spans="1:1" x14ac:dyDescent="0.35">
      <c r="A868" s="178"/>
    </row>
    <row r="869" spans="1:1" x14ac:dyDescent="0.35">
      <c r="A869" s="178"/>
    </row>
    <row r="870" spans="1:1" x14ac:dyDescent="0.35">
      <c r="A870" s="178"/>
    </row>
    <row r="871" spans="1:1" x14ac:dyDescent="0.35">
      <c r="A871" s="178"/>
    </row>
    <row r="872" spans="1:1" x14ac:dyDescent="0.35">
      <c r="A872" s="178"/>
    </row>
    <row r="873" spans="1:1" x14ac:dyDescent="0.35">
      <c r="A873" s="178"/>
    </row>
    <row r="874" spans="1:1" x14ac:dyDescent="0.35">
      <c r="A874" s="178"/>
    </row>
    <row r="875" spans="1:1" x14ac:dyDescent="0.35">
      <c r="A875" s="178"/>
    </row>
    <row r="876" spans="1:1" x14ac:dyDescent="0.35">
      <c r="A876" s="178"/>
    </row>
    <row r="877" spans="1:1" x14ac:dyDescent="0.35">
      <c r="A877" s="178"/>
    </row>
    <row r="878" spans="1:1" x14ac:dyDescent="0.35">
      <c r="A878" s="178"/>
    </row>
    <row r="879" spans="1:1" x14ac:dyDescent="0.35">
      <c r="A879" s="178"/>
    </row>
    <row r="880" spans="1:1" x14ac:dyDescent="0.35">
      <c r="A880" s="178"/>
    </row>
    <row r="881" spans="1:1" x14ac:dyDescent="0.35">
      <c r="A881" s="178"/>
    </row>
    <row r="882" spans="1:1" x14ac:dyDescent="0.35">
      <c r="A882" s="178"/>
    </row>
    <row r="883" spans="1:1" x14ac:dyDescent="0.35">
      <c r="A883" s="178"/>
    </row>
    <row r="884" spans="1:1" x14ac:dyDescent="0.35">
      <c r="A884" s="178"/>
    </row>
    <row r="885" spans="1:1" x14ac:dyDescent="0.35">
      <c r="A885" s="178"/>
    </row>
    <row r="886" spans="1:1" x14ac:dyDescent="0.35">
      <c r="A886" s="178"/>
    </row>
    <row r="887" spans="1:1" x14ac:dyDescent="0.35">
      <c r="A887" s="178"/>
    </row>
    <row r="888" spans="1:1" x14ac:dyDescent="0.35">
      <c r="A888" s="178"/>
    </row>
    <row r="889" spans="1:1" x14ac:dyDescent="0.35">
      <c r="A889" s="178"/>
    </row>
    <row r="890" spans="1:1" x14ac:dyDescent="0.35">
      <c r="A890" s="178"/>
    </row>
    <row r="891" spans="1:1" x14ac:dyDescent="0.35">
      <c r="A891" s="178"/>
    </row>
    <row r="892" spans="1:1" x14ac:dyDescent="0.35">
      <c r="A892" s="178"/>
    </row>
    <row r="893" spans="1:1" x14ac:dyDescent="0.35">
      <c r="A893" s="178"/>
    </row>
    <row r="894" spans="1:1" x14ac:dyDescent="0.35">
      <c r="A894" s="178"/>
    </row>
    <row r="895" spans="1:1" x14ac:dyDescent="0.35">
      <c r="A895" s="178"/>
    </row>
    <row r="896" spans="1:1" x14ac:dyDescent="0.35">
      <c r="A896" s="178"/>
    </row>
    <row r="897" spans="1:1" x14ac:dyDescent="0.35">
      <c r="A897" s="178"/>
    </row>
    <row r="898" spans="1:1" x14ac:dyDescent="0.35">
      <c r="A898" s="178"/>
    </row>
    <row r="899" spans="1:1" x14ac:dyDescent="0.35">
      <c r="A899" s="178"/>
    </row>
    <row r="900" spans="1:1" x14ac:dyDescent="0.35">
      <c r="A900" s="178"/>
    </row>
    <row r="901" spans="1:1" x14ac:dyDescent="0.35">
      <c r="A901" s="178"/>
    </row>
    <row r="902" spans="1:1" x14ac:dyDescent="0.35">
      <c r="A902" s="178"/>
    </row>
    <row r="903" spans="1:1" x14ac:dyDescent="0.35">
      <c r="A903" s="178"/>
    </row>
    <row r="904" spans="1:1" x14ac:dyDescent="0.35">
      <c r="A904" s="178"/>
    </row>
    <row r="905" spans="1:1" x14ac:dyDescent="0.35">
      <c r="A905" s="178"/>
    </row>
    <row r="906" spans="1:1" x14ac:dyDescent="0.35">
      <c r="A906" s="178"/>
    </row>
    <row r="907" spans="1:1" x14ac:dyDescent="0.35">
      <c r="A907" s="178"/>
    </row>
    <row r="908" spans="1:1" x14ac:dyDescent="0.35">
      <c r="A908" s="178"/>
    </row>
    <row r="909" spans="1:1" x14ac:dyDescent="0.35">
      <c r="A909" s="178"/>
    </row>
    <row r="910" spans="1:1" x14ac:dyDescent="0.35">
      <c r="A910" s="178"/>
    </row>
    <row r="911" spans="1:1" x14ac:dyDescent="0.35">
      <c r="A911" s="178"/>
    </row>
    <row r="912" spans="1:1" x14ac:dyDescent="0.35">
      <c r="A912" s="178"/>
    </row>
    <row r="913" spans="1:1" x14ac:dyDescent="0.35">
      <c r="A913" s="178"/>
    </row>
    <row r="914" spans="1:1" x14ac:dyDescent="0.35">
      <c r="A914" s="178"/>
    </row>
    <row r="915" spans="1:1" x14ac:dyDescent="0.35">
      <c r="A915" s="178"/>
    </row>
    <row r="916" spans="1:1" x14ac:dyDescent="0.35">
      <c r="A916" s="178"/>
    </row>
    <row r="917" spans="1:1" x14ac:dyDescent="0.35">
      <c r="A917" s="178"/>
    </row>
    <row r="918" spans="1:1" x14ac:dyDescent="0.35">
      <c r="A918" s="178"/>
    </row>
    <row r="919" spans="1:1" x14ac:dyDescent="0.35">
      <c r="A919" s="178"/>
    </row>
    <row r="920" spans="1:1" x14ac:dyDescent="0.35">
      <c r="A920" s="178"/>
    </row>
    <row r="921" spans="1:1" x14ac:dyDescent="0.35">
      <c r="A921" s="178"/>
    </row>
    <row r="922" spans="1:1" x14ac:dyDescent="0.35">
      <c r="A922" s="178"/>
    </row>
    <row r="923" spans="1:1" x14ac:dyDescent="0.35">
      <c r="A923" s="178"/>
    </row>
    <row r="924" spans="1:1" x14ac:dyDescent="0.35">
      <c r="A924" s="178"/>
    </row>
    <row r="925" spans="1:1" x14ac:dyDescent="0.35">
      <c r="A925" s="178"/>
    </row>
    <row r="926" spans="1:1" x14ac:dyDescent="0.35">
      <c r="A926" s="178"/>
    </row>
    <row r="927" spans="1:1" x14ac:dyDescent="0.35">
      <c r="A927" s="178"/>
    </row>
    <row r="928" spans="1:1" x14ac:dyDescent="0.35">
      <c r="A928" s="178"/>
    </row>
    <row r="929" spans="1:1" x14ac:dyDescent="0.35">
      <c r="A929" s="178"/>
    </row>
    <row r="930" spans="1:1" x14ac:dyDescent="0.35">
      <c r="A930" s="178"/>
    </row>
    <row r="931" spans="1:1" x14ac:dyDescent="0.35">
      <c r="A931" s="178"/>
    </row>
    <row r="932" spans="1:1" x14ac:dyDescent="0.35">
      <c r="A932" s="178"/>
    </row>
    <row r="933" spans="1:1" x14ac:dyDescent="0.35">
      <c r="A933" s="178"/>
    </row>
    <row r="934" spans="1:1" x14ac:dyDescent="0.35">
      <c r="A934" s="178"/>
    </row>
    <row r="935" spans="1:1" x14ac:dyDescent="0.35">
      <c r="A935" s="178"/>
    </row>
    <row r="936" spans="1:1" x14ac:dyDescent="0.35">
      <c r="A936" s="178"/>
    </row>
    <row r="937" spans="1:1" x14ac:dyDescent="0.35">
      <c r="A937" s="178"/>
    </row>
    <row r="938" spans="1:1" x14ac:dyDescent="0.35">
      <c r="A938" s="178"/>
    </row>
    <row r="939" spans="1:1" x14ac:dyDescent="0.35">
      <c r="A939" s="178"/>
    </row>
    <row r="940" spans="1:1" x14ac:dyDescent="0.35">
      <c r="A940" s="178"/>
    </row>
    <row r="941" spans="1:1" x14ac:dyDescent="0.35">
      <c r="A941" s="178"/>
    </row>
    <row r="942" spans="1:1" x14ac:dyDescent="0.35">
      <c r="A942" s="178"/>
    </row>
    <row r="943" spans="1:1" x14ac:dyDescent="0.35">
      <c r="A943" s="178"/>
    </row>
    <row r="944" spans="1:1" x14ac:dyDescent="0.35">
      <c r="A944" s="178"/>
    </row>
    <row r="945" spans="1:1" x14ac:dyDescent="0.35">
      <c r="A945" s="178"/>
    </row>
    <row r="946" spans="1:1" x14ac:dyDescent="0.35">
      <c r="A946" s="178"/>
    </row>
    <row r="947" spans="1:1" x14ac:dyDescent="0.35">
      <c r="A947" s="178"/>
    </row>
    <row r="948" spans="1:1" x14ac:dyDescent="0.35">
      <c r="A948" s="178"/>
    </row>
    <row r="949" spans="1:1" x14ac:dyDescent="0.35">
      <c r="A949" s="178"/>
    </row>
    <row r="950" spans="1:1" x14ac:dyDescent="0.35">
      <c r="A950" s="178"/>
    </row>
    <row r="951" spans="1:1" x14ac:dyDescent="0.35">
      <c r="A951" s="178"/>
    </row>
    <row r="952" spans="1:1" x14ac:dyDescent="0.35">
      <c r="A952" s="178"/>
    </row>
    <row r="953" spans="1:1" x14ac:dyDescent="0.35">
      <c r="A953" s="178"/>
    </row>
    <row r="954" spans="1:1" x14ac:dyDescent="0.35">
      <c r="A954" s="178"/>
    </row>
    <row r="955" spans="1:1" x14ac:dyDescent="0.35">
      <c r="A955" s="178"/>
    </row>
    <row r="956" spans="1:1" x14ac:dyDescent="0.35">
      <c r="A956" s="178"/>
    </row>
    <row r="957" spans="1:1" x14ac:dyDescent="0.35">
      <c r="A957" s="178"/>
    </row>
    <row r="958" spans="1:1" x14ac:dyDescent="0.35">
      <c r="A958" s="178"/>
    </row>
    <row r="959" spans="1:1" x14ac:dyDescent="0.35">
      <c r="A959" s="178"/>
    </row>
    <row r="960" spans="1:1" x14ac:dyDescent="0.35">
      <c r="A960" s="178"/>
    </row>
    <row r="961" spans="1:1" x14ac:dyDescent="0.35">
      <c r="A961" s="178"/>
    </row>
    <row r="962" spans="1:1" x14ac:dyDescent="0.35">
      <c r="A962" s="178"/>
    </row>
    <row r="963" spans="1:1" x14ac:dyDescent="0.35">
      <c r="A963" s="178"/>
    </row>
    <row r="964" spans="1:1" x14ac:dyDescent="0.35">
      <c r="A964" s="178"/>
    </row>
    <row r="965" spans="1:1" x14ac:dyDescent="0.35">
      <c r="A965" s="178"/>
    </row>
    <row r="966" spans="1:1" x14ac:dyDescent="0.35">
      <c r="A966" s="178"/>
    </row>
    <row r="967" spans="1:1" x14ac:dyDescent="0.35">
      <c r="A967" s="178"/>
    </row>
    <row r="968" spans="1:1" x14ac:dyDescent="0.35">
      <c r="A968" s="178"/>
    </row>
    <row r="969" spans="1:1" x14ac:dyDescent="0.35">
      <c r="A969" s="178"/>
    </row>
    <row r="970" spans="1:1" x14ac:dyDescent="0.35">
      <c r="A970" s="178"/>
    </row>
    <row r="971" spans="1:1" x14ac:dyDescent="0.35">
      <c r="A971" s="178"/>
    </row>
    <row r="972" spans="1:1" x14ac:dyDescent="0.35">
      <c r="A972" s="178"/>
    </row>
    <row r="973" spans="1:1" x14ac:dyDescent="0.35">
      <c r="A973" s="178"/>
    </row>
    <row r="974" spans="1:1" x14ac:dyDescent="0.35">
      <c r="A974" s="178"/>
    </row>
    <row r="975" spans="1:1" x14ac:dyDescent="0.35">
      <c r="A975" s="178"/>
    </row>
    <row r="976" spans="1:1" x14ac:dyDescent="0.35">
      <c r="A976" s="178"/>
    </row>
    <row r="977" spans="1:1" x14ac:dyDescent="0.35">
      <c r="A977" s="178"/>
    </row>
    <row r="978" spans="1:1" x14ac:dyDescent="0.35">
      <c r="A978" s="178"/>
    </row>
    <row r="979" spans="1:1" x14ac:dyDescent="0.35">
      <c r="A979" s="178"/>
    </row>
    <row r="980" spans="1:1" x14ac:dyDescent="0.35">
      <c r="A980" s="178"/>
    </row>
    <row r="981" spans="1:1" x14ac:dyDescent="0.35">
      <c r="A981" s="178"/>
    </row>
    <row r="982" spans="1:1" x14ac:dyDescent="0.35">
      <c r="A982" s="178"/>
    </row>
    <row r="983" spans="1:1" x14ac:dyDescent="0.35">
      <c r="A983" s="178"/>
    </row>
    <row r="984" spans="1:1" x14ac:dyDescent="0.35">
      <c r="A984" s="178"/>
    </row>
    <row r="985" spans="1:1" x14ac:dyDescent="0.35">
      <c r="A985" s="178"/>
    </row>
    <row r="986" spans="1:1" x14ac:dyDescent="0.35">
      <c r="A986" s="178"/>
    </row>
    <row r="987" spans="1:1" x14ac:dyDescent="0.35">
      <c r="A987" s="178"/>
    </row>
    <row r="988" spans="1:1" x14ac:dyDescent="0.35">
      <c r="A988" s="209"/>
    </row>
    <row r="989" spans="1:1" x14ac:dyDescent="0.35">
      <c r="A989" s="178"/>
    </row>
    <row r="990" spans="1:1" x14ac:dyDescent="0.35">
      <c r="A990" s="178"/>
    </row>
    <row r="991" spans="1:1" x14ac:dyDescent="0.35">
      <c r="A991" s="178"/>
    </row>
    <row r="992" spans="1:1" x14ac:dyDescent="0.35">
      <c r="A992" s="178"/>
    </row>
    <row r="993" spans="1:1" x14ac:dyDescent="0.35">
      <c r="A993" s="178"/>
    </row>
    <row r="994" spans="1:1" x14ac:dyDescent="0.35">
      <c r="A994" s="178"/>
    </row>
    <row r="995" spans="1:1" x14ac:dyDescent="0.35">
      <c r="A995" s="178"/>
    </row>
    <row r="996" spans="1:1" x14ac:dyDescent="0.35">
      <c r="A996" s="178"/>
    </row>
    <row r="997" spans="1:1" x14ac:dyDescent="0.35">
      <c r="A997" s="178"/>
    </row>
    <row r="998" spans="1:1" x14ac:dyDescent="0.35">
      <c r="A998" s="178"/>
    </row>
    <row r="999" spans="1:1" x14ac:dyDescent="0.35">
      <c r="A999" s="178"/>
    </row>
    <row r="1000" spans="1:1" x14ac:dyDescent="0.35">
      <c r="A1000" s="178"/>
    </row>
    <row r="1001" spans="1:1" x14ac:dyDescent="0.35">
      <c r="A1001" s="178"/>
    </row>
    <row r="1002" spans="1:1" x14ac:dyDescent="0.35">
      <c r="A1002" s="178"/>
    </row>
    <row r="1003" spans="1:1" x14ac:dyDescent="0.35">
      <c r="A1003" s="178"/>
    </row>
    <row r="1004" spans="1:1" x14ac:dyDescent="0.35">
      <c r="A1004" s="178"/>
    </row>
    <row r="1005" spans="1:1" x14ac:dyDescent="0.35">
      <c r="A1005" s="178"/>
    </row>
    <row r="1006" spans="1:1" x14ac:dyDescent="0.35">
      <c r="A1006" s="178"/>
    </row>
    <row r="1007" spans="1:1" x14ac:dyDescent="0.35">
      <c r="A1007" s="178"/>
    </row>
    <row r="1008" spans="1:1" x14ac:dyDescent="0.35">
      <c r="A1008" s="178"/>
    </row>
    <row r="1009" spans="1:1" x14ac:dyDescent="0.35">
      <c r="A1009" s="178"/>
    </row>
    <row r="1010" spans="1:1" x14ac:dyDescent="0.35">
      <c r="A1010" s="178"/>
    </row>
    <row r="1011" spans="1:1" x14ac:dyDescent="0.35">
      <c r="A1011" s="178"/>
    </row>
    <row r="1012" spans="1:1" x14ac:dyDescent="0.35">
      <c r="A1012" s="178"/>
    </row>
    <row r="1013" spans="1:1" x14ac:dyDescent="0.35">
      <c r="A1013" s="178"/>
    </row>
    <row r="1014" spans="1:1" x14ac:dyDescent="0.35">
      <c r="A1014" s="178"/>
    </row>
    <row r="1015" spans="1:1" x14ac:dyDescent="0.35">
      <c r="A1015" s="178"/>
    </row>
    <row r="1016" spans="1:1" x14ac:dyDescent="0.35">
      <c r="A1016" s="178"/>
    </row>
    <row r="1017" spans="1:1" x14ac:dyDescent="0.35">
      <c r="A1017" s="178"/>
    </row>
    <row r="1018" spans="1:1" x14ac:dyDescent="0.35">
      <c r="A1018" s="178"/>
    </row>
    <row r="1019" spans="1:1" x14ac:dyDescent="0.35">
      <c r="A1019" s="178"/>
    </row>
    <row r="1020" spans="1:1" x14ac:dyDescent="0.35">
      <c r="A1020" s="178"/>
    </row>
    <row r="1021" spans="1:1" x14ac:dyDescent="0.35">
      <c r="A1021" s="178"/>
    </row>
    <row r="1022" spans="1:1" x14ac:dyDescent="0.35">
      <c r="A1022" s="178"/>
    </row>
    <row r="1023" spans="1:1" x14ac:dyDescent="0.35">
      <c r="A1023" s="178"/>
    </row>
    <row r="1024" spans="1:1" x14ac:dyDescent="0.35">
      <c r="A1024" s="178"/>
    </row>
    <row r="1025" spans="1:1" x14ac:dyDescent="0.35">
      <c r="A1025" s="178"/>
    </row>
    <row r="1026" spans="1:1" x14ac:dyDescent="0.35">
      <c r="A1026" s="178"/>
    </row>
    <row r="1027" spans="1:1" x14ac:dyDescent="0.35">
      <c r="A1027" s="178"/>
    </row>
    <row r="1028" spans="1:1" x14ac:dyDescent="0.35">
      <c r="A1028" s="178"/>
    </row>
    <row r="1029" spans="1:1" x14ac:dyDescent="0.35">
      <c r="A1029" s="178"/>
    </row>
    <row r="1030" spans="1:1" x14ac:dyDescent="0.35">
      <c r="A1030" s="178"/>
    </row>
    <row r="1031" spans="1:1" x14ac:dyDescent="0.35">
      <c r="A1031" s="178"/>
    </row>
    <row r="1032" spans="1:1" x14ac:dyDescent="0.35">
      <c r="A1032" s="178"/>
    </row>
    <row r="1033" spans="1:1" x14ac:dyDescent="0.35">
      <c r="A1033" s="178"/>
    </row>
    <row r="1034" spans="1:1" x14ac:dyDescent="0.35">
      <c r="A1034" s="178"/>
    </row>
    <row r="1035" spans="1:1" x14ac:dyDescent="0.35">
      <c r="A1035" s="178"/>
    </row>
    <row r="1036" spans="1:1" x14ac:dyDescent="0.35">
      <c r="A1036" s="178"/>
    </row>
    <row r="1037" spans="1:1" x14ac:dyDescent="0.35">
      <c r="A1037" s="178"/>
    </row>
    <row r="1038" spans="1:1" x14ac:dyDescent="0.35">
      <c r="A1038" s="178"/>
    </row>
    <row r="1039" spans="1:1" x14ac:dyDescent="0.35">
      <c r="A1039" s="178"/>
    </row>
    <row r="1040" spans="1:1" x14ac:dyDescent="0.35">
      <c r="A1040" s="178"/>
    </row>
    <row r="1041" spans="1:1" x14ac:dyDescent="0.35">
      <c r="A1041" s="178"/>
    </row>
    <row r="1042" spans="1:1" x14ac:dyDescent="0.35">
      <c r="A1042" s="178"/>
    </row>
    <row r="1043" spans="1:1" x14ac:dyDescent="0.35">
      <c r="A1043" s="178"/>
    </row>
    <row r="1044" spans="1:1" x14ac:dyDescent="0.35">
      <c r="A1044" s="178"/>
    </row>
    <row r="1045" spans="1:1" x14ac:dyDescent="0.35">
      <c r="A1045" s="178"/>
    </row>
    <row r="1046" spans="1:1" x14ac:dyDescent="0.35">
      <c r="A1046" s="178"/>
    </row>
    <row r="1047" spans="1:1" x14ac:dyDescent="0.35">
      <c r="A1047" s="178"/>
    </row>
    <row r="1048" spans="1:1" x14ac:dyDescent="0.35">
      <c r="A1048" s="178"/>
    </row>
    <row r="1049" spans="1:1" x14ac:dyDescent="0.35">
      <c r="A1049" s="178"/>
    </row>
    <row r="1050" spans="1:1" x14ac:dyDescent="0.35">
      <c r="A1050" s="178"/>
    </row>
    <row r="1051" spans="1:1" x14ac:dyDescent="0.35">
      <c r="A1051" s="178"/>
    </row>
    <row r="1052" spans="1:1" x14ac:dyDescent="0.35">
      <c r="A1052" s="178"/>
    </row>
    <row r="1053" spans="1:1" x14ac:dyDescent="0.35">
      <c r="A1053" s="178"/>
    </row>
    <row r="1054" spans="1:1" x14ac:dyDescent="0.35">
      <c r="A1054" s="178"/>
    </row>
    <row r="1055" spans="1:1" x14ac:dyDescent="0.35">
      <c r="A1055" s="178"/>
    </row>
    <row r="1056" spans="1:1" x14ac:dyDescent="0.35">
      <c r="A1056" s="178"/>
    </row>
    <row r="1057" spans="1:1" x14ac:dyDescent="0.35">
      <c r="A1057" s="178"/>
    </row>
    <row r="1058" spans="1:1" x14ac:dyDescent="0.35">
      <c r="A1058" s="178"/>
    </row>
    <row r="1059" spans="1:1" x14ac:dyDescent="0.35">
      <c r="A1059" s="178"/>
    </row>
    <row r="1060" spans="1:1" x14ac:dyDescent="0.35">
      <c r="A1060" s="178"/>
    </row>
    <row r="1061" spans="1:1" x14ac:dyDescent="0.35">
      <c r="A1061" s="178"/>
    </row>
    <row r="1062" spans="1:1" x14ac:dyDescent="0.35">
      <c r="A1062" s="178"/>
    </row>
    <row r="1063" spans="1:1" x14ac:dyDescent="0.35">
      <c r="A1063" s="178"/>
    </row>
    <row r="1064" spans="1:1" x14ac:dyDescent="0.35">
      <c r="A1064" s="178"/>
    </row>
    <row r="1065" spans="1:1" x14ac:dyDescent="0.35">
      <c r="A1065" s="178"/>
    </row>
    <row r="1066" spans="1:1" x14ac:dyDescent="0.35">
      <c r="A1066" s="178"/>
    </row>
    <row r="1067" spans="1:1" x14ac:dyDescent="0.35">
      <c r="A1067" s="178"/>
    </row>
    <row r="1068" spans="1:1" x14ac:dyDescent="0.35">
      <c r="A1068" s="178"/>
    </row>
    <row r="1069" spans="1:1" x14ac:dyDescent="0.35">
      <c r="A1069" s="178"/>
    </row>
    <row r="1070" spans="1:1" x14ac:dyDescent="0.35">
      <c r="A1070" s="178"/>
    </row>
    <row r="1071" spans="1:1" x14ac:dyDescent="0.35">
      <c r="A1071" s="178"/>
    </row>
    <row r="1072" spans="1:1" x14ac:dyDescent="0.35">
      <c r="A1072" s="178"/>
    </row>
    <row r="1073" spans="1:1" x14ac:dyDescent="0.35">
      <c r="A1073" s="178"/>
    </row>
    <row r="1074" spans="1:1" x14ac:dyDescent="0.35">
      <c r="A1074" s="178"/>
    </row>
    <row r="1075" spans="1:1" x14ac:dyDescent="0.35">
      <c r="A1075" s="178"/>
    </row>
    <row r="1076" spans="1:1" x14ac:dyDescent="0.35">
      <c r="A1076" s="178"/>
    </row>
    <row r="1077" spans="1:1" x14ac:dyDescent="0.35">
      <c r="A1077" s="178"/>
    </row>
    <row r="1078" spans="1:1" x14ac:dyDescent="0.35">
      <c r="A1078" s="178"/>
    </row>
    <row r="1079" spans="1:1" x14ac:dyDescent="0.35">
      <c r="A1079" s="178"/>
    </row>
    <row r="1080" spans="1:1" x14ac:dyDescent="0.35">
      <c r="A1080" s="178"/>
    </row>
    <row r="1081" spans="1:1" x14ac:dyDescent="0.35">
      <c r="A1081" s="178"/>
    </row>
    <row r="1082" spans="1:1" x14ac:dyDescent="0.35">
      <c r="A1082" s="178"/>
    </row>
    <row r="1083" spans="1:1" x14ac:dyDescent="0.35">
      <c r="A1083" s="178"/>
    </row>
    <row r="1084" spans="1:1" x14ac:dyDescent="0.35">
      <c r="A1084" s="178"/>
    </row>
    <row r="1085" spans="1:1" x14ac:dyDescent="0.35">
      <c r="A1085" s="178"/>
    </row>
    <row r="1086" spans="1:1" x14ac:dyDescent="0.35">
      <c r="A1086" s="178"/>
    </row>
    <row r="1087" spans="1:1" x14ac:dyDescent="0.35">
      <c r="A1087" s="178"/>
    </row>
    <row r="1088" spans="1:1" x14ac:dyDescent="0.35">
      <c r="A1088" s="178"/>
    </row>
    <row r="1089" spans="1:1" x14ac:dyDescent="0.35">
      <c r="A1089" s="178"/>
    </row>
    <row r="1090" spans="1:1" x14ac:dyDescent="0.35">
      <c r="A1090" s="178"/>
    </row>
    <row r="1091" spans="1:1" x14ac:dyDescent="0.35">
      <c r="A1091" s="178"/>
    </row>
    <row r="1092" spans="1:1" x14ac:dyDescent="0.35">
      <c r="A1092" s="178"/>
    </row>
    <row r="1093" spans="1:1" x14ac:dyDescent="0.35">
      <c r="A1093" s="178"/>
    </row>
    <row r="1094" spans="1:1" x14ac:dyDescent="0.35">
      <c r="A1094" s="178"/>
    </row>
    <row r="1095" spans="1:1" x14ac:dyDescent="0.35">
      <c r="A1095" s="178"/>
    </row>
    <row r="1096" spans="1:1" x14ac:dyDescent="0.35">
      <c r="A1096" s="178"/>
    </row>
    <row r="1097" spans="1:1" x14ac:dyDescent="0.35">
      <c r="A1097" s="178"/>
    </row>
    <row r="1098" spans="1:1" x14ac:dyDescent="0.35">
      <c r="A1098" s="178"/>
    </row>
    <row r="1099" spans="1:1" x14ac:dyDescent="0.35">
      <c r="A1099" s="178"/>
    </row>
    <row r="1100" spans="1:1" x14ac:dyDescent="0.35">
      <c r="A1100" s="178"/>
    </row>
    <row r="1101" spans="1:1" x14ac:dyDescent="0.35">
      <c r="A1101" s="178"/>
    </row>
    <row r="1102" spans="1:1" x14ac:dyDescent="0.35">
      <c r="A1102" s="178"/>
    </row>
    <row r="1103" spans="1:1" x14ac:dyDescent="0.35">
      <c r="A1103" s="178"/>
    </row>
    <row r="1104" spans="1:1" x14ac:dyDescent="0.35">
      <c r="A1104" s="178"/>
    </row>
    <row r="1105" spans="1:1" x14ac:dyDescent="0.35">
      <c r="A1105" s="178"/>
    </row>
    <row r="1106" spans="1:1" x14ac:dyDescent="0.35">
      <c r="A1106" s="178"/>
    </row>
    <row r="1107" spans="1:1" x14ac:dyDescent="0.35">
      <c r="A1107" s="178"/>
    </row>
    <row r="1108" spans="1:1" x14ac:dyDescent="0.35">
      <c r="A1108" s="178"/>
    </row>
    <row r="1109" spans="1:1" x14ac:dyDescent="0.35">
      <c r="A1109" s="178"/>
    </row>
    <row r="1110" spans="1:1" x14ac:dyDescent="0.35">
      <c r="A1110" s="178"/>
    </row>
    <row r="1111" spans="1:1" x14ac:dyDescent="0.35">
      <c r="A1111" s="178"/>
    </row>
    <row r="1112" spans="1:1" x14ac:dyDescent="0.35">
      <c r="A1112" s="178"/>
    </row>
    <row r="1113" spans="1:1" x14ac:dyDescent="0.35">
      <c r="A1113" s="178"/>
    </row>
    <row r="1114" spans="1:1" x14ac:dyDescent="0.35">
      <c r="A1114" s="178"/>
    </row>
    <row r="1115" spans="1:1" x14ac:dyDescent="0.35">
      <c r="A1115" s="178"/>
    </row>
    <row r="1116" spans="1:1" x14ac:dyDescent="0.35">
      <c r="A1116" s="178"/>
    </row>
    <row r="1117" spans="1:1" x14ac:dyDescent="0.35">
      <c r="A1117" s="178"/>
    </row>
    <row r="1118" spans="1:1" x14ac:dyDescent="0.35">
      <c r="A1118" s="178"/>
    </row>
    <row r="1119" spans="1:1" x14ac:dyDescent="0.35">
      <c r="A1119" s="178"/>
    </row>
    <row r="1120" spans="1:1" x14ac:dyDescent="0.35">
      <c r="A1120" s="178"/>
    </row>
    <row r="1121" spans="1:1" x14ac:dyDescent="0.35">
      <c r="A1121" s="178"/>
    </row>
    <row r="1122" spans="1:1" x14ac:dyDescent="0.35">
      <c r="A1122" s="178"/>
    </row>
    <row r="1123" spans="1:1" x14ac:dyDescent="0.35">
      <c r="A1123" s="178"/>
    </row>
    <row r="1124" spans="1:1" x14ac:dyDescent="0.35">
      <c r="A1124" s="178"/>
    </row>
    <row r="1125" spans="1:1" x14ac:dyDescent="0.35">
      <c r="A1125" s="178"/>
    </row>
    <row r="1126" spans="1:1" x14ac:dyDescent="0.35">
      <c r="A1126" s="178"/>
    </row>
    <row r="1127" spans="1:1" x14ac:dyDescent="0.35">
      <c r="A1127" s="178"/>
    </row>
    <row r="1128" spans="1:1" x14ac:dyDescent="0.35">
      <c r="A1128" s="178"/>
    </row>
    <row r="1129" spans="1:1" x14ac:dyDescent="0.35">
      <c r="A1129" s="178"/>
    </row>
    <row r="1130" spans="1:1" x14ac:dyDescent="0.35">
      <c r="A1130" s="178"/>
    </row>
    <row r="1131" spans="1:1" x14ac:dyDescent="0.35">
      <c r="A1131" s="178"/>
    </row>
    <row r="1132" spans="1:1" x14ac:dyDescent="0.35">
      <c r="A1132" s="178"/>
    </row>
    <row r="1133" spans="1:1" x14ac:dyDescent="0.35">
      <c r="A1133" s="178"/>
    </row>
    <row r="1134" spans="1:1" x14ac:dyDescent="0.35">
      <c r="A1134" s="178"/>
    </row>
    <row r="1135" spans="1:1" x14ac:dyDescent="0.35">
      <c r="A1135" s="178"/>
    </row>
    <row r="1136" spans="1:1" x14ac:dyDescent="0.35">
      <c r="A1136" s="178"/>
    </row>
    <row r="1137" spans="1:1" x14ac:dyDescent="0.35">
      <c r="A1137" s="178"/>
    </row>
    <row r="1138" spans="1:1" x14ac:dyDescent="0.35">
      <c r="A1138" s="178"/>
    </row>
    <row r="1139" spans="1:1" x14ac:dyDescent="0.35">
      <c r="A1139" s="178"/>
    </row>
    <row r="1140" spans="1:1" x14ac:dyDescent="0.35">
      <c r="A1140" s="178"/>
    </row>
    <row r="1141" spans="1:1" x14ac:dyDescent="0.35">
      <c r="A1141" s="178"/>
    </row>
    <row r="1142" spans="1:1" x14ac:dyDescent="0.35">
      <c r="A1142" s="178"/>
    </row>
    <row r="1143" spans="1:1" x14ac:dyDescent="0.35">
      <c r="A1143" s="178"/>
    </row>
    <row r="1144" spans="1:1" x14ac:dyDescent="0.35">
      <c r="A1144" s="178"/>
    </row>
    <row r="1145" spans="1:1" x14ac:dyDescent="0.35">
      <c r="A1145" s="178"/>
    </row>
    <row r="1146" spans="1:1" x14ac:dyDescent="0.35">
      <c r="A1146" s="178"/>
    </row>
    <row r="1147" spans="1:1" x14ac:dyDescent="0.35">
      <c r="A1147" s="178"/>
    </row>
    <row r="1148" spans="1:1" x14ac:dyDescent="0.35">
      <c r="A1148" s="178"/>
    </row>
    <row r="1149" spans="1:1" x14ac:dyDescent="0.35">
      <c r="A1149" s="178"/>
    </row>
    <row r="1150" spans="1:1" x14ac:dyDescent="0.35">
      <c r="A1150" s="178"/>
    </row>
    <row r="1151" spans="1:1" x14ac:dyDescent="0.35">
      <c r="A1151" s="178"/>
    </row>
    <row r="1152" spans="1:1" x14ac:dyDescent="0.35">
      <c r="A1152" s="178"/>
    </row>
    <row r="1153" spans="1:1" x14ac:dyDescent="0.35">
      <c r="A1153" s="178"/>
    </row>
    <row r="1154" spans="1:1" x14ac:dyDescent="0.35">
      <c r="A1154" s="178"/>
    </row>
    <row r="1155" spans="1:1" x14ac:dyDescent="0.35">
      <c r="A1155" s="178"/>
    </row>
    <row r="1156" spans="1:1" x14ac:dyDescent="0.35">
      <c r="A1156" s="178"/>
    </row>
    <row r="1157" spans="1:1" x14ac:dyDescent="0.35">
      <c r="A1157" s="178"/>
    </row>
    <row r="1158" spans="1:1" x14ac:dyDescent="0.35">
      <c r="A1158" s="178"/>
    </row>
    <row r="1159" spans="1:1" x14ac:dyDescent="0.35">
      <c r="A1159" s="178"/>
    </row>
    <row r="1160" spans="1:1" x14ac:dyDescent="0.35">
      <c r="A1160" s="178"/>
    </row>
    <row r="1161" spans="1:1" x14ac:dyDescent="0.35">
      <c r="A1161" s="178"/>
    </row>
    <row r="1162" spans="1:1" x14ac:dyDescent="0.35">
      <c r="A1162" s="178"/>
    </row>
    <row r="1163" spans="1:1" x14ac:dyDescent="0.35">
      <c r="A1163" s="178"/>
    </row>
    <row r="1164" spans="1:1" x14ac:dyDescent="0.35">
      <c r="A1164" s="178"/>
    </row>
    <row r="1165" spans="1:1" x14ac:dyDescent="0.35">
      <c r="A1165" s="178"/>
    </row>
    <row r="1166" spans="1:1" x14ac:dyDescent="0.35">
      <c r="A1166" s="178"/>
    </row>
    <row r="1167" spans="1:1" x14ac:dyDescent="0.35">
      <c r="A1167" s="178"/>
    </row>
    <row r="1168" spans="1:1" x14ac:dyDescent="0.35">
      <c r="A1168" s="178"/>
    </row>
    <row r="1169" spans="1:1" x14ac:dyDescent="0.35">
      <c r="A1169" s="178"/>
    </row>
    <row r="1170" spans="1:1" x14ac:dyDescent="0.35">
      <c r="A1170" s="178"/>
    </row>
    <row r="1171" spans="1:1" x14ac:dyDescent="0.35">
      <c r="A1171" s="178"/>
    </row>
    <row r="1172" spans="1:1" x14ac:dyDescent="0.35">
      <c r="A1172" s="178"/>
    </row>
    <row r="1173" spans="1:1" x14ac:dyDescent="0.35">
      <c r="A1173" s="178"/>
    </row>
    <row r="1174" spans="1:1" x14ac:dyDescent="0.35">
      <c r="A1174" s="178"/>
    </row>
    <row r="1175" spans="1:1" x14ac:dyDescent="0.35">
      <c r="A1175" s="178"/>
    </row>
    <row r="1176" spans="1:1" x14ac:dyDescent="0.35">
      <c r="A1176" s="178"/>
    </row>
    <row r="1177" spans="1:1" x14ac:dyDescent="0.35">
      <c r="A1177" s="178"/>
    </row>
    <row r="1178" spans="1:1" x14ac:dyDescent="0.35">
      <c r="A1178" s="178"/>
    </row>
    <row r="1179" spans="1:1" x14ac:dyDescent="0.35">
      <c r="A1179" s="178"/>
    </row>
    <row r="1180" spans="1:1" x14ac:dyDescent="0.35">
      <c r="A1180" s="178"/>
    </row>
    <row r="1181" spans="1:1" x14ac:dyDescent="0.35">
      <c r="A1181" s="178"/>
    </row>
    <row r="1182" spans="1:1" x14ac:dyDescent="0.35">
      <c r="A1182" s="178"/>
    </row>
    <row r="1183" spans="1:1" x14ac:dyDescent="0.35">
      <c r="A1183" s="178"/>
    </row>
    <row r="1184" spans="1:1" x14ac:dyDescent="0.35">
      <c r="A1184" s="178"/>
    </row>
    <row r="1185" spans="1:1" x14ac:dyDescent="0.35">
      <c r="A1185" s="178"/>
    </row>
    <row r="1186" spans="1:1" x14ac:dyDescent="0.35">
      <c r="A1186" s="178"/>
    </row>
    <row r="1187" spans="1:1" x14ac:dyDescent="0.35">
      <c r="A1187" s="178"/>
    </row>
    <row r="1188" spans="1:1" x14ac:dyDescent="0.35">
      <c r="A1188" s="178"/>
    </row>
    <row r="1189" spans="1:1" x14ac:dyDescent="0.35">
      <c r="A1189" s="178"/>
    </row>
    <row r="1190" spans="1:1" x14ac:dyDescent="0.35">
      <c r="A1190" s="178"/>
    </row>
    <row r="1191" spans="1:1" x14ac:dyDescent="0.35">
      <c r="A1191" s="178"/>
    </row>
    <row r="1192" spans="1:1" x14ac:dyDescent="0.35">
      <c r="A1192" s="178"/>
    </row>
    <row r="1193" spans="1:1" x14ac:dyDescent="0.35">
      <c r="A1193" s="178"/>
    </row>
    <row r="1194" spans="1:1" x14ac:dyDescent="0.35">
      <c r="A1194" s="178"/>
    </row>
    <row r="1195" spans="1:1" x14ac:dyDescent="0.35">
      <c r="A1195" s="178"/>
    </row>
    <row r="1196" spans="1:1" x14ac:dyDescent="0.35">
      <c r="A1196" s="178"/>
    </row>
    <row r="1197" spans="1:1" x14ac:dyDescent="0.35">
      <c r="A1197" s="178"/>
    </row>
    <row r="1198" spans="1:1" x14ac:dyDescent="0.35">
      <c r="A1198" s="178"/>
    </row>
    <row r="1199" spans="1:1" x14ac:dyDescent="0.35">
      <c r="A1199" s="178"/>
    </row>
    <row r="1200" spans="1:1" x14ac:dyDescent="0.35">
      <c r="A1200" s="178"/>
    </row>
    <row r="1201" spans="1:1" x14ac:dyDescent="0.35">
      <c r="A1201" s="178"/>
    </row>
    <row r="1202" spans="1:1" x14ac:dyDescent="0.35">
      <c r="A1202" s="178"/>
    </row>
    <row r="1203" spans="1:1" x14ac:dyDescent="0.35">
      <c r="A1203" s="178"/>
    </row>
    <row r="1204" spans="1:1" x14ac:dyDescent="0.35">
      <c r="A1204" s="178"/>
    </row>
    <row r="1205" spans="1:1" x14ac:dyDescent="0.35">
      <c r="A1205" s="178"/>
    </row>
    <row r="1206" spans="1:1" x14ac:dyDescent="0.35">
      <c r="A1206" s="178"/>
    </row>
    <row r="1207" spans="1:1" x14ac:dyDescent="0.35">
      <c r="A1207" s="178"/>
    </row>
    <row r="1208" spans="1:1" x14ac:dyDescent="0.35">
      <c r="A1208" s="178"/>
    </row>
    <row r="1209" spans="1:1" x14ac:dyDescent="0.35">
      <c r="A1209" s="178"/>
    </row>
    <row r="1210" spans="1:1" x14ac:dyDescent="0.35">
      <c r="A1210" s="178"/>
    </row>
    <row r="1211" spans="1:1" x14ac:dyDescent="0.35">
      <c r="A1211" s="178"/>
    </row>
    <row r="1212" spans="1:1" x14ac:dyDescent="0.35">
      <c r="A1212" s="178"/>
    </row>
    <row r="1213" spans="1:1" x14ac:dyDescent="0.35">
      <c r="A1213" s="178"/>
    </row>
    <row r="1214" spans="1:1" x14ac:dyDescent="0.35">
      <c r="A1214" s="178"/>
    </row>
    <row r="1215" spans="1:1" x14ac:dyDescent="0.35">
      <c r="A1215" s="178"/>
    </row>
    <row r="1216" spans="1:1" x14ac:dyDescent="0.35">
      <c r="A1216" s="178"/>
    </row>
    <row r="1217" spans="1:1" x14ac:dyDescent="0.35">
      <c r="A1217" s="178"/>
    </row>
    <row r="1218" spans="1:1" x14ac:dyDescent="0.35">
      <c r="A1218" s="178"/>
    </row>
    <row r="1219" spans="1:1" x14ac:dyDescent="0.35">
      <c r="A1219" s="178"/>
    </row>
    <row r="1220" spans="1:1" x14ac:dyDescent="0.35">
      <c r="A1220" s="178"/>
    </row>
    <row r="1221" spans="1:1" x14ac:dyDescent="0.35">
      <c r="A1221" s="178"/>
    </row>
    <row r="1222" spans="1:1" x14ac:dyDescent="0.35">
      <c r="A1222" s="178"/>
    </row>
    <row r="1223" spans="1:1" x14ac:dyDescent="0.35">
      <c r="A1223" s="178"/>
    </row>
    <row r="1224" spans="1:1" x14ac:dyDescent="0.35">
      <c r="A1224" s="178"/>
    </row>
    <row r="1225" spans="1:1" x14ac:dyDescent="0.35">
      <c r="A1225" s="178"/>
    </row>
    <row r="1226" spans="1:1" x14ac:dyDescent="0.35">
      <c r="A1226" s="178"/>
    </row>
    <row r="1227" spans="1:1" x14ac:dyDescent="0.35">
      <c r="A1227" s="178"/>
    </row>
    <row r="1228" spans="1:1" x14ac:dyDescent="0.35">
      <c r="A1228" s="178"/>
    </row>
    <row r="1229" spans="1:1" x14ac:dyDescent="0.35">
      <c r="A1229" s="178"/>
    </row>
    <row r="1230" spans="1:1" x14ac:dyDescent="0.35">
      <c r="A1230" s="178"/>
    </row>
    <row r="1231" spans="1:1" x14ac:dyDescent="0.35">
      <c r="A1231" s="178"/>
    </row>
    <row r="1232" spans="1:1" x14ac:dyDescent="0.35">
      <c r="A1232" s="178"/>
    </row>
    <row r="1233" spans="1:1" x14ac:dyDescent="0.35">
      <c r="A1233" s="178"/>
    </row>
    <row r="1234" spans="1:1" x14ac:dyDescent="0.35">
      <c r="A1234" s="178"/>
    </row>
    <row r="1235" spans="1:1" x14ac:dyDescent="0.35">
      <c r="A1235" s="178"/>
    </row>
    <row r="1236" spans="1:1" x14ac:dyDescent="0.35">
      <c r="A1236" s="178"/>
    </row>
    <row r="1237" spans="1:1" x14ac:dyDescent="0.35">
      <c r="A1237" s="178"/>
    </row>
    <row r="1238" spans="1:1" x14ac:dyDescent="0.35">
      <c r="A1238" s="178"/>
    </row>
    <row r="1239" spans="1:1" x14ac:dyDescent="0.35">
      <c r="A1239" s="178"/>
    </row>
    <row r="1240" spans="1:1" x14ac:dyDescent="0.35">
      <c r="A1240" s="178"/>
    </row>
    <row r="1241" spans="1:1" x14ac:dyDescent="0.35">
      <c r="A1241" s="178"/>
    </row>
    <row r="1242" spans="1:1" x14ac:dyDescent="0.35">
      <c r="A1242" s="178"/>
    </row>
    <row r="1243" spans="1:1" x14ac:dyDescent="0.35">
      <c r="A1243" s="178"/>
    </row>
    <row r="1244" spans="1:1" x14ac:dyDescent="0.35">
      <c r="A1244" s="178"/>
    </row>
    <row r="1245" spans="1:1" x14ac:dyDescent="0.35">
      <c r="A1245" s="178"/>
    </row>
    <row r="1246" spans="1:1" x14ac:dyDescent="0.35">
      <c r="A1246" s="178"/>
    </row>
    <row r="1247" spans="1:1" x14ac:dyDescent="0.35">
      <c r="A1247" s="178"/>
    </row>
    <row r="1248" spans="1:1" x14ac:dyDescent="0.35">
      <c r="A1248" s="178"/>
    </row>
    <row r="1249" spans="1:1" x14ac:dyDescent="0.35">
      <c r="A1249" s="178"/>
    </row>
    <row r="1250" spans="1:1" x14ac:dyDescent="0.35">
      <c r="A1250" s="178"/>
    </row>
    <row r="1251" spans="1:1" x14ac:dyDescent="0.35">
      <c r="A1251" s="178"/>
    </row>
    <row r="1252" spans="1:1" x14ac:dyDescent="0.35">
      <c r="A1252" s="178"/>
    </row>
    <row r="1253" spans="1:1" x14ac:dyDescent="0.35">
      <c r="A1253" s="178"/>
    </row>
    <row r="1254" spans="1:1" x14ac:dyDescent="0.35">
      <c r="A1254" s="178"/>
    </row>
    <row r="1255" spans="1:1" x14ac:dyDescent="0.35">
      <c r="A1255" s="178"/>
    </row>
    <row r="1256" spans="1:1" x14ac:dyDescent="0.35">
      <c r="A1256" s="178"/>
    </row>
    <row r="1257" spans="1:1" x14ac:dyDescent="0.35">
      <c r="A1257" s="178"/>
    </row>
    <row r="1258" spans="1:1" x14ac:dyDescent="0.35">
      <c r="A1258" s="178"/>
    </row>
    <row r="1259" spans="1:1" x14ac:dyDescent="0.35">
      <c r="A1259" s="178"/>
    </row>
    <row r="1260" spans="1:1" x14ac:dyDescent="0.35">
      <c r="A1260" s="178"/>
    </row>
    <row r="1261" spans="1:1" x14ac:dyDescent="0.35">
      <c r="A1261" s="178"/>
    </row>
    <row r="1262" spans="1:1" x14ac:dyDescent="0.35">
      <c r="A1262" s="178"/>
    </row>
    <row r="1263" spans="1:1" x14ac:dyDescent="0.35">
      <c r="A1263" s="178"/>
    </row>
    <row r="1264" spans="1:1" x14ac:dyDescent="0.35">
      <c r="A1264" s="178"/>
    </row>
    <row r="1265" spans="1:1" x14ac:dyDescent="0.35">
      <c r="A1265" s="178"/>
    </row>
    <row r="1266" spans="1:1" x14ac:dyDescent="0.35">
      <c r="A1266" s="178"/>
    </row>
    <row r="1267" spans="1:1" x14ac:dyDescent="0.35">
      <c r="A1267" s="178"/>
    </row>
    <row r="1268" spans="1:1" x14ac:dyDescent="0.35">
      <c r="A1268" s="178"/>
    </row>
    <row r="1269" spans="1:1" x14ac:dyDescent="0.35">
      <c r="A1269" s="178"/>
    </row>
    <row r="1270" spans="1:1" x14ac:dyDescent="0.35">
      <c r="A1270" s="178"/>
    </row>
    <row r="1271" spans="1:1" x14ac:dyDescent="0.35">
      <c r="A1271" s="178"/>
    </row>
    <row r="1272" spans="1:1" x14ac:dyDescent="0.35">
      <c r="A1272" s="178"/>
    </row>
    <row r="1273" spans="1:1" x14ac:dyDescent="0.35">
      <c r="A1273" s="178"/>
    </row>
    <row r="1274" spans="1:1" x14ac:dyDescent="0.35">
      <c r="A1274" s="178"/>
    </row>
    <row r="1275" spans="1:1" x14ac:dyDescent="0.35">
      <c r="A1275" s="178"/>
    </row>
    <row r="1276" spans="1:1" x14ac:dyDescent="0.35">
      <c r="A1276" s="178"/>
    </row>
    <row r="1277" spans="1:1" x14ac:dyDescent="0.35">
      <c r="A1277" s="178"/>
    </row>
    <row r="1278" spans="1:1" x14ac:dyDescent="0.35">
      <c r="A1278" s="178"/>
    </row>
    <row r="1279" spans="1:1" x14ac:dyDescent="0.35">
      <c r="A1279" s="178"/>
    </row>
    <row r="1280" spans="1:1" x14ac:dyDescent="0.35">
      <c r="A1280" s="178"/>
    </row>
    <row r="1281" spans="1:1" x14ac:dyDescent="0.35">
      <c r="A1281" s="178"/>
    </row>
    <row r="1282" spans="1:1" x14ac:dyDescent="0.35">
      <c r="A1282" s="178"/>
    </row>
    <row r="1283" spans="1:1" x14ac:dyDescent="0.35">
      <c r="A1283" s="178"/>
    </row>
    <row r="1284" spans="1:1" x14ac:dyDescent="0.35">
      <c r="A1284" s="178"/>
    </row>
    <row r="1285" spans="1:1" x14ac:dyDescent="0.35">
      <c r="A1285" s="178"/>
    </row>
    <row r="1286" spans="1:1" x14ac:dyDescent="0.35">
      <c r="A1286" s="178"/>
    </row>
    <row r="1287" spans="1:1" x14ac:dyDescent="0.35">
      <c r="A1287" s="178"/>
    </row>
    <row r="1288" spans="1:1" x14ac:dyDescent="0.35">
      <c r="A1288" s="178"/>
    </row>
    <row r="1289" spans="1:1" x14ac:dyDescent="0.35">
      <c r="A1289" s="178"/>
    </row>
    <row r="1290" spans="1:1" x14ac:dyDescent="0.35">
      <c r="A1290" s="178"/>
    </row>
    <row r="1291" spans="1:1" x14ac:dyDescent="0.35">
      <c r="A1291" s="178"/>
    </row>
    <row r="1292" spans="1:1" x14ac:dyDescent="0.35">
      <c r="A1292" s="178"/>
    </row>
    <row r="1293" spans="1:1" x14ac:dyDescent="0.35">
      <c r="A1293" s="178"/>
    </row>
    <row r="1294" spans="1:1" x14ac:dyDescent="0.35">
      <c r="A1294" s="178"/>
    </row>
    <row r="1295" spans="1:1" x14ac:dyDescent="0.35">
      <c r="A1295" s="178"/>
    </row>
    <row r="1296" spans="1:1" x14ac:dyDescent="0.35">
      <c r="A1296" s="178"/>
    </row>
    <row r="1297" spans="1:1" x14ac:dyDescent="0.35">
      <c r="A1297" s="178"/>
    </row>
    <row r="1298" spans="1:1" x14ac:dyDescent="0.35">
      <c r="A1298" s="178"/>
    </row>
    <row r="1299" spans="1:1" x14ac:dyDescent="0.35">
      <c r="A1299" s="178"/>
    </row>
    <row r="1300" spans="1:1" x14ac:dyDescent="0.35">
      <c r="A1300" s="178"/>
    </row>
    <row r="1301" spans="1:1" x14ac:dyDescent="0.35">
      <c r="A1301" s="178"/>
    </row>
    <row r="1302" spans="1:1" x14ac:dyDescent="0.35">
      <c r="A1302" s="178"/>
    </row>
    <row r="1303" spans="1:1" x14ac:dyDescent="0.35">
      <c r="A1303" s="178"/>
    </row>
    <row r="1304" spans="1:1" x14ac:dyDescent="0.35">
      <c r="A1304" s="178"/>
    </row>
    <row r="1305" spans="1:1" x14ac:dyDescent="0.35">
      <c r="A1305" s="178"/>
    </row>
    <row r="1306" spans="1:1" x14ac:dyDescent="0.35">
      <c r="A1306" s="178"/>
    </row>
    <row r="1307" spans="1:1" x14ac:dyDescent="0.35">
      <c r="A1307" s="178"/>
    </row>
    <row r="1308" spans="1:1" x14ac:dyDescent="0.35">
      <c r="A1308" s="178"/>
    </row>
    <row r="1309" spans="1:1" x14ac:dyDescent="0.35">
      <c r="A1309" s="178"/>
    </row>
    <row r="1310" spans="1:1" x14ac:dyDescent="0.35">
      <c r="A1310" s="178"/>
    </row>
    <row r="1311" spans="1:1" x14ac:dyDescent="0.35">
      <c r="A1311" s="178"/>
    </row>
    <row r="1312" spans="1:1" x14ac:dyDescent="0.35">
      <c r="A1312" s="178"/>
    </row>
    <row r="1313" spans="1:1" x14ac:dyDescent="0.35">
      <c r="A1313" s="178"/>
    </row>
    <row r="1314" spans="1:1" x14ac:dyDescent="0.35">
      <c r="A1314" s="178"/>
    </row>
    <row r="1315" spans="1:1" x14ac:dyDescent="0.35">
      <c r="A1315" s="178"/>
    </row>
    <row r="1316" spans="1:1" x14ac:dyDescent="0.35">
      <c r="A1316" s="178"/>
    </row>
    <row r="1317" spans="1:1" x14ac:dyDescent="0.35">
      <c r="A1317" s="178"/>
    </row>
    <row r="1318" spans="1:1" x14ac:dyDescent="0.35">
      <c r="A1318" s="178"/>
    </row>
    <row r="1319" spans="1:1" x14ac:dyDescent="0.35">
      <c r="A1319" s="178"/>
    </row>
    <row r="1320" spans="1:1" x14ac:dyDescent="0.35">
      <c r="A1320" s="178"/>
    </row>
    <row r="1321" spans="1:1" x14ac:dyDescent="0.35">
      <c r="A1321" s="178"/>
    </row>
    <row r="1322" spans="1:1" x14ac:dyDescent="0.35">
      <c r="A1322" s="178"/>
    </row>
    <row r="1323" spans="1:1" x14ac:dyDescent="0.35">
      <c r="A1323" s="178"/>
    </row>
    <row r="1324" spans="1:1" x14ac:dyDescent="0.35">
      <c r="A1324" s="178"/>
    </row>
    <row r="1325" spans="1:1" x14ac:dyDescent="0.35">
      <c r="A1325" s="178"/>
    </row>
    <row r="1326" spans="1:1" x14ac:dyDescent="0.35">
      <c r="A1326" s="178"/>
    </row>
    <row r="1327" spans="1:1" x14ac:dyDescent="0.35">
      <c r="A1327" s="178"/>
    </row>
    <row r="1328" spans="1:1" x14ac:dyDescent="0.35">
      <c r="A1328" s="178"/>
    </row>
    <row r="1329" spans="1:1" x14ac:dyDescent="0.35">
      <c r="A1329" s="178"/>
    </row>
    <row r="1330" spans="1:1" x14ac:dyDescent="0.35">
      <c r="A1330" s="178"/>
    </row>
    <row r="1331" spans="1:1" x14ac:dyDescent="0.35">
      <c r="A1331" s="178"/>
    </row>
    <row r="1332" spans="1:1" x14ac:dyDescent="0.35">
      <c r="A1332" s="178"/>
    </row>
    <row r="1333" spans="1:1" x14ac:dyDescent="0.35">
      <c r="A1333" s="178"/>
    </row>
    <row r="1334" spans="1:1" x14ac:dyDescent="0.35">
      <c r="A1334" s="178"/>
    </row>
    <row r="1335" spans="1:1" x14ac:dyDescent="0.35">
      <c r="A1335" s="178"/>
    </row>
    <row r="1336" spans="1:1" x14ac:dyDescent="0.35">
      <c r="A1336" s="178"/>
    </row>
    <row r="1337" spans="1:1" x14ac:dyDescent="0.35">
      <c r="A1337" s="178"/>
    </row>
    <row r="1338" spans="1:1" x14ac:dyDescent="0.35">
      <c r="A1338" s="178"/>
    </row>
    <row r="1339" spans="1:1" x14ac:dyDescent="0.35">
      <c r="A1339" s="178"/>
    </row>
    <row r="1340" spans="1:1" x14ac:dyDescent="0.35">
      <c r="A1340" s="178"/>
    </row>
    <row r="1341" spans="1:1" x14ac:dyDescent="0.35">
      <c r="A1341" s="178"/>
    </row>
    <row r="1342" spans="1:1" x14ac:dyDescent="0.35">
      <c r="A1342" s="178"/>
    </row>
    <row r="1343" spans="1:1" x14ac:dyDescent="0.35">
      <c r="A1343" s="178"/>
    </row>
    <row r="1344" spans="1:1" x14ac:dyDescent="0.35">
      <c r="A1344" s="178"/>
    </row>
    <row r="1345" spans="1:1" x14ac:dyDescent="0.35">
      <c r="A1345" s="178"/>
    </row>
    <row r="1346" spans="1:1" x14ac:dyDescent="0.35">
      <c r="A1346" s="178"/>
    </row>
    <row r="1347" spans="1:1" x14ac:dyDescent="0.35">
      <c r="A1347" s="178"/>
    </row>
    <row r="1348" spans="1:1" x14ac:dyDescent="0.35">
      <c r="A1348" s="178"/>
    </row>
    <row r="1349" spans="1:1" x14ac:dyDescent="0.35">
      <c r="A1349" s="178"/>
    </row>
    <row r="1350" spans="1:1" x14ac:dyDescent="0.35">
      <c r="A1350" s="178"/>
    </row>
    <row r="1351" spans="1:1" x14ac:dyDescent="0.35">
      <c r="A1351" s="178"/>
    </row>
    <row r="1352" spans="1:1" x14ac:dyDescent="0.35">
      <c r="A1352" s="178"/>
    </row>
    <row r="1353" spans="1:1" x14ac:dyDescent="0.35">
      <c r="A1353" s="178"/>
    </row>
    <row r="1354" spans="1:1" x14ac:dyDescent="0.35">
      <c r="A1354" s="178"/>
    </row>
    <row r="1355" spans="1:1" x14ac:dyDescent="0.35">
      <c r="A1355" s="178"/>
    </row>
    <row r="1356" spans="1:1" x14ac:dyDescent="0.35">
      <c r="A1356" s="178"/>
    </row>
    <row r="1357" spans="1:1" x14ac:dyDescent="0.35">
      <c r="A1357" s="178"/>
    </row>
    <row r="1358" spans="1:1" x14ac:dyDescent="0.35">
      <c r="A1358" s="178"/>
    </row>
    <row r="1359" spans="1:1" x14ac:dyDescent="0.35">
      <c r="A1359" s="178"/>
    </row>
    <row r="1360" spans="1:1" x14ac:dyDescent="0.35">
      <c r="A1360" s="178"/>
    </row>
    <row r="1361" spans="1:1" x14ac:dyDescent="0.35">
      <c r="A1361" s="178"/>
    </row>
    <row r="1362" spans="1:1" x14ac:dyDescent="0.35">
      <c r="A1362" s="178"/>
    </row>
    <row r="1363" spans="1:1" x14ac:dyDescent="0.35">
      <c r="A1363" s="178"/>
    </row>
    <row r="1364" spans="1:1" x14ac:dyDescent="0.35">
      <c r="A1364" s="178"/>
    </row>
    <row r="1365" spans="1:1" x14ac:dyDescent="0.35">
      <c r="A1365" s="178"/>
    </row>
    <row r="1366" spans="1:1" x14ac:dyDescent="0.35">
      <c r="A1366" s="178"/>
    </row>
    <row r="1367" spans="1:1" x14ac:dyDescent="0.35">
      <c r="A1367" s="178"/>
    </row>
    <row r="1368" spans="1:1" x14ac:dyDescent="0.35">
      <c r="A1368" s="178"/>
    </row>
    <row r="1369" spans="1:1" x14ac:dyDescent="0.35">
      <c r="A1369" s="178"/>
    </row>
    <row r="1370" spans="1:1" x14ac:dyDescent="0.35">
      <c r="A1370" s="178"/>
    </row>
    <row r="1371" spans="1:1" x14ac:dyDescent="0.35">
      <c r="A1371" s="178"/>
    </row>
    <row r="1372" spans="1:1" x14ac:dyDescent="0.35">
      <c r="A1372" s="178"/>
    </row>
    <row r="1373" spans="1:1" x14ac:dyDescent="0.35">
      <c r="A1373" s="178"/>
    </row>
    <row r="1374" spans="1:1" x14ac:dyDescent="0.35">
      <c r="A1374" s="178"/>
    </row>
    <row r="1375" spans="1:1" x14ac:dyDescent="0.35">
      <c r="A1375" s="178"/>
    </row>
    <row r="1376" spans="1:1" x14ac:dyDescent="0.35">
      <c r="A1376" s="178"/>
    </row>
    <row r="1377" spans="1:1" x14ac:dyDescent="0.35">
      <c r="A1377" s="178"/>
    </row>
    <row r="1378" spans="1:1" x14ac:dyDescent="0.35">
      <c r="A1378" s="178"/>
    </row>
    <row r="1379" spans="1:1" x14ac:dyDescent="0.35">
      <c r="A1379" s="178"/>
    </row>
    <row r="1380" spans="1:1" x14ac:dyDescent="0.35">
      <c r="A1380" s="178"/>
    </row>
    <row r="1381" spans="1:1" x14ac:dyDescent="0.35">
      <c r="A1381" s="178"/>
    </row>
    <row r="1382" spans="1:1" x14ac:dyDescent="0.35">
      <c r="A1382" s="178"/>
    </row>
    <row r="1383" spans="1:1" x14ac:dyDescent="0.35">
      <c r="A1383" s="178"/>
    </row>
    <row r="1384" spans="1:1" x14ac:dyDescent="0.35">
      <c r="A1384" s="178"/>
    </row>
    <row r="1385" spans="1:1" x14ac:dyDescent="0.35">
      <c r="A1385" s="178"/>
    </row>
    <row r="1386" spans="1:1" x14ac:dyDescent="0.35">
      <c r="A1386" s="178"/>
    </row>
    <row r="1387" spans="1:1" x14ac:dyDescent="0.35">
      <c r="A1387" s="178"/>
    </row>
    <row r="1388" spans="1:1" x14ac:dyDescent="0.35">
      <c r="A1388" s="178"/>
    </row>
    <row r="1389" spans="1:1" x14ac:dyDescent="0.35">
      <c r="A1389" s="178"/>
    </row>
    <row r="1390" spans="1:1" x14ac:dyDescent="0.35">
      <c r="A1390" s="178"/>
    </row>
    <row r="1391" spans="1:1" x14ac:dyDescent="0.35">
      <c r="A1391" s="178"/>
    </row>
    <row r="1392" spans="1:1" x14ac:dyDescent="0.35">
      <c r="A1392" s="178"/>
    </row>
    <row r="1393" spans="1:1" x14ac:dyDescent="0.35">
      <c r="A1393" s="178"/>
    </row>
    <row r="1394" spans="1:1" x14ac:dyDescent="0.35">
      <c r="A1394" s="178"/>
    </row>
    <row r="1395" spans="1:1" x14ac:dyDescent="0.35">
      <c r="A1395" s="178"/>
    </row>
    <row r="1396" spans="1:1" x14ac:dyDescent="0.35">
      <c r="A1396" s="178"/>
    </row>
    <row r="1397" spans="1:1" x14ac:dyDescent="0.35">
      <c r="A1397" s="178"/>
    </row>
    <row r="1398" spans="1:1" x14ac:dyDescent="0.35">
      <c r="A1398" s="178"/>
    </row>
    <row r="1399" spans="1:1" x14ac:dyDescent="0.35">
      <c r="A1399" s="178"/>
    </row>
    <row r="1400" spans="1:1" x14ac:dyDescent="0.35">
      <c r="A1400" s="178"/>
    </row>
    <row r="1401" spans="1:1" x14ac:dyDescent="0.35">
      <c r="A1401" s="178"/>
    </row>
    <row r="1402" spans="1:1" x14ac:dyDescent="0.35">
      <c r="A1402" s="178"/>
    </row>
    <row r="1403" spans="1:1" x14ac:dyDescent="0.35">
      <c r="A1403" s="178"/>
    </row>
    <row r="1404" spans="1:1" x14ac:dyDescent="0.35">
      <c r="A1404" s="178"/>
    </row>
    <row r="1405" spans="1:1" x14ac:dyDescent="0.35">
      <c r="A1405" s="178"/>
    </row>
    <row r="1406" spans="1:1" x14ac:dyDescent="0.35">
      <c r="A1406" s="178"/>
    </row>
    <row r="1407" spans="1:1" x14ac:dyDescent="0.35">
      <c r="A1407" s="178"/>
    </row>
    <row r="1408" spans="1:1" x14ac:dyDescent="0.35">
      <c r="A1408" s="178"/>
    </row>
    <row r="1409" spans="1:1" x14ac:dyDescent="0.35">
      <c r="A1409" s="178"/>
    </row>
    <row r="1410" spans="1:1" x14ac:dyDescent="0.35">
      <c r="A1410" s="178"/>
    </row>
    <row r="1411" spans="1:1" x14ac:dyDescent="0.35">
      <c r="A1411" s="178"/>
    </row>
    <row r="1412" spans="1:1" x14ac:dyDescent="0.35">
      <c r="A1412" s="178"/>
    </row>
    <row r="1413" spans="1:1" x14ac:dyDescent="0.35">
      <c r="A1413" s="178"/>
    </row>
    <row r="1414" spans="1:1" x14ac:dyDescent="0.35">
      <c r="A1414" s="178"/>
    </row>
    <row r="1415" spans="1:1" x14ac:dyDescent="0.35">
      <c r="A1415" s="178"/>
    </row>
    <row r="1416" spans="1:1" x14ac:dyDescent="0.35">
      <c r="A1416" s="178"/>
    </row>
    <row r="1417" spans="1:1" x14ac:dyDescent="0.35">
      <c r="A1417" s="178"/>
    </row>
    <row r="1418" spans="1:1" x14ac:dyDescent="0.35">
      <c r="A1418" s="178"/>
    </row>
    <row r="1419" spans="1:1" x14ac:dyDescent="0.35">
      <c r="A1419" s="178"/>
    </row>
    <row r="1420" spans="1:1" x14ac:dyDescent="0.35">
      <c r="A1420" s="178"/>
    </row>
    <row r="1421" spans="1:1" x14ac:dyDescent="0.35">
      <c r="A1421" s="178"/>
    </row>
    <row r="1422" spans="1:1" x14ac:dyDescent="0.35">
      <c r="A1422" s="178"/>
    </row>
    <row r="1423" spans="1:1" x14ac:dyDescent="0.35">
      <c r="A1423" s="178"/>
    </row>
    <row r="1424" spans="1:1" x14ac:dyDescent="0.35">
      <c r="A1424" s="178"/>
    </row>
    <row r="1425" spans="1:1" x14ac:dyDescent="0.35">
      <c r="A1425" s="178"/>
    </row>
    <row r="1426" spans="1:1" x14ac:dyDescent="0.35">
      <c r="A1426" s="178"/>
    </row>
    <row r="1427" spans="1:1" x14ac:dyDescent="0.35">
      <c r="A1427" s="209"/>
    </row>
    <row r="1428" spans="1:1" x14ac:dyDescent="0.35">
      <c r="A1428" s="178"/>
    </row>
    <row r="1429" spans="1:1" x14ac:dyDescent="0.35">
      <c r="A1429" s="178"/>
    </row>
    <row r="1430" spans="1:1" x14ac:dyDescent="0.35">
      <c r="A1430" s="178"/>
    </row>
    <row r="1431" spans="1:1" x14ac:dyDescent="0.35">
      <c r="A1431" s="178"/>
    </row>
    <row r="1432" spans="1:1" x14ac:dyDescent="0.35">
      <c r="A1432" s="178"/>
    </row>
    <row r="1433" spans="1:1" x14ac:dyDescent="0.35">
      <c r="A1433" s="178"/>
    </row>
    <row r="1434" spans="1:1" x14ac:dyDescent="0.35">
      <c r="A1434" s="178"/>
    </row>
    <row r="1435" spans="1:1" x14ac:dyDescent="0.35">
      <c r="A1435" s="178"/>
    </row>
    <row r="1436" spans="1:1" x14ac:dyDescent="0.35">
      <c r="A1436" s="178"/>
    </row>
    <row r="1437" spans="1:1" x14ac:dyDescent="0.35">
      <c r="A1437" s="178"/>
    </row>
    <row r="1438" spans="1:1" x14ac:dyDescent="0.35">
      <c r="A1438" s="178"/>
    </row>
    <row r="1439" spans="1:1" x14ac:dyDescent="0.35">
      <c r="A1439" s="178"/>
    </row>
    <row r="1440" spans="1:1" x14ac:dyDescent="0.35">
      <c r="A1440" s="178"/>
    </row>
    <row r="1441" spans="1:1" x14ac:dyDescent="0.35">
      <c r="A1441" s="178"/>
    </row>
    <row r="1442" spans="1:1" x14ac:dyDescent="0.35">
      <c r="A1442" s="178"/>
    </row>
    <row r="1443" spans="1:1" x14ac:dyDescent="0.35">
      <c r="A1443" s="178"/>
    </row>
    <row r="1444" spans="1:1" x14ac:dyDescent="0.35">
      <c r="A1444" s="178"/>
    </row>
    <row r="1445" spans="1:1" x14ac:dyDescent="0.35">
      <c r="A1445" s="178"/>
    </row>
    <row r="1446" spans="1:1" x14ac:dyDescent="0.35">
      <c r="A1446" s="178"/>
    </row>
    <row r="1447" spans="1:1" x14ac:dyDescent="0.35">
      <c r="A1447" s="178"/>
    </row>
    <row r="1448" spans="1:1" x14ac:dyDescent="0.35">
      <c r="A1448" s="178"/>
    </row>
    <row r="1449" spans="1:1" x14ac:dyDescent="0.35">
      <c r="A1449" s="178"/>
    </row>
    <row r="1450" spans="1:1" x14ac:dyDescent="0.35">
      <c r="A1450" s="178"/>
    </row>
    <row r="1451" spans="1:1" x14ac:dyDescent="0.35">
      <c r="A1451" s="178"/>
    </row>
    <row r="1452" spans="1:1" x14ac:dyDescent="0.35">
      <c r="A1452" s="178"/>
    </row>
    <row r="1453" spans="1:1" x14ac:dyDescent="0.35">
      <c r="A1453" s="178"/>
    </row>
    <row r="1454" spans="1:1" x14ac:dyDescent="0.35">
      <c r="A1454" s="178"/>
    </row>
    <row r="1455" spans="1:1" x14ac:dyDescent="0.35">
      <c r="A1455" s="178"/>
    </row>
    <row r="1456" spans="1:1" x14ac:dyDescent="0.35">
      <c r="A1456" s="178"/>
    </row>
    <row r="1457" spans="1:1" x14ac:dyDescent="0.35">
      <c r="A1457" s="178"/>
    </row>
    <row r="1458" spans="1:1" x14ac:dyDescent="0.35">
      <c r="A1458" s="178"/>
    </row>
    <row r="1459" spans="1:1" x14ac:dyDescent="0.35">
      <c r="A1459" s="178"/>
    </row>
    <row r="1460" spans="1:1" x14ac:dyDescent="0.35">
      <c r="A1460" s="178"/>
    </row>
    <row r="1461" spans="1:1" x14ac:dyDescent="0.35">
      <c r="A1461" s="178"/>
    </row>
    <row r="1462" spans="1:1" x14ac:dyDescent="0.35">
      <c r="A1462" s="178"/>
    </row>
    <row r="1463" spans="1:1" x14ac:dyDescent="0.35">
      <c r="A1463" s="178"/>
    </row>
    <row r="1464" spans="1:1" x14ac:dyDescent="0.35">
      <c r="A1464" s="178"/>
    </row>
    <row r="1465" spans="1:1" x14ac:dyDescent="0.35">
      <c r="A1465" s="178"/>
    </row>
    <row r="1466" spans="1:1" x14ac:dyDescent="0.35">
      <c r="A1466" s="178"/>
    </row>
    <row r="1467" spans="1:1" x14ac:dyDescent="0.35">
      <c r="A1467" s="178"/>
    </row>
    <row r="1468" spans="1:1" x14ac:dyDescent="0.35">
      <c r="A1468" s="178"/>
    </row>
    <row r="1469" spans="1:1" x14ac:dyDescent="0.35">
      <c r="A1469" s="178"/>
    </row>
    <row r="1470" spans="1:1" x14ac:dyDescent="0.35">
      <c r="A1470" s="178"/>
    </row>
    <row r="1471" spans="1:1" x14ac:dyDescent="0.35">
      <c r="A1471" s="178"/>
    </row>
    <row r="1472" spans="1:1" x14ac:dyDescent="0.35">
      <c r="A1472" s="178"/>
    </row>
    <row r="1473" spans="1:1" x14ac:dyDescent="0.35">
      <c r="A1473" s="178"/>
    </row>
    <row r="1474" spans="1:1" x14ac:dyDescent="0.35">
      <c r="A1474" s="178"/>
    </row>
    <row r="1475" spans="1:1" x14ac:dyDescent="0.35">
      <c r="A1475" s="178"/>
    </row>
    <row r="1476" spans="1:1" x14ac:dyDescent="0.35">
      <c r="A1476" s="178"/>
    </row>
    <row r="1477" spans="1:1" x14ac:dyDescent="0.35">
      <c r="A1477" s="178"/>
    </row>
    <row r="1478" spans="1:1" x14ac:dyDescent="0.35">
      <c r="A1478" s="178"/>
    </row>
    <row r="1479" spans="1:1" x14ac:dyDescent="0.35">
      <c r="A1479" s="178"/>
    </row>
    <row r="1480" spans="1:1" x14ac:dyDescent="0.35">
      <c r="A1480" s="178"/>
    </row>
    <row r="1481" spans="1:1" x14ac:dyDescent="0.35">
      <c r="A1481" s="178"/>
    </row>
    <row r="1482" spans="1:1" x14ac:dyDescent="0.35">
      <c r="A1482" s="178"/>
    </row>
    <row r="1483" spans="1:1" x14ac:dyDescent="0.35">
      <c r="A1483" s="178"/>
    </row>
    <row r="1484" spans="1:1" x14ac:dyDescent="0.35">
      <c r="A1484" s="178"/>
    </row>
    <row r="1485" spans="1:1" x14ac:dyDescent="0.35">
      <c r="A1485" s="178"/>
    </row>
    <row r="1486" spans="1:1" x14ac:dyDescent="0.35">
      <c r="A1486" s="178"/>
    </row>
    <row r="1487" spans="1:1" x14ac:dyDescent="0.35">
      <c r="A1487" s="178"/>
    </row>
    <row r="1488" spans="1:1" x14ac:dyDescent="0.35">
      <c r="A1488" s="178"/>
    </row>
    <row r="1489" spans="1:1" x14ac:dyDescent="0.35">
      <c r="A1489" s="178"/>
    </row>
    <row r="1490" spans="1:1" x14ac:dyDescent="0.35">
      <c r="A1490" s="178"/>
    </row>
    <row r="1491" spans="1:1" x14ac:dyDescent="0.35">
      <c r="A1491" s="178"/>
    </row>
    <row r="1492" spans="1:1" x14ac:dyDescent="0.35">
      <c r="A1492" s="178"/>
    </row>
    <row r="1493" spans="1:1" x14ac:dyDescent="0.35">
      <c r="A1493" s="178"/>
    </row>
    <row r="1494" spans="1:1" x14ac:dyDescent="0.35">
      <c r="A1494" s="178"/>
    </row>
    <row r="1495" spans="1:1" x14ac:dyDescent="0.35">
      <c r="A1495" s="178"/>
    </row>
    <row r="1496" spans="1:1" x14ac:dyDescent="0.35">
      <c r="A1496" s="178"/>
    </row>
    <row r="1497" spans="1:1" x14ac:dyDescent="0.35">
      <c r="A1497" s="178"/>
    </row>
    <row r="1498" spans="1:1" x14ac:dyDescent="0.35">
      <c r="A1498" s="178"/>
    </row>
    <row r="1499" spans="1:1" x14ac:dyDescent="0.35">
      <c r="A1499" s="178"/>
    </row>
    <row r="1500" spans="1:1" x14ac:dyDescent="0.35">
      <c r="A1500" s="178"/>
    </row>
    <row r="1501" spans="1:1" x14ac:dyDescent="0.35">
      <c r="A1501" s="178"/>
    </row>
    <row r="1502" spans="1:1" x14ac:dyDescent="0.35">
      <c r="A1502" s="178"/>
    </row>
    <row r="1503" spans="1:1" x14ac:dyDescent="0.35">
      <c r="A1503" s="178"/>
    </row>
    <row r="1504" spans="1:1" x14ac:dyDescent="0.35">
      <c r="A1504" s="178"/>
    </row>
    <row r="1505" spans="1:1" x14ac:dyDescent="0.35">
      <c r="A1505" s="178"/>
    </row>
    <row r="1506" spans="1:1" x14ac:dyDescent="0.35">
      <c r="A1506" s="178"/>
    </row>
    <row r="1507" spans="1:1" x14ac:dyDescent="0.35">
      <c r="A1507" s="178"/>
    </row>
    <row r="1508" spans="1:1" x14ac:dyDescent="0.35">
      <c r="A1508" s="178"/>
    </row>
    <row r="1509" spans="1:1" x14ac:dyDescent="0.35">
      <c r="A1509" s="178"/>
    </row>
    <row r="1510" spans="1:1" x14ac:dyDescent="0.35">
      <c r="A1510" s="178"/>
    </row>
    <row r="1511" spans="1:1" x14ac:dyDescent="0.35">
      <c r="A1511" s="178"/>
    </row>
    <row r="1512" spans="1:1" x14ac:dyDescent="0.35">
      <c r="A1512" s="178"/>
    </row>
    <row r="1513" spans="1:1" x14ac:dyDescent="0.35">
      <c r="A1513" s="178"/>
    </row>
    <row r="1514" spans="1:1" x14ac:dyDescent="0.35">
      <c r="A1514" s="178"/>
    </row>
    <row r="1515" spans="1:1" x14ac:dyDescent="0.35">
      <c r="A1515" s="178"/>
    </row>
    <row r="1516" spans="1:1" x14ac:dyDescent="0.35">
      <c r="A1516" s="178"/>
    </row>
    <row r="1517" spans="1:1" x14ac:dyDescent="0.35">
      <c r="A1517" s="178"/>
    </row>
    <row r="1518" spans="1:1" x14ac:dyDescent="0.35">
      <c r="A1518" s="178"/>
    </row>
    <row r="1519" spans="1:1" x14ac:dyDescent="0.35">
      <c r="A1519" s="178"/>
    </row>
  </sheetData>
  <sortState xmlns:xlrd2="http://schemas.microsoft.com/office/spreadsheetml/2017/richdata2" ref="A4:C1518">
    <sortCondition descending="1" ref="B4:B1518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Monthly sheet </vt:lpstr>
      <vt:lpstr>Balance sheet </vt:lpstr>
      <vt:lpstr>Income Statement </vt:lpstr>
      <vt:lpstr>Year to date</vt:lpstr>
      <vt:lpstr>Debtors </vt:lpstr>
      <vt:lpstr>Suppliers </vt:lpstr>
      <vt:lpstr>Sales </vt:lpstr>
      <vt:lpstr>Invoices</vt:lpstr>
      <vt:lpstr>Stock </vt:lpstr>
      <vt:lpstr>Per Customer </vt:lpstr>
      <vt:lpstr>Hannitan</vt:lpstr>
      <vt:lpstr>FLW</vt:lpstr>
      <vt:lpstr>Customer for the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Sannette</dc:creator>
  <cp:lastModifiedBy>Sannette Potgieter</cp:lastModifiedBy>
  <cp:lastPrinted>2026-06-02T13:24:31Z</cp:lastPrinted>
  <dcterms:created xsi:type="dcterms:W3CDTF">2015-08-14T09:28:44Z</dcterms:created>
  <dcterms:modified xsi:type="dcterms:W3CDTF">2026-07-06T09:20:20Z</dcterms:modified>
</cp:coreProperties>
</file>