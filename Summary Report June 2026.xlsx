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ette\Desktop\Work Folder\Companies\1. African Gameskin\Reports\MONTLY INFO DENZIL\2027\"/>
    </mc:Choice>
  </mc:AlternateContent>
  <xr:revisionPtr revIDLastSave="0" documentId="13_ncr:1_{ED6F3950-F8B8-411A-B408-C1E4EF755EA0}" xr6:coauthVersionLast="47" xr6:coauthVersionMax="47" xr10:uidLastSave="{00000000-0000-0000-0000-000000000000}"/>
  <bookViews>
    <workbookView xWindow="-110" yWindow="-110" windowWidth="19420" windowHeight="11500" firstSheet="14" activeTab="15" xr2:uid="{00000000-000D-0000-FFFF-FFFF00000000}"/>
  </bookViews>
  <sheets>
    <sheet name="Monthly sheet " sheetId="14" r:id="rId1"/>
    <sheet name="Sheet1" sheetId="22" r:id="rId2"/>
    <sheet name="Balance sheet " sheetId="1" r:id="rId3"/>
    <sheet name="Income Statement " sheetId="3" r:id="rId4"/>
    <sheet name="Year to date" sheetId="19" r:id="rId5"/>
    <sheet name="Debtors " sheetId="4" r:id="rId6"/>
    <sheet name="Suppliers " sheetId="6" r:id="rId7"/>
    <sheet name="Sales " sheetId="8" r:id="rId8"/>
    <sheet name="Invoices" sheetId="9" r:id="rId9"/>
    <sheet name="Stock " sheetId="11" r:id="rId10"/>
    <sheet name="Per Customer " sheetId="12" r:id="rId11"/>
    <sheet name="Hannitan" sheetId="20" r:id="rId12"/>
    <sheet name="FLW" sheetId="18" r:id="rId13"/>
    <sheet name="Customer for the year" sheetId="21" r:id="rId14"/>
    <sheet name="Dashboard Analysis" sheetId="23" r:id="rId15"/>
    <sheet name="Analysis Dashboard" sheetId="24" r:id="rId16"/>
  </sheets>
  <externalReferences>
    <externalReference r:id="rId17"/>
    <externalReference r:id="rId18"/>
  </externalReferences>
  <definedNames>
    <definedName name="_xlnm._FilterDatabase" localSheetId="8" hidden="1">Invoices!$A$4:$G$1848</definedName>
    <definedName name="_xlnm._FilterDatabase" localSheetId="10" hidden="1">'Per Customer '!$A$3:$D$516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8" i="24" l="1"/>
  <c r="C38" i="24"/>
  <c r="D38" i="24"/>
  <c r="B39" i="24"/>
  <c r="C39" i="24"/>
  <c r="D39" i="24"/>
  <c r="G39" i="24" s="1"/>
  <c r="B40" i="24"/>
  <c r="C40" i="24"/>
  <c r="D40" i="24"/>
  <c r="B41" i="24"/>
  <c r="C41" i="24"/>
  <c r="D41" i="24"/>
  <c r="B42" i="24"/>
  <c r="C42" i="24"/>
  <c r="D42" i="24"/>
  <c r="G42" i="24" s="1"/>
  <c r="B43" i="24"/>
  <c r="C43" i="24"/>
  <c r="D43" i="24"/>
  <c r="B44" i="24"/>
  <c r="C44" i="24"/>
  <c r="D44" i="24"/>
  <c r="B45" i="24"/>
  <c r="C45" i="24"/>
  <c r="D45" i="24"/>
  <c r="G45" i="24" s="1"/>
  <c r="B46" i="24"/>
  <c r="C46" i="24"/>
  <c r="D46" i="24"/>
  <c r="G46" i="24" s="1"/>
  <c r="B47" i="24"/>
  <c r="C47" i="24"/>
  <c r="D47" i="24"/>
  <c r="G47" i="24" s="1"/>
  <c r="B31" i="24"/>
  <c r="C31" i="24"/>
  <c r="B32" i="24"/>
  <c r="C32" i="24"/>
  <c r="B33" i="24"/>
  <c r="C33" i="24"/>
  <c r="B34" i="24"/>
  <c r="C34" i="24"/>
  <c r="D31" i="24" s="1"/>
  <c r="B23" i="24"/>
  <c r="B24" i="24"/>
  <c r="B25" i="24"/>
  <c r="B26" i="24"/>
  <c r="B27" i="24"/>
  <c r="C23" i="24" s="1"/>
  <c r="B16" i="24"/>
  <c r="C16" i="24"/>
  <c r="D16" i="24"/>
  <c r="B17" i="24"/>
  <c r="C17" i="24"/>
  <c r="D17" i="24"/>
  <c r="B18" i="24"/>
  <c r="G18" i="24" s="1"/>
  <c r="C18" i="24"/>
  <c r="C19" i="24"/>
  <c r="J4" i="24"/>
  <c r="M4" i="24"/>
  <c r="J5" i="24"/>
  <c r="J6" i="24"/>
  <c r="M6" i="24"/>
  <c r="G38" i="24"/>
  <c r="G40" i="24"/>
  <c r="G41" i="24"/>
  <c r="G43" i="24"/>
  <c r="G44" i="24"/>
  <c r="G31" i="24"/>
  <c r="G32" i="24"/>
  <c r="G33" i="24"/>
  <c r="G23" i="24"/>
  <c r="G24" i="24"/>
  <c r="G25" i="24"/>
  <c r="G26" i="24"/>
  <c r="G16" i="24"/>
  <c r="G17" i="24"/>
  <c r="B5" i="24"/>
  <c r="B6" i="24"/>
  <c r="B7" i="24"/>
  <c r="B8" i="24"/>
  <c r="B9" i="24"/>
  <c r="B10" i="24"/>
  <c r="B11" i="24"/>
  <c r="B12" i="24"/>
  <c r="L20" i="14"/>
  <c r="M36" i="14"/>
  <c r="L36" i="14"/>
  <c r="M39" i="14"/>
  <c r="M37" i="14"/>
  <c r="D33" i="24" l="1"/>
  <c r="D32" i="24"/>
  <c r="D34" i="24" s="1"/>
  <c r="C26" i="24"/>
  <c r="M5" i="24"/>
  <c r="C25" i="24"/>
  <c r="C24" i="24"/>
  <c r="C27" i="24" s="1"/>
  <c r="D18" i="24"/>
  <c r="B19" i="24"/>
  <c r="D19" i="24" s="1"/>
  <c r="L37" i="14"/>
  <c r="D47" i="14" l="1"/>
  <c r="C48" i="14"/>
  <c r="C20" i="14"/>
  <c r="C19" i="14"/>
  <c r="C18" i="14"/>
  <c r="C22" i="14" s="1"/>
  <c r="H28" i="14"/>
  <c r="G16" i="14"/>
  <c r="G15" i="14"/>
  <c r="D38" i="18"/>
  <c r="D37" i="18"/>
  <c r="B37" i="18"/>
  <c r="G9" i="14"/>
  <c r="G8" i="14"/>
  <c r="G7" i="14"/>
  <c r="D46" i="20"/>
  <c r="D44" i="20"/>
  <c r="B44" i="20"/>
  <c r="D11" i="14"/>
  <c r="C11" i="14"/>
  <c r="C39" i="8"/>
  <c r="B39" i="8"/>
  <c r="H24" i="14"/>
  <c r="H23" i="14"/>
  <c r="H22" i="14"/>
  <c r="H21" i="14"/>
  <c r="H20" i="14"/>
  <c r="L14" i="14"/>
  <c r="L7" i="14"/>
  <c r="L6" i="14"/>
  <c r="D22" i="14"/>
  <c r="L28" i="14" l="1"/>
  <c r="G10" i="14" l="1"/>
  <c r="C47" i="14"/>
  <c r="D7" i="14" l="1"/>
  <c r="D6" i="14"/>
  <c r="C36" i="14" l="1"/>
  <c r="H36" i="14"/>
  <c r="D48" i="14" l="1"/>
  <c r="C12" i="14" l="1"/>
  <c r="C13" i="14" l="1"/>
  <c r="L29" i="14" l="1"/>
  <c r="D13" i="14" l="1"/>
  <c r="G11" i="14"/>
  <c r="M31" i="14"/>
  <c r="M29" i="14"/>
  <c r="L32" i="14"/>
  <c r="G17" i="14"/>
  <c r="M32" i="14" l="1"/>
  <c r="C14" i="14"/>
  <c r="H31" i="14" l="1"/>
  <c r="H37" i="14" s="1"/>
  <c r="L15" i="14" l="1"/>
  <c r="D9" i="14" l="1"/>
  <c r="D42" i="14" s="1"/>
  <c r="D46" i="14" l="1"/>
  <c r="D49" i="14"/>
  <c r="L21" i="14"/>
  <c r="M23" i="14"/>
  <c r="H25" i="14"/>
  <c r="H34" i="14" s="1"/>
  <c r="L24" i="14" l="1"/>
  <c r="M24" i="14" s="1"/>
  <c r="M21" i="14"/>
  <c r="M40" i="14" l="1"/>
  <c r="H33" i="14" l="1"/>
  <c r="H40" i="14" s="1"/>
  <c r="C50" i="8" l="1"/>
</calcChain>
</file>

<file path=xl/sharedStrings.xml><?xml version="1.0" encoding="utf-8"?>
<sst xmlns="http://schemas.openxmlformats.org/spreadsheetml/2006/main" count="7651" uniqueCount="3428">
  <si>
    <t>SALES</t>
  </si>
  <si>
    <t>COST OF SALES</t>
  </si>
  <si>
    <t>OTHER INCOME</t>
  </si>
  <si>
    <t>EXPENSES</t>
  </si>
  <si>
    <t>AFRICAN GAMESKIN GROUP (PTY) LTD</t>
  </si>
  <si>
    <t>PURCHASES</t>
  </si>
  <si>
    <t>BANK:</t>
  </si>
  <si>
    <t xml:space="preserve">TURNOVER </t>
  </si>
  <si>
    <t>HANNITAN - RECEIVED IN MONTH</t>
  </si>
  <si>
    <t>M2</t>
  </si>
  <si>
    <t>NEDBANK</t>
  </si>
  <si>
    <t>TURNOVER - EXPORTS</t>
  </si>
  <si>
    <t>VALUE EXCL VAT</t>
  </si>
  <si>
    <t>CFC</t>
  </si>
  <si>
    <t>LEATHER SOLD:</t>
  </si>
  <si>
    <t>AVERAGE SELLING PRICE:</t>
  </si>
  <si>
    <t>TURNOVER</t>
  </si>
  <si>
    <t>GROSS PROFIT</t>
  </si>
  <si>
    <t>NET PROFIT</t>
  </si>
  <si>
    <t xml:space="preserve">TOP 10 CUSTOMERS </t>
  </si>
  <si>
    <t>DM2</t>
  </si>
  <si>
    <t>VALUE</t>
  </si>
  <si>
    <t xml:space="preserve">AVERAGE PRICE </t>
  </si>
  <si>
    <t>CREDITORS AGING:</t>
  </si>
  <si>
    <t>CURRENT</t>
  </si>
  <si>
    <t>30DAYS</t>
  </si>
  <si>
    <t>60DAYS</t>
  </si>
  <si>
    <t>DEBTORS AGING AT END OF THE MONTH:</t>
  </si>
  <si>
    <t>STOCK</t>
  </si>
  <si>
    <t>DEBTORS</t>
  </si>
  <si>
    <t>90DAYS</t>
  </si>
  <si>
    <t xml:space="preserve">BANK </t>
  </si>
  <si>
    <t>120DAYS</t>
  </si>
  <si>
    <t>CREDITORS</t>
  </si>
  <si>
    <t>TOTAL STOCK:</t>
  </si>
  <si>
    <t>TOTAL CURRENT ASSETS:</t>
  </si>
  <si>
    <t>AVERAGE PURCHASE PRICE :</t>
  </si>
  <si>
    <t>LEATHER PURCHASED:</t>
  </si>
  <si>
    <t xml:space="preserve">INCOME STATEMENT YTD </t>
  </si>
  <si>
    <t>5% DISCOUNT</t>
  </si>
  <si>
    <t>JHB</t>
  </si>
  <si>
    <t>Durban</t>
  </si>
  <si>
    <t>FUSION LEATHER - RECEIVED IN MONTH</t>
  </si>
  <si>
    <t xml:space="preserve">SALES BREAKDOWN </t>
  </si>
  <si>
    <t xml:space="preserve">Total m2 sold </t>
  </si>
  <si>
    <t>LOAN ACCOUNTS</t>
  </si>
  <si>
    <t>AVERAGE PRICE</t>
  </si>
  <si>
    <t>TOTAL</t>
  </si>
  <si>
    <t>Cape Town</t>
  </si>
  <si>
    <t xml:space="preserve">JHB Branch </t>
  </si>
  <si>
    <t>Durban Branch</t>
  </si>
  <si>
    <t xml:space="preserve">Cape Town Branch </t>
  </si>
  <si>
    <t>Top 10 as % of total sales</t>
  </si>
  <si>
    <t>Hildene Inv</t>
  </si>
  <si>
    <t xml:space="preserve">Other </t>
  </si>
  <si>
    <t xml:space="preserve">Spolden Inv </t>
  </si>
  <si>
    <t>May 2026</t>
  </si>
  <si>
    <t>DATE: JUNE 2026</t>
  </si>
  <si>
    <t>June 2026</t>
  </si>
  <si>
    <t>STOCK - June 2026</t>
  </si>
  <si>
    <t>INCOME STATEMENT JUNE 2026</t>
  </si>
  <si>
    <t>AFRICAN GAMESKIN GROUP (PTY) LTD  |  Prepared by:  African Gameskin</t>
  </si>
  <si>
    <t>BALANCE SHEET as at 30/06/2026</t>
  </si>
  <si>
    <t/>
  </si>
  <si>
    <t>EQUITY AND LIABILITIES</t>
  </si>
  <si>
    <t>Capital and Reserves</t>
  </si>
  <si>
    <t>Share Capital</t>
  </si>
  <si>
    <t>Members contribution</t>
  </si>
  <si>
    <t>Retained Income</t>
  </si>
  <si>
    <t>Retained Income / (Accumulated Loss)</t>
  </si>
  <si>
    <t>Net Profit/Loss this year</t>
  </si>
  <si>
    <t>Shareholders Loan</t>
  </si>
  <si>
    <t>D Spolander</t>
  </si>
  <si>
    <t>Minority Interest</t>
  </si>
  <si>
    <t>Non-current Liabilities</t>
  </si>
  <si>
    <t>Current Liabilities</t>
  </si>
  <si>
    <t>Nedbank Credit Card</t>
  </si>
  <si>
    <t>Supplier Control Account</t>
  </si>
  <si>
    <t>Provision for Future Expenses</t>
  </si>
  <si>
    <t>Total Equity and Liabilities</t>
  </si>
  <si>
    <t>ASSETS</t>
  </si>
  <si>
    <t>Non-current Assets</t>
  </si>
  <si>
    <t>Fixed Assets</t>
  </si>
  <si>
    <t>Motor Vehicles - Net Value</t>
  </si>
  <si>
    <t>Computer Equipment - Net Value</t>
  </si>
  <si>
    <t>Furniture &amp; Fittings - Net value</t>
  </si>
  <si>
    <t>Current Assets</t>
  </si>
  <si>
    <t>Inventory</t>
  </si>
  <si>
    <t>Staff Loan</t>
  </si>
  <si>
    <t>Hildene Investments (Pty) Ltd</t>
  </si>
  <si>
    <t>Customer Control Account</t>
  </si>
  <si>
    <t>Nedbank Cheque 1036 327663</t>
  </si>
  <si>
    <t>USD Account 7095014132</t>
  </si>
  <si>
    <t>Petty cash</t>
  </si>
  <si>
    <t>Petty Cash</t>
  </si>
  <si>
    <t>Sundry Customers</t>
  </si>
  <si>
    <t>Taxation</t>
  </si>
  <si>
    <t>Vat / Tax Control Account</t>
  </si>
  <si>
    <t>Total Assets</t>
  </si>
  <si>
    <t>INCOME STATEMENT : 01/06/2026 to 30/06/2026</t>
  </si>
  <si>
    <t>Sales</t>
  </si>
  <si>
    <t>Sales - other</t>
  </si>
  <si>
    <t>Sales zero rated</t>
  </si>
  <si>
    <t>Cost of Sales / Purchases</t>
  </si>
  <si>
    <t>Clearing and forwarding</t>
  </si>
  <si>
    <t>Courier &amp; Postage</t>
  </si>
  <si>
    <t>GROSS PROFIT / (LOSS)</t>
  </si>
  <si>
    <t>Discount Received for Cash</t>
  </si>
  <si>
    <t>Interest Received</t>
  </si>
  <si>
    <t>Sundry Income</t>
  </si>
  <si>
    <t>Foreign exchange Gain / Loss</t>
  </si>
  <si>
    <t>Accounting Fees</t>
  </si>
  <si>
    <t>Advertising &amp; Promotions</t>
  </si>
  <si>
    <t>Bank Charges</t>
  </si>
  <si>
    <t>Cleaning</t>
  </si>
  <si>
    <t>Computer Expenses</t>
  </si>
  <si>
    <t>Consumables</t>
  </si>
  <si>
    <t>Credit card commission</t>
  </si>
  <si>
    <t>Discount Allowed for Cash</t>
  </si>
  <si>
    <t>Electricity &amp; Water</t>
  </si>
  <si>
    <t>Insurance</t>
  </si>
  <si>
    <t>Legal Fees</t>
  </si>
  <si>
    <t>Motor Vehicle Expenses</t>
  </si>
  <si>
    <t>Printing &amp; Stationery</t>
  </si>
  <si>
    <t>Rent Paid</t>
  </si>
  <si>
    <t>Rental - copier</t>
  </si>
  <si>
    <t>Repairs &amp; Maintenance</t>
  </si>
  <si>
    <t>Salaries &amp; Wages</t>
  </si>
  <si>
    <t>Paye  Uif &amp; Sdl</t>
  </si>
  <si>
    <t>Workmanscompensation</t>
  </si>
  <si>
    <t>Security expenses</t>
  </si>
  <si>
    <t>Subscriptions</t>
  </si>
  <si>
    <t>Teas &amp; Refreshments</t>
  </si>
  <si>
    <t>Telephone &amp; Fax</t>
  </si>
  <si>
    <t>Travel &amp; Accommodation</t>
  </si>
  <si>
    <t>NET PROFIT / (LOSS) BEFORE TAX</t>
  </si>
  <si>
    <t>TAX</t>
  </si>
  <si>
    <t>DIVIDENDS</t>
  </si>
  <si>
    <t>NET PROFIT / (LOSS)</t>
  </si>
  <si>
    <t>INCOME STATEMENT : 01/03/2026 to 30/06/2026</t>
  </si>
  <si>
    <t>Consulting Fees</t>
  </si>
  <si>
    <t>Gifts</t>
  </si>
  <si>
    <t>Interest Paid</t>
  </si>
  <si>
    <t>Customer Age Analysis for Monthly Customers as at 30/06/2026</t>
  </si>
  <si>
    <t>Name</t>
  </si>
  <si>
    <t>120+ Days</t>
  </si>
  <si>
    <t>90 Days</t>
  </si>
  <si>
    <t>60 Days</t>
  </si>
  <si>
    <t>30 Days</t>
  </si>
  <si>
    <t>Current</t>
  </si>
  <si>
    <t>Total Due</t>
  </si>
  <si>
    <t>ABM002 - ABM UPHOLSTERERS</t>
  </si>
  <si>
    <t>AFI001 - AFIKA PROMOTIONS</t>
  </si>
  <si>
    <t>AGD001 - A&amp;G DESIGN</t>
  </si>
  <si>
    <t>ALD003 - ALDORA MANUFACTURES</t>
  </si>
  <si>
    <t>ALE003 - ALEXIOU LEATHER COUCHES</t>
  </si>
  <si>
    <t>ALW002 - ALWAYS AROUND (PTY) LTD T/A BEESDAM</t>
  </si>
  <si>
    <t>ANG002 - ANGEL FOOTWEAR</t>
  </si>
  <si>
    <t>ARL006 - ARLEV INVESTMENTS (PTY) LTD</t>
  </si>
  <si>
    <t>ARN001 - ARNOLD SHOES</t>
  </si>
  <si>
    <t>ARR002 - QUIVER TRUST T/A ARROW LEATHER GOODS</t>
  </si>
  <si>
    <t>ASC001 - ASCOT UPHOLSTERY</t>
  </si>
  <si>
    <t>BAO002 - BAO-BAGS</t>
  </si>
  <si>
    <t>BAR003 - E BARONOS LEATHER MANUFACTURERS CC</t>
  </si>
  <si>
    <t>BAR004 - BARNO (PTY) LTD</t>
  </si>
  <si>
    <t>BAR016 - BARK AND MILL</t>
  </si>
  <si>
    <t>BAR018 - BARAKA GIFTS AND DECOR</t>
  </si>
  <si>
    <t>BBG001 - BBAGZZ SECURITY</t>
  </si>
  <si>
    <t>BCI001 - BC INGRIM</t>
  </si>
  <si>
    <t>BEAT01 - BEATUS GENUINE LEATHER</t>
  </si>
  <si>
    <t>BEC002 - BECK ERNST LIVING</t>
  </si>
  <si>
    <t>BEG001 - BEGIN WITH END IN MIND INTERIORS</t>
  </si>
  <si>
    <t>BEN005 - BENZE UPHOLSTERY</t>
  </si>
  <si>
    <t>BES006 - BESPOKE LIVING</t>
  </si>
  <si>
    <t>BLU004 - AMBI &amp; CO t/a BLUEBERRY BLUSH</t>
  </si>
  <si>
    <t>BLU011 - BLUE SERIF</t>
  </si>
  <si>
    <t>BOK002 - BOKSBURG UPHOLSTERY</t>
  </si>
  <si>
    <t>BON002 - BON MARSHAL</t>
  </si>
  <si>
    <t>BOO002 - BOOT &amp; RALLY (PTY) (LTD)</t>
  </si>
  <si>
    <t>BOR013 - BORDER UPHOLSTERY SOLUTIONS</t>
  </si>
  <si>
    <t>BOS010 - BOSVELD CANVAS AND LEATHER</t>
  </si>
  <si>
    <t>BRA013 - BRANDO LEATHER GOODS (PTY) LTD</t>
  </si>
  <si>
    <t>BRA021 - BRANDIT LEATHER CREATION</t>
  </si>
  <si>
    <t>BRE003 - BRESAN FOOTWEAR (PTY) LTD</t>
  </si>
  <si>
    <t>BSE001 - B SEATED (PTY) LTD</t>
  </si>
  <si>
    <t>BUR001 - WH Burgundy Collective (Pty) Ltd</t>
  </si>
  <si>
    <t>CAP003 - CAPE KNIFE CUTTING CC</t>
  </si>
  <si>
    <t>CAP028 - CAPE MASAI LEATHER ART AND CRAFT T/A</t>
  </si>
  <si>
    <t>CAS003 - CASAMENTO</t>
  </si>
  <si>
    <t>CASH - CASH CUSTOMER</t>
  </si>
  <si>
    <t>CAT007 - CATTLE &amp; CO LEATHER</t>
  </si>
  <si>
    <t>CC001 - CC LEATHER</t>
  </si>
  <si>
    <t>CHA020 - CHAYIN (PTY) LTD</t>
  </si>
  <si>
    <t>CHO001 - CHOMMIES CAPE TOWN PTY LTD</t>
  </si>
  <si>
    <t>COO001 - HOT SHEET MANUFACTURING CC T/A COOCH</t>
  </si>
  <si>
    <t>COO002 - COOL BAGS</t>
  </si>
  <si>
    <t>COR004 - CORVARI FOOTWEAR CC</t>
  </si>
  <si>
    <t>COS001 - TH STEVENS T/A COSY COUCH</t>
  </si>
  <si>
    <t>COV005 - COVERUP CONCEPTS</t>
  </si>
  <si>
    <t>COV021 - COVERFRESH UPHOLSTERY</t>
  </si>
  <si>
    <t>CRE007 - CREATIVE LEATHER GOODS</t>
  </si>
  <si>
    <t>CUR005 - CURTAINS UP</t>
  </si>
  <si>
    <t>CUR009 - CURLICUE PTY LTD</t>
  </si>
  <si>
    <t>DAR001 - The Dark Horse Brand (PTY) LTD</t>
  </si>
  <si>
    <t>DCD001 - DC Leather (Pty) Ltd t/a</t>
  </si>
  <si>
    <t>DER003 - STEVENSON SHOE REPAIRS</t>
  </si>
  <si>
    <t>DES01 - THE SOMMELIER CAFE CC T/A DESIGN UNIQUE</t>
  </si>
  <si>
    <t>DIE001 - LEERMEESTER LEATHER FACTORY CC</t>
  </si>
  <si>
    <t>DIR001 - DIRTY LEATHER</t>
  </si>
  <si>
    <t>DOK001 - DOKTER &amp; MISSES</t>
  </si>
  <si>
    <t>DON009 - DONKEY LONG TONG (PTY) LTD</t>
  </si>
  <si>
    <t>DOU005 - DOUBLEPURPLE</t>
  </si>
  <si>
    <t>DRA002 - DRAGONFLY MARKETING 101 (Pty) Ltd</t>
  </si>
  <si>
    <t>EAS004 - STEVENSON T/A INTERNATIONAL WHOLESALERS</t>
  </si>
  <si>
    <t>EDD002 - EDDELS SHOES</t>
  </si>
  <si>
    <t>EGU001 - E.G UPHOLSTERY</t>
  </si>
  <si>
    <t>ELE002 - TWINKEL SHOE INDUSTRIES CC T/A</t>
  </si>
  <si>
    <t>ELS001 - EL SOLE HOLDINGS PTY LTD T/A EL SOLE</t>
  </si>
  <si>
    <t>EMP002 - Emporium Collection International</t>
  </si>
  <si>
    <t>EQU003 - EQUESTRIAN FOOTWEAR HOLDINGS PTY</t>
  </si>
  <si>
    <t>ERG001 - ERGO FORM FURNITURE INNOVATION</t>
  </si>
  <si>
    <t>EST010 - ESTELLE BLAAUW</t>
  </si>
  <si>
    <t>FAT004 - FF CLOTHING GROUP CC</t>
  </si>
  <si>
    <t>FEC001 - FECHTERS FURNITURE MNF (PTY) LTD</t>
  </si>
  <si>
    <t>FFUN01 - THE FURNITURE FUNDI</t>
  </si>
  <si>
    <t>FIL015 - TAU LEATHER SOUTH AFRICA (PTY) LTD</t>
  </si>
  <si>
    <t>FIO001 - FSP COLLECTION</t>
  </si>
  <si>
    <t>GH001 - GH LEATHERS LTD</t>
  </si>
  <si>
    <t>GOD001 - GODFREY PRINCE</t>
  </si>
  <si>
    <t>GRA002 - GRANTS TRUE LEATHER</t>
  </si>
  <si>
    <t>GRO021 - GRONDPAD VELLIES</t>
  </si>
  <si>
    <t>GUI001 - GUIDELINE mnf</t>
  </si>
  <si>
    <t>GWO001 - G-WORX THREE CC</t>
  </si>
  <si>
    <t>GYP001 - LOUISE LEGGATT T/A GYPSEY LOU</t>
  </si>
  <si>
    <t>HAD002 - HADASSAH INTERIORS (PTY) LTD</t>
  </si>
  <si>
    <t>HAN00 - HANDFORD LEATHERS</t>
  </si>
  <si>
    <t>HAN006 - HANSEL &amp; GRETEL BAGS</t>
  </si>
  <si>
    <t>HAR009 - HARTIES CUSTOM UPHOLSTERY</t>
  </si>
  <si>
    <t>HEL002 - HELLO QUALITY (PTY) LTD</t>
  </si>
  <si>
    <t>HIG001 - HIGH THORN</t>
  </si>
  <si>
    <t>HOB001 - HOBNOB MANUFACTURING (Pty) Ltd</t>
  </si>
  <si>
    <t>HOF002 - HOFFMANN FURNITURE</t>
  </si>
  <si>
    <t>HOP001 - HOPEWELL FOOTWEAR</t>
  </si>
  <si>
    <t>HOU012 - HOUNDSTOOTH  APPAREL</t>
  </si>
  <si>
    <t>HOU016 - HOUSE OF CINNAMON</t>
  </si>
  <si>
    <t>IKA001 - IKHAYA AFRICA</t>
  </si>
  <si>
    <t>INK003 - INKABI LEATHER</t>
  </si>
  <si>
    <t>INN002 - INNOVATIVE FOOTWEAR</t>
  </si>
  <si>
    <t>INR001 - INTERIO SA (PTY) LTD</t>
  </si>
  <si>
    <t>INS011 - INSPIRE RENTALS PTY LTD</t>
  </si>
  <si>
    <t>INS012 - INSPRI PTY TD</t>
  </si>
  <si>
    <t>INTE02 - INTERWOVEN DECOR FABRICS (PTY) LTD</t>
  </si>
  <si>
    <t>ISL002 - ISLAND HOUSE TRADING 53 (Pty) Ltd t/a</t>
  </si>
  <si>
    <t>JAY001 - JAYS UPHOLSTERS</t>
  </si>
  <si>
    <t>JIK001 - JIKA TECHNOLOGIES</t>
  </si>
  <si>
    <t>JOI001 - THE JOINERY FASHION CONCEPTS (Pty) Ltd</t>
  </si>
  <si>
    <t>JOR001 - BOLTON FOOTWEAR (PTY) LTD</t>
  </si>
  <si>
    <t>JOU001 - JOURNEY TRADERS (PTY) LTD</t>
  </si>
  <si>
    <t>JOY001 - JOY HOLDINGS 123 PTY</t>
  </si>
  <si>
    <t>JUL003 - JULIANA DESIGNS (PTY) LTD</t>
  </si>
  <si>
    <t>JUS001 - JUST SOFAS</t>
  </si>
  <si>
    <t>KAK009 - KAKIEBOS HOLDINGS (PTY) LTD</t>
  </si>
  <si>
    <t>KIN002 - King Kong Leather and Cellular CC</t>
  </si>
  <si>
    <t>KUR001 - KURGAN KENANI LEATHER PTY LTD</t>
  </si>
  <si>
    <t>KZN001 - KZN FASTNERS (PTY) LTD</t>
  </si>
  <si>
    <t>LAG001 - LA GRANGE INTERIORS (PTY) LTD</t>
  </si>
  <si>
    <t>LEA021 - LEATHER AND SUEDE</t>
  </si>
  <si>
    <t>LEA028 - LEATHERWIZE (PTY) LTD</t>
  </si>
  <si>
    <t>LEA03 - LEATHER DIRECT  (Pty) Ltd</t>
  </si>
  <si>
    <t>LEA030 - PARIS MANUFACTURING (PTY) LTD</t>
  </si>
  <si>
    <t>LEA04 - LEATHER DIRECT (Pty) Ltd</t>
  </si>
  <si>
    <t>LEA057 - LEAFY TECH</t>
  </si>
  <si>
    <t>LED003 - BUMMEL SHOES</t>
  </si>
  <si>
    <t>LEE001 - LEE CUSTOM FURNITURES</t>
  </si>
  <si>
    <t>LEF001 - H. LEFFLER &amp; SON (PTY) LTD</t>
  </si>
  <si>
    <t>LEI001 - LEISURE LOUNGE</t>
  </si>
  <si>
    <t>LEW001 - LEWIS AND MADGE</t>
  </si>
  <si>
    <t>LHS001 - LHSA T/A LUXE</t>
  </si>
  <si>
    <t>LIL004 - LILI LEATHER</t>
  </si>
  <si>
    <t>LIN04 - LINEAR CONCEPTS PTY LTD</t>
  </si>
  <si>
    <t>LIO003 - LIONEL UPHOLSTERY</t>
  </si>
  <si>
    <t>LIY001 - LIYAAN LEATHERS</t>
  </si>
  <si>
    <t>LLM001 - LL MANUFACTURING</t>
  </si>
  <si>
    <t>LMA001 - LEATHER MASTER</t>
  </si>
  <si>
    <t>LON003 - LONE LEATHERS (PTY) LTD</t>
  </si>
  <si>
    <t>LOV002 - LOVE LEATHER SA (PTY) LTD</t>
  </si>
  <si>
    <t>LUB001 - LUBAN FURNITURE CC</t>
  </si>
  <si>
    <t>MAC007 - MACTAVISH CLOTHING</t>
  </si>
  <si>
    <t>MAG001 - MAGDA'S LEATHER</t>
  </si>
  <si>
    <t>MAN013 - SCHOLTZ CUSTOM MADE LEATHER</t>
  </si>
  <si>
    <t>MAR000 - MAREE MEUBELS</t>
  </si>
  <si>
    <t>MAR037 - MARKS LEATHER</t>
  </si>
  <si>
    <t>MAV002 - MAVRICAN INTERNATIONAL (PTY) LTD</t>
  </si>
  <si>
    <t>MAZ002 - LEATHER CONNECTIONS</t>
  </si>
  <si>
    <t>MET003 - METRO LIFESTYLE CENTRE CENTURION</t>
  </si>
  <si>
    <t>MEY001 - MEYER &amp; FERREIRA STIKLAND CC</t>
  </si>
  <si>
    <t>MIS002 - MISCELLANIA (PTY) LTD</t>
  </si>
  <si>
    <t>MKL001 - McFarlane &amp; Joseph t/a MKLA AFRICA</t>
  </si>
  <si>
    <t>MOD002 - MODART (PTY) LTD</t>
  </si>
  <si>
    <t>MOO008 - MOOO SHOES HANDCRAFTED LEATHER GOODS</t>
  </si>
  <si>
    <t>MOT006 - MOTIFE INTERIORS</t>
  </si>
  <si>
    <t>MSJ001 - MSJ UPHOLSTERY</t>
  </si>
  <si>
    <t>MUR001 - BRISAGO</t>
  </si>
  <si>
    <t>NIC005 - NICHE LEATHERWARE COLLECTION</t>
  </si>
  <si>
    <t>NIE001 - NIEUW DESIGN</t>
  </si>
  <si>
    <t>NOL006 - NOLENE BRAMLEY</t>
  </si>
  <si>
    <t>NOM002 - NOMIA BAGS</t>
  </si>
  <si>
    <t>NRH01 - NORTH HAMPTON LEATHER</t>
  </si>
  <si>
    <t>NSW001 - NSW LEATHER CO (PTY) LTD</t>
  </si>
  <si>
    <t>OAK002 - OAK LEATHER</t>
  </si>
  <si>
    <t>OGU001 - OGUN OUTFITTERS</t>
  </si>
  <si>
    <t>OHU001 - O. HURLIMANN LEATHER WORKS T/A EL PASO</t>
  </si>
  <si>
    <t>OKA001 - OKAPI-LUXURY BAGS ON ACCESSORIES Pty Ltd</t>
  </si>
  <si>
    <t>OLI008 - OLIVE COFFEE BEANS PTY LTD</t>
  </si>
  <si>
    <t>OLL001 - OLLI AND ROSE (PTY) LTD</t>
  </si>
  <si>
    <t>OOH001 - OOH LA LA COLLECTIONS PTY (ltd)</t>
  </si>
  <si>
    <t>PAN001 - PANGA PANGA FURNITURE</t>
  </si>
  <si>
    <t>PAP001 - THE PAPERY PTY LTD</t>
  </si>
  <si>
    <t>PAR004 - PARANAO FOOTWEAR</t>
  </si>
  <si>
    <t>PAT001 - PATRICK UPHOLSTERY</t>
  </si>
  <si>
    <t>PDJ001 - PDJ COLLECTIVE (PTY) LTD</t>
  </si>
  <si>
    <t>PHE001 - PHELAN LEATHERWORKS</t>
  </si>
  <si>
    <t>PMI001 - PMI STUDIO PTY LTD</t>
  </si>
  <si>
    <t>PRO015 - PROJECT DYAD</t>
  </si>
  <si>
    <t>PRS001 - PR SHOES - PIETERMARITZBURG</t>
  </si>
  <si>
    <t>PSE001 - ILIFA DEVELOPMENTS (PTY) LTD</t>
  </si>
  <si>
    <t>RED004 - REDLINE FOOTWEAR</t>
  </si>
  <si>
    <t>RGM001 - RGM FURNITURE MANUFACTURES</t>
  </si>
  <si>
    <t>ROS002 - ROSS GUN LEATHER</t>
  </si>
  <si>
    <t>ROW001 - ROWLEY&amp;HUGHES</t>
  </si>
  <si>
    <t>ROW002 - ROWDY INTERNATIONAL (Pty) Ltd</t>
  </si>
  <si>
    <t>RUS003 - RUSIKE</t>
  </si>
  <si>
    <t>SAD001 - SADDLER BELTS &amp; LEATHERCRAFT</t>
  </si>
  <si>
    <t>SAL008 - SALSA FOOTWEAR</t>
  </si>
  <si>
    <t>SAL012 - SALT ROCK PLASTICS CC</t>
  </si>
  <si>
    <t>SAN006 - SANNA LEATHER</t>
  </si>
  <si>
    <t>SAV003 - SAVIOR BRAND CO. (Pty) Ltd</t>
  </si>
  <si>
    <t>SAZ001 - SAZIWA AFRICA</t>
  </si>
  <si>
    <t>SEA003 - SEADOONE SHOES</t>
  </si>
  <si>
    <t>SEB001 - SEBOSETH STUDIO PTY LTD</t>
  </si>
  <si>
    <t>SEB011 - SEBOGODI HOUSE OF LEATHER</t>
  </si>
  <si>
    <t>SEI001 - STUDIO 8 INTERIORS</t>
  </si>
  <si>
    <t>SEV002 - SEVENS DESIGNS PTY LTD</t>
  </si>
  <si>
    <t>SGB001 - SGB SHOE MANUFACTURING</t>
  </si>
  <si>
    <t>SHE020 - SHERENO PRINTERS</t>
  </si>
  <si>
    <t>SIG002 - WAKEFIELD ENTERPRISES (PTY) LTD</t>
  </si>
  <si>
    <t>SIL001 - THE SOFA WORX</t>
  </si>
  <si>
    <t>SIT003 - COMPANY &amp; GOOD</t>
  </si>
  <si>
    <t>SKI002 - SKINNY HANDCRAFTED LEATHER</t>
  </si>
  <si>
    <t>SKI003 - SKINS FABRICATION (PTY) LTD</t>
  </si>
  <si>
    <t>SLE002 - SLEEPING COUCH &amp; SOFA MANUFACTURERS</t>
  </si>
  <si>
    <t>SLY001 - SLYDO LEATHER WORKS</t>
  </si>
  <si>
    <t>SME001 - SMERILLI DESIGN MANUFACTURING (PTY) LTD</t>
  </si>
  <si>
    <t>SMI003 - SMILEYS FOOTWEAR (PTY) LTD</t>
  </si>
  <si>
    <t>SOF010 - SOFA DIVINE</t>
  </si>
  <si>
    <t>SOF022 - SOFA DIVINE - SHOWROOM</t>
  </si>
  <si>
    <t>SOL005 - SOLES FOR AFRICA CC T/A BOET &amp; BETTY</t>
  </si>
  <si>
    <t>SOT001 - SOTRAN TRADING 57 CC</t>
  </si>
  <si>
    <t>SPI006 - SPITFIRE FURNITURE</t>
  </si>
  <si>
    <t>SPL001 - SPLITTING IMAGE TAXIDERMY</t>
  </si>
  <si>
    <t>STE016 - STEPHANIE CROSSLANDT/A YELLOW BRICK LEAT</t>
  </si>
  <si>
    <t>STO007 - STONECAMP LEATHER (PTY) Ltd</t>
  </si>
  <si>
    <t>STR002 - Strassbergers</t>
  </si>
  <si>
    <t>STR006 - STRAYZ</t>
  </si>
  <si>
    <t>STY008 - STYLE 2 FUNK t/a CORPORATE STYLING</t>
  </si>
  <si>
    <t>SUP001 - SUPREME UPHOLSTERERS</t>
  </si>
  <si>
    <t>SWE002 - SWEET PEAS</t>
  </si>
  <si>
    <t>SWI001 - SWISH &amp; SWANK</t>
  </si>
  <si>
    <t>TAG001 - TAGS BY ELYSIAN</t>
  </si>
  <si>
    <t>TAN001 - FUSION LEATHER WORLD (PTY) LTD</t>
  </si>
  <si>
    <t>TAN003 - TAN LEATHER GOODS (PTY) LTD</t>
  </si>
  <si>
    <t>TAR002 - TARZAN SHOE FACTORY (PTY) LTD</t>
  </si>
  <si>
    <t>TEB003 - TEBOGO KEKANA</t>
  </si>
  <si>
    <t>TEN003 - TEN FEET SHOES PTY (LTD)</t>
  </si>
  <si>
    <t>TEP001 - TEPLOV (PTY) LTD T/A TEPLOV BALLET SHOES</t>
  </si>
  <si>
    <t>THA003 - CARLA ASHTON T/A THANDANA BAGS</t>
  </si>
  <si>
    <t>THE000 - THE FOLLOW THROUGH APPROACH (PTY) LTD</t>
  </si>
  <si>
    <t>THE030 - THE OLDFANGLED LEATHER CO</t>
  </si>
  <si>
    <t>THE031 - THE LEATHER SHOPPE</t>
  </si>
  <si>
    <t>THE045 - THE STELLA CLIP (PTY) LTD</t>
  </si>
  <si>
    <t>THEM01 - THEMBA LIZE HOLDINGS (PTY) LTD</t>
  </si>
  <si>
    <t>TOM003 - SILVERTREE TRIMS STUDIO PTY LTD</t>
  </si>
  <si>
    <t>TOP009 - TOPMAN LEATHERS</t>
  </si>
  <si>
    <t>TRE008 - TRENZADO FOOTWEAR</t>
  </si>
  <si>
    <t>TRI016 - TRIMWISE T/A LEATHER &amp; STYLE</t>
  </si>
  <si>
    <t>UGF001 - U &amp; G FABRICS</t>
  </si>
  <si>
    <t>UKU021 - UKUTHANDA GAME LODGE</t>
  </si>
  <si>
    <t>UNL001 - UN LODGE EN AFRIQUE</t>
  </si>
  <si>
    <t>UPH012 - UPHOLSTERY PERFECTIONIST</t>
  </si>
  <si>
    <t>VAN001 - S. Van der Scyff Uph</t>
  </si>
  <si>
    <t>VAN020 - VAN DER SPUY STOFFEERDERS (PTY) LTD</t>
  </si>
  <si>
    <t>VER001 - VERMONT LEATHER</t>
  </si>
  <si>
    <t>VUN001 - VUNA FURNITURE &amp; UPHOLSTERY PMB</t>
  </si>
  <si>
    <t>WHA001 - WHATNOT NATURAL FABRICS CC</t>
  </si>
  <si>
    <t>WIG001 - WIGGS COOLERS</t>
  </si>
  <si>
    <t>WIL020 - WILLEBOK LEATHER</t>
  </si>
  <si>
    <t>WOR007 - WORSHOND VELLIES</t>
  </si>
  <si>
    <t>WUN001 - WUNDERS FINE FURNISHINGS</t>
  </si>
  <si>
    <t>YEL002 - YELLOW DUCK</t>
  </si>
  <si>
    <t>ZAB001 - ZABELLAS GROUP OF COMPANIES (Pty) LTD</t>
  </si>
  <si>
    <t>ZAP001 - ZAPPHIRE UPHOLSTERY</t>
  </si>
  <si>
    <t>Totals :</t>
  </si>
  <si>
    <t>PERCENTAGE :</t>
  </si>
  <si>
    <t>2.45%</t>
  </si>
  <si>
    <t>5.45%</t>
  </si>
  <si>
    <t>3.58%</t>
  </si>
  <si>
    <t>28.00%</t>
  </si>
  <si>
    <t>60.53%</t>
  </si>
  <si>
    <t>100.00%</t>
  </si>
  <si>
    <t>GRAND TOTALS :</t>
  </si>
  <si>
    <t>Sales Journal for period 01/06/2026 to 30/06/2026</t>
  </si>
  <si>
    <t>Customer</t>
  </si>
  <si>
    <t>Document</t>
  </si>
  <si>
    <t>Date</t>
  </si>
  <si>
    <t>Order</t>
  </si>
  <si>
    <t>Exclusive</t>
  </si>
  <si>
    <t>Tax</t>
  </si>
  <si>
    <t>Inclusive</t>
  </si>
  <si>
    <t>CANCEL</t>
  </si>
  <si>
    <t>Tax Invoice : 1</t>
  </si>
  <si>
    <t>15/06/2026</t>
  </si>
  <si>
    <t>Tax Invoice : 2</t>
  </si>
  <si>
    <t>Tax Invoice : 7</t>
  </si>
  <si>
    <t>OGU001</t>
  </si>
  <si>
    <t>Credit Note : CR10683</t>
  </si>
  <si>
    <t>01/06/2026</t>
  </si>
  <si>
    <t>INW50920</t>
  </si>
  <si>
    <t>RUS003</t>
  </si>
  <si>
    <t>Credit Note : CR10684</t>
  </si>
  <si>
    <t>INW50981</t>
  </si>
  <si>
    <t>WUN001</t>
  </si>
  <si>
    <t>Credit Note : CR10686</t>
  </si>
  <si>
    <t>VARIOUS</t>
  </si>
  <si>
    <t>COV021</t>
  </si>
  <si>
    <t>Credit Note : CR10690</t>
  </si>
  <si>
    <t>INW50828</t>
  </si>
  <si>
    <t>CAM003</t>
  </si>
  <si>
    <t>Credit Note : CR10691</t>
  </si>
  <si>
    <t>INW50294</t>
  </si>
  <si>
    <t>OKH001</t>
  </si>
  <si>
    <t>Credit Note : CR10692</t>
  </si>
  <si>
    <t>02/06/2026</t>
  </si>
  <si>
    <t>INW51043</t>
  </si>
  <si>
    <t>VIN006</t>
  </si>
  <si>
    <t>Credit Note : CR10693</t>
  </si>
  <si>
    <t>INW50765</t>
  </si>
  <si>
    <t>NRH01</t>
  </si>
  <si>
    <t>Credit Note : CR10694</t>
  </si>
  <si>
    <t>03/06/2026</t>
  </si>
  <si>
    <t>INW50371</t>
  </si>
  <si>
    <t>JUL003</t>
  </si>
  <si>
    <t>Credit Note : CR10695</t>
  </si>
  <si>
    <t>INW51155</t>
  </si>
  <si>
    <t>VAN020</t>
  </si>
  <si>
    <t>Credit Note : CR10696</t>
  </si>
  <si>
    <t>INW50832</t>
  </si>
  <si>
    <t>NMB001</t>
  </si>
  <si>
    <t>Credit Note : CR10697</t>
  </si>
  <si>
    <t>04/06/2026</t>
  </si>
  <si>
    <t>INW50917</t>
  </si>
  <si>
    <t>CASH</t>
  </si>
  <si>
    <t>Credit Note : CR10698</t>
  </si>
  <si>
    <t>INW51168</t>
  </si>
  <si>
    <t>WIL020</t>
  </si>
  <si>
    <t>Credit Note : CR10699</t>
  </si>
  <si>
    <t>INW51261</t>
  </si>
  <si>
    <t>SKI003</t>
  </si>
  <si>
    <t>Credit Note : CR10700</t>
  </si>
  <si>
    <t>IAM001</t>
  </si>
  <si>
    <t>Credit Note : CR10701</t>
  </si>
  <si>
    <t>IKA001</t>
  </si>
  <si>
    <t>Credit Note : CR10702</t>
  </si>
  <si>
    <t>05/06/2026</t>
  </si>
  <si>
    <t>INW50433</t>
  </si>
  <si>
    <t>BEN005</t>
  </si>
  <si>
    <t>Credit Note : CR10703</t>
  </si>
  <si>
    <t>INW49790</t>
  </si>
  <si>
    <t>SMI003</t>
  </si>
  <si>
    <t>Credit Note : CR10704</t>
  </si>
  <si>
    <t>INW51010</t>
  </si>
  <si>
    <t>Credit Note : CR10705</t>
  </si>
  <si>
    <t>INW51141</t>
  </si>
  <si>
    <t>Credit Note : CR10706</t>
  </si>
  <si>
    <t>INW51203</t>
  </si>
  <si>
    <t>RET021</t>
  </si>
  <si>
    <t>Credit Note : CR10707</t>
  </si>
  <si>
    <t>INW51335</t>
  </si>
  <si>
    <t>SIT003</t>
  </si>
  <si>
    <t>Credit Note : CR10709</t>
  </si>
  <si>
    <t>08/06/2026</t>
  </si>
  <si>
    <t>INW49652</t>
  </si>
  <si>
    <t>THO009</t>
  </si>
  <si>
    <t>Credit Note : CR10710</t>
  </si>
  <si>
    <t>INW51348</t>
  </si>
  <si>
    <t>Credit Note : CR10711</t>
  </si>
  <si>
    <t>JAY001</t>
  </si>
  <si>
    <t>Credit Note : CR10712</t>
  </si>
  <si>
    <t>INW50850</t>
  </si>
  <si>
    <t>DIAZ01</t>
  </si>
  <si>
    <t>Credit Note : CR10713</t>
  </si>
  <si>
    <t>INW50909</t>
  </si>
  <si>
    <t>AFI001</t>
  </si>
  <si>
    <t>Credit Note : CR10714</t>
  </si>
  <si>
    <t>09/06/2026</t>
  </si>
  <si>
    <t>INW50968</t>
  </si>
  <si>
    <t>SWI001</t>
  </si>
  <si>
    <t>Credit Note : CR10715</t>
  </si>
  <si>
    <t>INW51214</t>
  </si>
  <si>
    <t>NIC012</t>
  </si>
  <si>
    <t>Credit Note : CR10716</t>
  </si>
  <si>
    <t>INW51095</t>
  </si>
  <si>
    <t>A&amp;G001</t>
  </si>
  <si>
    <t>Credit Note : CR10717</t>
  </si>
  <si>
    <t>INW51265</t>
  </si>
  <si>
    <t>Credit Note : CR10718</t>
  </si>
  <si>
    <t>INW51431</t>
  </si>
  <si>
    <t>Credit Note : CR10719</t>
  </si>
  <si>
    <t>INW51426</t>
  </si>
  <si>
    <t>Credit Note : CR10720</t>
  </si>
  <si>
    <t>INW51427</t>
  </si>
  <si>
    <t>Credit Note : CR10721</t>
  </si>
  <si>
    <t>INW51417</t>
  </si>
  <si>
    <t>BBG001</t>
  </si>
  <si>
    <t>Credit Note : CR10722</t>
  </si>
  <si>
    <t>10/06/2026</t>
  </si>
  <si>
    <t>INW51384</t>
  </si>
  <si>
    <t>EVO001</t>
  </si>
  <si>
    <t>Credit Note : CR10723</t>
  </si>
  <si>
    <t>INW51238</t>
  </si>
  <si>
    <t>PDJ001</t>
  </si>
  <si>
    <t>Credit Note : CR10725</t>
  </si>
  <si>
    <t>INW51522</t>
  </si>
  <si>
    <t>SPL001</t>
  </si>
  <si>
    <t>Credit Note : CR10726</t>
  </si>
  <si>
    <t>INW50576</t>
  </si>
  <si>
    <t>OKA001</t>
  </si>
  <si>
    <t>Credit Note : CR10727</t>
  </si>
  <si>
    <t>INW51207</t>
  </si>
  <si>
    <t>JOI001</t>
  </si>
  <si>
    <t>Credit Note : CR10728</t>
  </si>
  <si>
    <t>INW51236</t>
  </si>
  <si>
    <t>CAP003</t>
  </si>
  <si>
    <t>Credit Note : CR10729</t>
  </si>
  <si>
    <t>INW51444</t>
  </si>
  <si>
    <t>BRA021</t>
  </si>
  <si>
    <t>Credit Note : CR10730</t>
  </si>
  <si>
    <t>11/06/2026</t>
  </si>
  <si>
    <t>INW51319</t>
  </si>
  <si>
    <t>OLI008</t>
  </si>
  <si>
    <t>Credit Note : CR10731</t>
  </si>
  <si>
    <t>INW51174</t>
  </si>
  <si>
    <t>NEW012</t>
  </si>
  <si>
    <t>Credit Note : CR10732</t>
  </si>
  <si>
    <t>INW51563</t>
  </si>
  <si>
    <t>SAN006</t>
  </si>
  <si>
    <t>Credit Note : CR10733</t>
  </si>
  <si>
    <t>INW51092</t>
  </si>
  <si>
    <t>ARL006</t>
  </si>
  <si>
    <t>Credit Note : CR10734</t>
  </si>
  <si>
    <t>INW51491</t>
  </si>
  <si>
    <t>WHA001</t>
  </si>
  <si>
    <t>Credit Note : CR10735</t>
  </si>
  <si>
    <t>INW51614</t>
  </si>
  <si>
    <t>Credit Note : CR10736</t>
  </si>
  <si>
    <t>12/06/2026</t>
  </si>
  <si>
    <t>INW51558</t>
  </si>
  <si>
    <t>Credit Note : CR10737</t>
  </si>
  <si>
    <t>INW51260</t>
  </si>
  <si>
    <t>OFA004</t>
  </si>
  <si>
    <t>Credit Note : CR10738</t>
  </si>
  <si>
    <t>INW51480</t>
  </si>
  <si>
    <t>Credit Note : CR10739</t>
  </si>
  <si>
    <t>INW50966</t>
  </si>
  <si>
    <t>PAN001</t>
  </si>
  <si>
    <t>Credit Note : CR10740</t>
  </si>
  <si>
    <t>INW50034</t>
  </si>
  <si>
    <t>BON002</t>
  </si>
  <si>
    <t>Credit Note : CR10741</t>
  </si>
  <si>
    <t>INW50653</t>
  </si>
  <si>
    <t>XIL001</t>
  </si>
  <si>
    <t>Credit Note : CR10742</t>
  </si>
  <si>
    <t>INW51724</t>
  </si>
  <si>
    <t>WLF001</t>
  </si>
  <si>
    <t>Credit Note : CR10743</t>
  </si>
  <si>
    <t>INW51666</t>
  </si>
  <si>
    <t>Credit Note : CR10744</t>
  </si>
  <si>
    <t>INW42633</t>
  </si>
  <si>
    <t>PRO015</t>
  </si>
  <si>
    <t>Credit Note : CR10745</t>
  </si>
  <si>
    <t>INW50149</t>
  </si>
  <si>
    <t>ABM002</t>
  </si>
  <si>
    <t>Credit Note : CR10746</t>
  </si>
  <si>
    <t>INW51120</t>
  </si>
  <si>
    <t>UPH012</t>
  </si>
  <si>
    <t>Credit Note : CR10747</t>
  </si>
  <si>
    <t>17/06/2026</t>
  </si>
  <si>
    <t>INW51241</t>
  </si>
  <si>
    <t>STA012</t>
  </si>
  <si>
    <t>Credit Note : CR10748</t>
  </si>
  <si>
    <t>INW51513</t>
  </si>
  <si>
    <t>Credit Note : CR10749</t>
  </si>
  <si>
    <t>INW51608</t>
  </si>
  <si>
    <t>GYP001</t>
  </si>
  <si>
    <t>Credit Note : CR10750</t>
  </si>
  <si>
    <t>18/06/2026</t>
  </si>
  <si>
    <t>INW50580</t>
  </si>
  <si>
    <t>MAZ002</t>
  </si>
  <si>
    <t>Credit Note : CR10751</t>
  </si>
  <si>
    <t>INW51274</t>
  </si>
  <si>
    <t>ATH002</t>
  </si>
  <si>
    <t>Credit Note : CR10752</t>
  </si>
  <si>
    <t>INW51880</t>
  </si>
  <si>
    <t>Credit Note : CR10753</t>
  </si>
  <si>
    <t>INW51828</t>
  </si>
  <si>
    <t>BLU011</t>
  </si>
  <si>
    <t>Credit Note : CR10754</t>
  </si>
  <si>
    <t>INW51881</t>
  </si>
  <si>
    <t>LUL021</t>
  </si>
  <si>
    <t>Credit Note : CR10755</t>
  </si>
  <si>
    <t>INW51786</t>
  </si>
  <si>
    <t>Credit Note : CR10756</t>
  </si>
  <si>
    <t>19/06/2026</t>
  </si>
  <si>
    <t>INW51618</t>
  </si>
  <si>
    <t>INS011</t>
  </si>
  <si>
    <t>Credit Note : CR10757</t>
  </si>
  <si>
    <t>INW51529</t>
  </si>
  <si>
    <t>SEB011</t>
  </si>
  <si>
    <t>Credit Note : CR10758</t>
  </si>
  <si>
    <t>INW51746</t>
  </si>
  <si>
    <t>Credit Note : CR10759</t>
  </si>
  <si>
    <t>INW51950</t>
  </si>
  <si>
    <t>HOU016</t>
  </si>
  <si>
    <t>Credit Note : CR10760</t>
  </si>
  <si>
    <t>INW51047</t>
  </si>
  <si>
    <t>CA001</t>
  </si>
  <si>
    <t>Credit Note : CR10761</t>
  </si>
  <si>
    <t>INW51999</t>
  </si>
  <si>
    <t>LEI001</t>
  </si>
  <si>
    <t>Credit Note : CR10762</t>
  </si>
  <si>
    <t>INW50544</t>
  </si>
  <si>
    <t>LIY001</t>
  </si>
  <si>
    <t>Credit Note : CR10763</t>
  </si>
  <si>
    <t>22/06/2026</t>
  </si>
  <si>
    <t>ALE003</t>
  </si>
  <si>
    <t>Credit Note : CR10764</t>
  </si>
  <si>
    <t>Credit Note : CR10765</t>
  </si>
  <si>
    <t>INW51964</t>
  </si>
  <si>
    <t>BEL023</t>
  </si>
  <si>
    <t>Credit Note : CR10766</t>
  </si>
  <si>
    <t>INW51933</t>
  </si>
  <si>
    <t>LIN04</t>
  </si>
  <si>
    <t>Credit Note : CR10767</t>
  </si>
  <si>
    <t>INW51879</t>
  </si>
  <si>
    <t>EGU001</t>
  </si>
  <si>
    <t>Credit Note : CR10768</t>
  </si>
  <si>
    <t>INW51760</t>
  </si>
  <si>
    <t>NIC005</t>
  </si>
  <si>
    <t>Credit Note : CR10769</t>
  </si>
  <si>
    <t>AGD001</t>
  </si>
  <si>
    <t>Credit Note : CR10770</t>
  </si>
  <si>
    <t>Credit Note : CR10771</t>
  </si>
  <si>
    <t>23/06/2026</t>
  </si>
  <si>
    <t>INW51378</t>
  </si>
  <si>
    <t>FIO001</t>
  </si>
  <si>
    <t>Credit Note : CR10772</t>
  </si>
  <si>
    <t>INW51896</t>
  </si>
  <si>
    <t>FFUN01</t>
  </si>
  <si>
    <t>Credit Note : CR10773</t>
  </si>
  <si>
    <t>Credit Note : CR10774</t>
  </si>
  <si>
    <t>Credit Note : CR10775</t>
  </si>
  <si>
    <t>INW51730</t>
  </si>
  <si>
    <t>ERG001</t>
  </si>
  <si>
    <t>Credit Note : CR10776</t>
  </si>
  <si>
    <t>INW51179</t>
  </si>
  <si>
    <t>Credit Note : CR10777</t>
  </si>
  <si>
    <t>INW51985</t>
  </si>
  <si>
    <t>Credit Note : CR10778</t>
  </si>
  <si>
    <t>INW51989</t>
  </si>
  <si>
    <t>Credit Note : CR10779</t>
  </si>
  <si>
    <t>INW52123</t>
  </si>
  <si>
    <t>SME001</t>
  </si>
  <si>
    <t>Credit Note : CR10780</t>
  </si>
  <si>
    <t>24/06/2026</t>
  </si>
  <si>
    <t>INW47818</t>
  </si>
  <si>
    <t>ARR002</t>
  </si>
  <si>
    <t>Credit Note : CR10781</t>
  </si>
  <si>
    <t>INW51291</t>
  </si>
  <si>
    <t>PSE001</t>
  </si>
  <si>
    <t>Credit Note : CR10782</t>
  </si>
  <si>
    <t>25/06/2026</t>
  </si>
  <si>
    <t>INW52166</t>
  </si>
  <si>
    <t>TOP009</t>
  </si>
  <si>
    <t>Credit Note : CR10783</t>
  </si>
  <si>
    <t>INW52248</t>
  </si>
  <si>
    <t>LEW001</t>
  </si>
  <si>
    <t>Credit Note : CR10784</t>
  </si>
  <si>
    <t>INW51916</t>
  </si>
  <si>
    <t>VAN001</t>
  </si>
  <si>
    <t>Credit Note : CR10785</t>
  </si>
  <si>
    <t>26/06/2026</t>
  </si>
  <si>
    <t>INW52162</t>
  </si>
  <si>
    <t>Credit Note : CR10786</t>
  </si>
  <si>
    <t>INW52168</t>
  </si>
  <si>
    <t>Credit Note : CR10787</t>
  </si>
  <si>
    <t>INW51602</t>
  </si>
  <si>
    <t>DON009</t>
  </si>
  <si>
    <t>Credit Note : CR10788</t>
  </si>
  <si>
    <t>BIR003</t>
  </si>
  <si>
    <t>Credit Note : CR10789</t>
  </si>
  <si>
    <t>INW52200</t>
  </si>
  <si>
    <t>Credit Note : CR10790</t>
  </si>
  <si>
    <t>INW51830</t>
  </si>
  <si>
    <t>Credit Note : CR10791</t>
  </si>
  <si>
    <t>29/06/2026</t>
  </si>
  <si>
    <t>CUR009</t>
  </si>
  <si>
    <t>Credit Note : CR10792</t>
  </si>
  <si>
    <t>INW50662</t>
  </si>
  <si>
    <t>RED004</t>
  </si>
  <si>
    <t>Credit Note : CR10793</t>
  </si>
  <si>
    <t>INW51847</t>
  </si>
  <si>
    <t>TIM008</t>
  </si>
  <si>
    <t>Credit Note : CR10794</t>
  </si>
  <si>
    <t>INW52051</t>
  </si>
  <si>
    <t>KAK009</t>
  </si>
  <si>
    <t>Credit Note : CR10795</t>
  </si>
  <si>
    <t>INW52109</t>
  </si>
  <si>
    <t>Credit Note : CR10796</t>
  </si>
  <si>
    <t>INW52252</t>
  </si>
  <si>
    <t>MSJ001</t>
  </si>
  <si>
    <t>Credit Note : CR10797</t>
  </si>
  <si>
    <t>INW51504</t>
  </si>
  <si>
    <t>Credit Note : CR10798</t>
  </si>
  <si>
    <t>30/06/2026</t>
  </si>
  <si>
    <t>INW52353</t>
  </si>
  <si>
    <t>Credit Note : CR10799</t>
  </si>
  <si>
    <t>INW52289</t>
  </si>
  <si>
    <t>ORI001</t>
  </si>
  <si>
    <t>Credit Note : CR10800</t>
  </si>
  <si>
    <t>INW52397</t>
  </si>
  <si>
    <t>Credit Note : CR10801</t>
  </si>
  <si>
    <t>INW48970</t>
  </si>
  <si>
    <t>Credit Note : CR10802</t>
  </si>
  <si>
    <t>INW52033</t>
  </si>
  <si>
    <t>Credit Note : CR10804</t>
  </si>
  <si>
    <t>INW52046</t>
  </si>
  <si>
    <t>GWO001</t>
  </si>
  <si>
    <t>Tax Invoice : INW50859</t>
  </si>
  <si>
    <t>MOO008</t>
  </si>
  <si>
    <t>Tax Invoice : INW50936</t>
  </si>
  <si>
    <t>AARD01</t>
  </si>
  <si>
    <t>Tax Invoice : INW50940</t>
  </si>
  <si>
    <t>THE000</t>
  </si>
  <si>
    <t>Tax Invoice : INW50984</t>
  </si>
  <si>
    <t>STE018</t>
  </si>
  <si>
    <t>Tax Invoice : INW50989</t>
  </si>
  <si>
    <t>Tax Invoice : INW51003</t>
  </si>
  <si>
    <t>GUI001</t>
  </si>
  <si>
    <t>Tax Invoice : INW51004</t>
  </si>
  <si>
    <t>NKA001</t>
  </si>
  <si>
    <t>Tax Invoice : INW51005</t>
  </si>
  <si>
    <t>ATT: NKANYISO</t>
  </si>
  <si>
    <t>HOP001</t>
  </si>
  <si>
    <t>Tax Invoice : INW51006</t>
  </si>
  <si>
    <t>PO: 15957</t>
  </si>
  <si>
    <t>BAR003</t>
  </si>
  <si>
    <t>Tax Invoice : INW51007</t>
  </si>
  <si>
    <t>Tax Invoice : INW51008</t>
  </si>
  <si>
    <t>BRE003</t>
  </si>
  <si>
    <t>Tax Invoice : INW51009</t>
  </si>
  <si>
    <t>ATT: MICHELLE/ANGELA</t>
  </si>
  <si>
    <t>Tax Invoice : INW51010</t>
  </si>
  <si>
    <t>ATT:PAM</t>
  </si>
  <si>
    <t>KUR001</t>
  </si>
  <si>
    <t>Tax Invoice : INW51011</t>
  </si>
  <si>
    <t>NAN003</t>
  </si>
  <si>
    <t>Tax Invoice : INW51012</t>
  </si>
  <si>
    <t>NAUD01</t>
  </si>
  <si>
    <t>Tax Invoice : INW51013</t>
  </si>
  <si>
    <t>SEA003</t>
  </si>
  <si>
    <t>Tax Invoice : INW51014</t>
  </si>
  <si>
    <t>ATT: ADAM</t>
  </si>
  <si>
    <t>Tax Invoice : INW51015</t>
  </si>
  <si>
    <t>RED001</t>
  </si>
  <si>
    <t>Tax Invoice : INW51016</t>
  </si>
  <si>
    <t>Tax Invoice : INW51017</t>
  </si>
  <si>
    <t>MEY001</t>
  </si>
  <si>
    <t>Tax Invoice : INW51018</t>
  </si>
  <si>
    <t>PO#MADELEINE</t>
  </si>
  <si>
    <t>TEN003</t>
  </si>
  <si>
    <t>Tax Invoice : INW51019</t>
  </si>
  <si>
    <t>ATT: CLARE</t>
  </si>
  <si>
    <t>LEA03</t>
  </si>
  <si>
    <t>Tax Invoice : INW51020</t>
  </si>
  <si>
    <t>RUS001</t>
  </si>
  <si>
    <t>Tax Invoice : INW51021</t>
  </si>
  <si>
    <t>COU001</t>
  </si>
  <si>
    <t>Tax Invoice : INW51022</t>
  </si>
  <si>
    <t>Tax Invoice : INW51023</t>
  </si>
  <si>
    <t>ZUL004</t>
  </si>
  <si>
    <t>Tax Invoice : INW51024</t>
  </si>
  <si>
    <t>TRP001</t>
  </si>
  <si>
    <t>Tax Invoice : INW51025</t>
  </si>
  <si>
    <t>Tax Invoice : INW51026</t>
  </si>
  <si>
    <t>Tax Invoice : INW51027</t>
  </si>
  <si>
    <t>ZAL001</t>
  </si>
  <si>
    <t>Tax Invoice : INW51028</t>
  </si>
  <si>
    <t>ATT: SUE</t>
  </si>
  <si>
    <t>KZN001</t>
  </si>
  <si>
    <t>Tax Invoice : INW51029</t>
  </si>
  <si>
    <t>ATT: ANWAR</t>
  </si>
  <si>
    <t>Tax Invoice : INW51030</t>
  </si>
  <si>
    <t>Tax Invoice : INW51031</t>
  </si>
  <si>
    <t>CRE007</t>
  </si>
  <si>
    <t>Tax Invoice : INW51032</t>
  </si>
  <si>
    <t>ATT: ROWAN</t>
  </si>
  <si>
    <t>Tax Invoice : INW51034</t>
  </si>
  <si>
    <t>Tax Invoice : INW51035</t>
  </si>
  <si>
    <t>Tax Invoice : INW51036</t>
  </si>
  <si>
    <t>Tax Invoice : INW51037</t>
  </si>
  <si>
    <t>ATT: DEWALD</t>
  </si>
  <si>
    <t>Tax Invoice : INW51038</t>
  </si>
  <si>
    <t>Tax Invoice : INW51039</t>
  </si>
  <si>
    <t>RIK001</t>
  </si>
  <si>
    <t>Tax Invoice : INW51040</t>
  </si>
  <si>
    <t>COA003</t>
  </si>
  <si>
    <t>Tax Invoice : INW51041</t>
  </si>
  <si>
    <t>HYD001</t>
  </si>
  <si>
    <t>Tax Invoice : INW51042</t>
  </si>
  <si>
    <t>Tax Invoice : INW51043</t>
  </si>
  <si>
    <t>6158_27</t>
  </si>
  <si>
    <t>ILOV00</t>
  </si>
  <si>
    <t>Tax Invoice : INW51044</t>
  </si>
  <si>
    <t>ATT: DINGAAN</t>
  </si>
  <si>
    <t>LAR001</t>
  </si>
  <si>
    <t>Tax Invoice : INW51045</t>
  </si>
  <si>
    <t>FRO001</t>
  </si>
  <si>
    <t>Tax Invoice : INW51046</t>
  </si>
  <si>
    <t>SOUTHERN SUPPLY</t>
  </si>
  <si>
    <t>Tax Invoice : INW51047</t>
  </si>
  <si>
    <t>H&amp;T001</t>
  </si>
  <si>
    <t>Tax Invoice : INW51048</t>
  </si>
  <si>
    <t>PO# VAN NIEKERK</t>
  </si>
  <si>
    <t>LIZ007</t>
  </si>
  <si>
    <t>Tax Invoice : INW51049</t>
  </si>
  <si>
    <t>MAR064</t>
  </si>
  <si>
    <t>Tax Invoice : INW51050</t>
  </si>
  <si>
    <t>SAZ001</t>
  </si>
  <si>
    <t>Tax Invoice : INW51051</t>
  </si>
  <si>
    <t>Tax Invoice : INW51052</t>
  </si>
  <si>
    <t>UVA011</t>
  </si>
  <si>
    <t>Tax Invoice : INW51053</t>
  </si>
  <si>
    <t>Tax Invoice : INW51054</t>
  </si>
  <si>
    <t>PIT002</t>
  </si>
  <si>
    <t>Tax Invoice : INW51055</t>
  </si>
  <si>
    <t>ATT:  YASSEN</t>
  </si>
  <si>
    <t>Tax Invoice : INW51056</t>
  </si>
  <si>
    <t>Tax Invoice : INW51057</t>
  </si>
  <si>
    <t>NOL006</t>
  </si>
  <si>
    <t>Tax Invoice : INW51058</t>
  </si>
  <si>
    <t>HAN00</t>
  </si>
  <si>
    <t>Tax Invoice : INW51059</t>
  </si>
  <si>
    <t>LUN006</t>
  </si>
  <si>
    <t>Tax Invoice : INW51060</t>
  </si>
  <si>
    <t>CES021</t>
  </si>
  <si>
    <t>Tax Invoice : INW51062</t>
  </si>
  <si>
    <t>BEAT01</t>
  </si>
  <si>
    <t>Tax Invoice : INW51063</t>
  </si>
  <si>
    <t>NOV021</t>
  </si>
  <si>
    <t>Tax Invoice : INW51064</t>
  </si>
  <si>
    <t>FRA005</t>
  </si>
  <si>
    <t>Tax Invoice : INW51065</t>
  </si>
  <si>
    <t>ATT: BEN/HELGA/ANDRE</t>
  </si>
  <si>
    <t>SKI002</t>
  </si>
  <si>
    <t>Tax Invoice : INW51066</t>
  </si>
  <si>
    <t>ATT: JAMES</t>
  </si>
  <si>
    <t>ASH004</t>
  </si>
  <si>
    <t>Tax Invoice : INW51067</t>
  </si>
  <si>
    <t>NOL005</t>
  </si>
  <si>
    <t>Tax Invoice : INW51068</t>
  </si>
  <si>
    <t>BAO002</t>
  </si>
  <si>
    <t>Tax Invoice : INW51069</t>
  </si>
  <si>
    <t>ATT: BIANA</t>
  </si>
  <si>
    <t>BEU001</t>
  </si>
  <si>
    <t>Tax Invoice : INW51070</t>
  </si>
  <si>
    <t>NS002</t>
  </si>
  <si>
    <t>Tax Invoice : INW51071</t>
  </si>
  <si>
    <t>ATT: KEVIN</t>
  </si>
  <si>
    <t>LON006</t>
  </si>
  <si>
    <t>Tax Invoice : INW51072</t>
  </si>
  <si>
    <t>KNA002</t>
  </si>
  <si>
    <t>Tax Invoice : INW51073</t>
  </si>
  <si>
    <t>Tax Invoice : INW51074</t>
  </si>
  <si>
    <t>Tax Invoice : INW51075</t>
  </si>
  <si>
    <t>DOU002</t>
  </si>
  <si>
    <t>Tax Invoice : INW51076</t>
  </si>
  <si>
    <t>Tax Invoice : INW51077</t>
  </si>
  <si>
    <t>PO#26/06/240</t>
  </si>
  <si>
    <t>VER001</t>
  </si>
  <si>
    <t>Tax Invoice : INW51078</t>
  </si>
  <si>
    <t>ZAB001</t>
  </si>
  <si>
    <t>Tax Invoice : INW51079</t>
  </si>
  <si>
    <t>HIG001</t>
  </si>
  <si>
    <t>Tax Invoice : INW51080</t>
  </si>
  <si>
    <t>AND006</t>
  </si>
  <si>
    <t>Tax Invoice : INW51081</t>
  </si>
  <si>
    <t>THF001</t>
  </si>
  <si>
    <t>Tax Invoice : INW51082</t>
  </si>
  <si>
    <t>OAK002</t>
  </si>
  <si>
    <t>Tax Invoice : INW51083</t>
  </si>
  <si>
    <t>GLO004</t>
  </si>
  <si>
    <t>Tax Invoice : INW51084</t>
  </si>
  <si>
    <t>Tax Invoice : INW51085</t>
  </si>
  <si>
    <t>Tax Invoice : INW51086</t>
  </si>
  <si>
    <t>POD08633</t>
  </si>
  <si>
    <t>STY021</t>
  </si>
  <si>
    <t>Tax Invoice : INW51087</t>
  </si>
  <si>
    <t>Tax Invoice : INW51088</t>
  </si>
  <si>
    <t>GAT003</t>
  </si>
  <si>
    <t>Tax Invoice : INW51089</t>
  </si>
  <si>
    <t>POD08698</t>
  </si>
  <si>
    <t>PAP001</t>
  </si>
  <si>
    <t>Tax Invoice : INW51090</t>
  </si>
  <si>
    <t>LOV002</t>
  </si>
  <si>
    <t>Tax Invoice : INW51091</t>
  </si>
  <si>
    <t>Tax Invoice : INW51092</t>
  </si>
  <si>
    <t>EST001</t>
  </si>
  <si>
    <t>Tax Invoice : INW51093</t>
  </si>
  <si>
    <t>Tax Invoice : INW51094</t>
  </si>
  <si>
    <t>Tax Invoice : INW51095</t>
  </si>
  <si>
    <t>Tax Invoice : INW51096</t>
  </si>
  <si>
    <t>ATT:GLENDYR</t>
  </si>
  <si>
    <t>KEN003</t>
  </si>
  <si>
    <t>Tax Invoice : INW51097</t>
  </si>
  <si>
    <t>STR006</t>
  </si>
  <si>
    <t>Tax Invoice : INW51098</t>
  </si>
  <si>
    <t>ATT: KEITH</t>
  </si>
  <si>
    <t>Tax Invoice : INW51099</t>
  </si>
  <si>
    <t>Tax Invoice : INW51100</t>
  </si>
  <si>
    <t>NAT004</t>
  </si>
  <si>
    <t>Tax Invoice : INW51101</t>
  </si>
  <si>
    <t>THE045</t>
  </si>
  <si>
    <t>Tax Invoice : INW51102</t>
  </si>
  <si>
    <t>Tax Invoice : INW51103</t>
  </si>
  <si>
    <t>STU005</t>
  </si>
  <si>
    <t>Tax Invoice : INW51104</t>
  </si>
  <si>
    <t>ATT: AMY</t>
  </si>
  <si>
    <t>Tax Invoice : INW51105</t>
  </si>
  <si>
    <t>ATT:NESH</t>
  </si>
  <si>
    <t>SOF010</t>
  </si>
  <si>
    <t>Tax Invoice : INW51106</t>
  </si>
  <si>
    <t>JAC020</t>
  </si>
  <si>
    <t>Tax Invoice : INW51107</t>
  </si>
  <si>
    <t>Tax Invoice : INW51108</t>
  </si>
  <si>
    <t>Tax Invoice : INW51109</t>
  </si>
  <si>
    <t>COU015</t>
  </si>
  <si>
    <t>Tax Invoice : INW51110</t>
  </si>
  <si>
    <t>DEEAN'S DECOR</t>
  </si>
  <si>
    <t>Tax Invoice : INW51111</t>
  </si>
  <si>
    <t>PO#6158_27</t>
  </si>
  <si>
    <t>LEA04</t>
  </si>
  <si>
    <t>Tax Invoice : INW51112</t>
  </si>
  <si>
    <t>PO#A3X10</t>
  </si>
  <si>
    <t>Tax Invoice : INW51113</t>
  </si>
  <si>
    <t>Tax Invoice : INW51114</t>
  </si>
  <si>
    <t>NS001</t>
  </si>
  <si>
    <t>Tax Invoice : INW51115</t>
  </si>
  <si>
    <t>LAB003</t>
  </si>
  <si>
    <t>Tax Invoice : INW51116</t>
  </si>
  <si>
    <t>BOO002</t>
  </si>
  <si>
    <t>Tax Invoice : INW51117</t>
  </si>
  <si>
    <t>EGG001</t>
  </si>
  <si>
    <t>Tax Invoice : INW51118</t>
  </si>
  <si>
    <t>PO: NGALA TRADING</t>
  </si>
  <si>
    <t>INS012</t>
  </si>
  <si>
    <t>Tax Invoice : INW51119</t>
  </si>
  <si>
    <t>Tax Invoice : INW51120</t>
  </si>
  <si>
    <t>JOU001</t>
  </si>
  <si>
    <t>Tax Invoice : INW51121</t>
  </si>
  <si>
    <t>TAG001</t>
  </si>
  <si>
    <t>Tax Invoice : INW51122</t>
  </si>
  <si>
    <t>Tax Invoice : INW51123</t>
  </si>
  <si>
    <t>SAV003</t>
  </si>
  <si>
    <t>Tax Invoice : INW51124</t>
  </si>
  <si>
    <t>ATT: MAX</t>
  </si>
  <si>
    <t>OOH001</t>
  </si>
  <si>
    <t>Tax Invoice : INW51125</t>
  </si>
  <si>
    <t>Tax Invoice : INW51126</t>
  </si>
  <si>
    <t>LEE001</t>
  </si>
  <si>
    <t>Tax Invoice : INW51127</t>
  </si>
  <si>
    <t>TEB003</t>
  </si>
  <si>
    <t>Tax Invoice : INW51128</t>
  </si>
  <si>
    <t>DAR001</t>
  </si>
  <si>
    <t>Tax Invoice : INW51129</t>
  </si>
  <si>
    <t>PO#2604_8</t>
  </si>
  <si>
    <t>TRE013</t>
  </si>
  <si>
    <t>Tax Invoice : INW51130</t>
  </si>
  <si>
    <t>Tax Invoice : INW51131</t>
  </si>
  <si>
    <t>BES007</t>
  </si>
  <si>
    <t>Tax Invoice : INW51132</t>
  </si>
  <si>
    <t>GRO021</t>
  </si>
  <si>
    <t>Tax Invoice : INW51133</t>
  </si>
  <si>
    <t>MAG007</t>
  </si>
  <si>
    <t>Tax Invoice : INW51134</t>
  </si>
  <si>
    <t>Tax Invoice : INW51135</t>
  </si>
  <si>
    <t>Tax Invoice : INW51136</t>
  </si>
  <si>
    <t>Tax Invoice : INW51137</t>
  </si>
  <si>
    <t>JOY001</t>
  </si>
  <si>
    <t>Tax Invoice : INW51138</t>
  </si>
  <si>
    <t>STOCK 01</t>
  </si>
  <si>
    <t>Tax Invoice : INW51139</t>
  </si>
  <si>
    <t>PON002</t>
  </si>
  <si>
    <t>Tax Invoice : INW51140</t>
  </si>
  <si>
    <t>Tax Invoice : INW51141</t>
  </si>
  <si>
    <t>AMO001</t>
  </si>
  <si>
    <t>Tax Invoice : INW51142</t>
  </si>
  <si>
    <t>FEC001</t>
  </si>
  <si>
    <t>Tax Invoice : INW51143</t>
  </si>
  <si>
    <t>POD08326</t>
  </si>
  <si>
    <t>Tax Invoice : INW51144</t>
  </si>
  <si>
    <t>ATT: ANNA CHRISTI</t>
  </si>
  <si>
    <t>Tax Invoice : INW51145</t>
  </si>
  <si>
    <t>Tax Invoice : INW51146</t>
  </si>
  <si>
    <t>PAU009</t>
  </si>
  <si>
    <t>Tax Invoice : INW51147</t>
  </si>
  <si>
    <t>Tax Invoice : INW51148</t>
  </si>
  <si>
    <t>POD08700</t>
  </si>
  <si>
    <t>ISL002</t>
  </si>
  <si>
    <t>Tax Invoice : INW51149</t>
  </si>
  <si>
    <t>AND013</t>
  </si>
  <si>
    <t>Tax Invoice : INW51150</t>
  </si>
  <si>
    <t>TSO003</t>
  </si>
  <si>
    <t>Tax Invoice : INW51151</t>
  </si>
  <si>
    <t>Tax Invoice : INW51152</t>
  </si>
  <si>
    <t>ELS001</t>
  </si>
  <si>
    <t>Tax Invoice : INW51153</t>
  </si>
  <si>
    <t>FAT004</t>
  </si>
  <si>
    <t>Tax Invoice : INW51154</t>
  </si>
  <si>
    <t>Tax Invoice : INW51155</t>
  </si>
  <si>
    <t>SOT001</t>
  </si>
  <si>
    <t>Tax Invoice : INW51156</t>
  </si>
  <si>
    <t>Tax Invoice : INW51157</t>
  </si>
  <si>
    <t>LIL004</t>
  </si>
  <si>
    <t>Tax Invoice : INW51158</t>
  </si>
  <si>
    <t>HAM005</t>
  </si>
  <si>
    <t>Tax Invoice : INW51159</t>
  </si>
  <si>
    <t>LUS021</t>
  </si>
  <si>
    <t>Tax Invoice : INW51160</t>
  </si>
  <si>
    <t>THE053</t>
  </si>
  <si>
    <t>Tax Invoice : INW51161</t>
  </si>
  <si>
    <t>JAC009</t>
  </si>
  <si>
    <t>Tax Invoice : INW51162</t>
  </si>
  <si>
    <t>Tax Invoice : INW51163</t>
  </si>
  <si>
    <t>MARSHALL</t>
  </si>
  <si>
    <t>WOR007</t>
  </si>
  <si>
    <t>Tax Invoice : INW51164</t>
  </si>
  <si>
    <t>STY008</t>
  </si>
  <si>
    <t>Tax Invoice : INW51165</t>
  </si>
  <si>
    <t>AFRI02</t>
  </si>
  <si>
    <t>Tax Invoice : INW51166</t>
  </si>
  <si>
    <t>Tax Invoice : INW51167</t>
  </si>
  <si>
    <t>Tax Invoice : INW51168</t>
  </si>
  <si>
    <t>ATT : CLYDE</t>
  </si>
  <si>
    <t>Tax Invoice : INW51169</t>
  </si>
  <si>
    <t>Tax Invoice : INW51170</t>
  </si>
  <si>
    <t>Tax Invoice : INW51171</t>
  </si>
  <si>
    <t>Tax Invoice : INW51172</t>
  </si>
  <si>
    <t>CRE008</t>
  </si>
  <si>
    <t>Tax Invoice : INW51173</t>
  </si>
  <si>
    <t>Tax Invoice : INW51174</t>
  </si>
  <si>
    <t>KAR012</t>
  </si>
  <si>
    <t>Tax Invoice : INW51175</t>
  </si>
  <si>
    <t>270526 MR</t>
  </si>
  <si>
    <t>EMM003</t>
  </si>
  <si>
    <t>Tax Invoice : INW51176</t>
  </si>
  <si>
    <t>MAR000</t>
  </si>
  <si>
    <t>Tax Invoice : INW51177</t>
  </si>
  <si>
    <t>Tax Invoice : INW51178</t>
  </si>
  <si>
    <t>Tax Invoice : INW51179</t>
  </si>
  <si>
    <t>POR004</t>
  </si>
  <si>
    <t>Tax Invoice : INW51180</t>
  </si>
  <si>
    <t>MAR045</t>
  </si>
  <si>
    <t>Tax Invoice : INW51181</t>
  </si>
  <si>
    <t>Tax Invoice : INW51182</t>
  </si>
  <si>
    <t>Tax Invoice : INW51183</t>
  </si>
  <si>
    <t>TAN001</t>
  </si>
  <si>
    <t>Tax Invoice : INW51184</t>
  </si>
  <si>
    <t>REIMBURSEMENT</t>
  </si>
  <si>
    <t>Tax Invoice : INW51185</t>
  </si>
  <si>
    <t>GOO004</t>
  </si>
  <si>
    <t>Tax Invoice : INW51186</t>
  </si>
  <si>
    <t>ATT:MARGY</t>
  </si>
  <si>
    <t>Tax Invoice : INW51187</t>
  </si>
  <si>
    <t>Tax Invoice : INW51188</t>
  </si>
  <si>
    <t>Tax Invoice : INW51189</t>
  </si>
  <si>
    <t>PO: 015974</t>
  </si>
  <si>
    <t>Tax Invoice : INW51190</t>
  </si>
  <si>
    <t>Tax Invoice : INW51191</t>
  </si>
  <si>
    <t>Tax Invoice : INW51192</t>
  </si>
  <si>
    <t>ABE002</t>
  </si>
  <si>
    <t>Tax Invoice : INW51193</t>
  </si>
  <si>
    <t>JAN012</t>
  </si>
  <si>
    <t>Tax Invoice : INW51194</t>
  </si>
  <si>
    <t>LEM009</t>
  </si>
  <si>
    <t>Tax Invoice : INW51195</t>
  </si>
  <si>
    <t>Tax Invoice : INW51196</t>
  </si>
  <si>
    <t>Tax Invoice : INW51197</t>
  </si>
  <si>
    <t>Tax Invoice : INW51198</t>
  </si>
  <si>
    <t>Tax Invoice : INW51199</t>
  </si>
  <si>
    <t>Tax Invoice : INW51200</t>
  </si>
  <si>
    <t>Tax Invoice : INW51201</t>
  </si>
  <si>
    <t>Tax Invoice : INW51202</t>
  </si>
  <si>
    <t>Tax Invoice : INW51203</t>
  </si>
  <si>
    <t>LAP004</t>
  </si>
  <si>
    <t>Tax Invoice : INW51204</t>
  </si>
  <si>
    <t>Tax Invoice : INW51205</t>
  </si>
  <si>
    <t>ATT; CASSANDRA</t>
  </si>
  <si>
    <t>DEE001</t>
  </si>
  <si>
    <t>Tax Invoice : INW51206</t>
  </si>
  <si>
    <t>Tax Invoice : INW51207</t>
  </si>
  <si>
    <t>PO#0000480</t>
  </si>
  <si>
    <t>BOS010</t>
  </si>
  <si>
    <t>Tax Invoice : INW51208</t>
  </si>
  <si>
    <t>Tax Invoice : INW51209</t>
  </si>
  <si>
    <t>LHS001</t>
  </si>
  <si>
    <t>Tax Invoice : INW51210</t>
  </si>
  <si>
    <t>Tax Invoice : INW51211</t>
  </si>
  <si>
    <t>Tax Invoice : INW51212</t>
  </si>
  <si>
    <t>PO# 389854</t>
  </si>
  <si>
    <t>Tax Invoice : INW51213</t>
  </si>
  <si>
    <t>Tax Invoice : INW51214</t>
  </si>
  <si>
    <t>Tax Invoice : INW51215</t>
  </si>
  <si>
    <t>THA003</t>
  </si>
  <si>
    <t>Tax Invoice : INW51216</t>
  </si>
  <si>
    <t>PO: 3282 &amp; PO: 3285</t>
  </si>
  <si>
    <t>VER009</t>
  </si>
  <si>
    <t>Tax Invoice : INW51217</t>
  </si>
  <si>
    <t>BEL020</t>
  </si>
  <si>
    <t>Tax Invoice : INW51218</t>
  </si>
  <si>
    <t>Tax Invoice : INW51219</t>
  </si>
  <si>
    <t>Tax Invoice : INW51220</t>
  </si>
  <si>
    <t>PO# 38959</t>
  </si>
  <si>
    <t>Tax Invoice : INW51221</t>
  </si>
  <si>
    <t>PO# 38961</t>
  </si>
  <si>
    <t>Tax Invoice : INW51222</t>
  </si>
  <si>
    <t>PO# 38963</t>
  </si>
  <si>
    <t>CUR005</t>
  </si>
  <si>
    <t>Tax Invoice : INW51223</t>
  </si>
  <si>
    <t>Tax Invoice : INW51224</t>
  </si>
  <si>
    <t>PO# 38965</t>
  </si>
  <si>
    <t>ADA011</t>
  </si>
  <si>
    <t>Tax Invoice : INW51225</t>
  </si>
  <si>
    <t>LEA036</t>
  </si>
  <si>
    <t>Tax Invoice : INW51226</t>
  </si>
  <si>
    <t>Tax Invoice : INW51227</t>
  </si>
  <si>
    <t>FWD001</t>
  </si>
  <si>
    <t>Tax Invoice : INW51228</t>
  </si>
  <si>
    <t>ATT:ANWAR</t>
  </si>
  <si>
    <t>Tax Invoice : INW51229</t>
  </si>
  <si>
    <t>Tax Invoice : INW51230</t>
  </si>
  <si>
    <t>PO# 38970</t>
  </si>
  <si>
    <t>NTS001</t>
  </si>
  <si>
    <t>Tax Invoice : INW51231</t>
  </si>
  <si>
    <t>Tax Invoice : INW51232</t>
  </si>
  <si>
    <t>LON003</t>
  </si>
  <si>
    <t>Tax Invoice : INW51233</t>
  </si>
  <si>
    <t>Tax Invoice : INW51234</t>
  </si>
  <si>
    <t>ZER002</t>
  </si>
  <si>
    <t>Tax Invoice : INW51235</t>
  </si>
  <si>
    <t>COMM INV: 913/2026</t>
  </si>
  <si>
    <t>Tax Invoice : INW51236</t>
  </si>
  <si>
    <t>Tax Invoice : INW51237</t>
  </si>
  <si>
    <t>POD08734</t>
  </si>
  <si>
    <t>Tax Invoice : INW51238</t>
  </si>
  <si>
    <t>AUV001</t>
  </si>
  <si>
    <t>Tax Invoice : INW51239</t>
  </si>
  <si>
    <t>Tax Invoice : INW51240</t>
  </si>
  <si>
    <t>Tax Invoice : INW51241</t>
  </si>
  <si>
    <t>Tax Invoice : INW51242</t>
  </si>
  <si>
    <t>PO#A3X4</t>
  </si>
  <si>
    <t>Tax Invoice : INW51243</t>
  </si>
  <si>
    <t>Tax Invoice : INW51244</t>
  </si>
  <si>
    <t>SAI006</t>
  </si>
  <si>
    <t>Tax Invoice : INW51245</t>
  </si>
  <si>
    <t>Tax Invoice : INW51246</t>
  </si>
  <si>
    <t>TRI016</t>
  </si>
  <si>
    <t>Tax Invoice : INW51247</t>
  </si>
  <si>
    <t>ATT: DAVE</t>
  </si>
  <si>
    <t>WES003</t>
  </si>
  <si>
    <t>Tax Invoice : INW51248</t>
  </si>
  <si>
    <t>PO#13952</t>
  </si>
  <si>
    <t>Tax Invoice : INW51249</t>
  </si>
  <si>
    <t>Tax Invoice : INW51250</t>
  </si>
  <si>
    <t>Tax Invoice : INW51251</t>
  </si>
  <si>
    <t>Tax Invoice : INW51252</t>
  </si>
  <si>
    <t>INY011</t>
  </si>
  <si>
    <t>Tax Invoice : INW51253</t>
  </si>
  <si>
    <t>Tax Invoice : INW51254</t>
  </si>
  <si>
    <t>Tax Invoice : INW51255</t>
  </si>
  <si>
    <t>ATT: RAFEEK</t>
  </si>
  <si>
    <t>Tax Invoice : INW51256</t>
  </si>
  <si>
    <t>Tax Invoice : INW51257</t>
  </si>
  <si>
    <t>PO: 15974</t>
  </si>
  <si>
    <t>Tax Invoice : INW51258</t>
  </si>
  <si>
    <t>Tax Invoice : INW51259</t>
  </si>
  <si>
    <t>PO#6724</t>
  </si>
  <si>
    <t>Tax Invoice : INW51260</t>
  </si>
  <si>
    <t>PO# 1721</t>
  </si>
  <si>
    <t>Tax Invoice : INW51261</t>
  </si>
  <si>
    <t>SUP001</t>
  </si>
  <si>
    <t>Tax Invoice : INW51262</t>
  </si>
  <si>
    <t>PO#FRANSHOEKCOUNTRYHOUSE</t>
  </si>
  <si>
    <t>Tax Invoice : INW51263</t>
  </si>
  <si>
    <t>Tax Invoice : INW51264</t>
  </si>
  <si>
    <t>Tax Invoice : INW51265</t>
  </si>
  <si>
    <t>Tax Invoice : INW51266</t>
  </si>
  <si>
    <t>Tax Invoice : INW51267</t>
  </si>
  <si>
    <t>Tax Invoice : INW51268</t>
  </si>
  <si>
    <t>Tax Invoice : INW51269</t>
  </si>
  <si>
    <t>SLE002</t>
  </si>
  <si>
    <t>Tax Invoice : INW51270</t>
  </si>
  <si>
    <t>TEP001</t>
  </si>
  <si>
    <t>Tax Invoice : INW51271</t>
  </si>
  <si>
    <t>Tax Invoice : INW51272</t>
  </si>
  <si>
    <t>Tax Invoice : INW51273</t>
  </si>
  <si>
    <t>Tax Invoice : INW51274</t>
  </si>
  <si>
    <t>Tax Invoice : INW51275</t>
  </si>
  <si>
    <t>Tax Invoice : INW51276</t>
  </si>
  <si>
    <t>Tax Invoice : INW51277</t>
  </si>
  <si>
    <t>Tax Invoice : INW51278</t>
  </si>
  <si>
    <t>FOR015</t>
  </si>
  <si>
    <t>Tax Invoice : INW51279</t>
  </si>
  <si>
    <t>PJ002</t>
  </si>
  <si>
    <t>Tax Invoice : INW51280</t>
  </si>
  <si>
    <t>NAV002</t>
  </si>
  <si>
    <t>Tax Invoice : INW51281</t>
  </si>
  <si>
    <t>Tax Invoice : INW51282</t>
  </si>
  <si>
    <t>THE051</t>
  </si>
  <si>
    <t>Tax Invoice : INW51283</t>
  </si>
  <si>
    <t>DER003</t>
  </si>
  <si>
    <t>Tax Invoice : INW51284</t>
  </si>
  <si>
    <t>Tax Invoice : INW51285</t>
  </si>
  <si>
    <t>Tax Invoice : INW51286</t>
  </si>
  <si>
    <t>PAM003</t>
  </si>
  <si>
    <t>Tax Invoice : INW51287</t>
  </si>
  <si>
    <t>ATT:PATRICK</t>
  </si>
  <si>
    <t>ALW002</t>
  </si>
  <si>
    <t>Tax Invoice : INW51288</t>
  </si>
  <si>
    <t>Tax Invoice : INW51289</t>
  </si>
  <si>
    <t>Tax Invoice : INW51290</t>
  </si>
  <si>
    <t>Tax Invoice : INW51291</t>
  </si>
  <si>
    <t>UPH011</t>
  </si>
  <si>
    <t>Tax Invoice : INW51292</t>
  </si>
  <si>
    <t>Tax Invoice : INW51293</t>
  </si>
  <si>
    <t>MOSS01</t>
  </si>
  <si>
    <t>Tax Invoice : INW51294</t>
  </si>
  <si>
    <t>Tax Invoice : INW51295</t>
  </si>
  <si>
    <t>SUN006</t>
  </si>
  <si>
    <t>Tax Invoice : INW51296</t>
  </si>
  <si>
    <t>Tax Invoice : INW51297</t>
  </si>
  <si>
    <t>Tax Invoice : INW51298</t>
  </si>
  <si>
    <t>ATT;PATRICK</t>
  </si>
  <si>
    <t>BAN001</t>
  </si>
  <si>
    <t>Tax Invoice : INW51299</t>
  </si>
  <si>
    <t>Tax Invoice : INW51300</t>
  </si>
  <si>
    <t>DES099</t>
  </si>
  <si>
    <t>Tax Invoice : INW51301</t>
  </si>
  <si>
    <t>Tax Invoice : INW51302</t>
  </si>
  <si>
    <t>BEG001</t>
  </si>
  <si>
    <t>Tax Invoice : INW51303</t>
  </si>
  <si>
    <t>GDE001</t>
  </si>
  <si>
    <t>Tax Invoice : INW51304</t>
  </si>
  <si>
    <t>Tax Invoice : INW51305</t>
  </si>
  <si>
    <t>MOO002</t>
  </si>
  <si>
    <t>Tax Invoice : INW51306</t>
  </si>
  <si>
    <t>Tax Invoice : INW51307</t>
  </si>
  <si>
    <t>KUI001</t>
  </si>
  <si>
    <t>Tax Invoice : INW51308</t>
  </si>
  <si>
    <t>Tax Invoice : INW51309</t>
  </si>
  <si>
    <t>REF: INW51168</t>
  </si>
  <si>
    <t>MIS002</t>
  </si>
  <si>
    <t>Tax Invoice : INW51310</t>
  </si>
  <si>
    <t>OLL001</t>
  </si>
  <si>
    <t>Tax Invoice : INW51311</t>
  </si>
  <si>
    <t>TZA001</t>
  </si>
  <si>
    <t>Tax Invoice : INW51312</t>
  </si>
  <si>
    <t>STO010</t>
  </si>
  <si>
    <t>Tax Invoice : INW51313</t>
  </si>
  <si>
    <t>Tax Invoice : INW51314</t>
  </si>
  <si>
    <t>Tax Invoice : INW51315</t>
  </si>
  <si>
    <t>Tax Invoice : INW51316</t>
  </si>
  <si>
    <t>SEV002</t>
  </si>
  <si>
    <t>Tax Invoice : INW51317</t>
  </si>
  <si>
    <t>PO# 74250</t>
  </si>
  <si>
    <t>CEN015</t>
  </si>
  <si>
    <t>Tax Invoice : INW51318</t>
  </si>
  <si>
    <t>Tax Invoice : INW51319</t>
  </si>
  <si>
    <t>ROW002</t>
  </si>
  <si>
    <t>Tax Invoice : INW51320</t>
  </si>
  <si>
    <t>Tax Invoice : INW51321</t>
  </si>
  <si>
    <t>SWE002</t>
  </si>
  <si>
    <t>Tax Invoice : INW51322</t>
  </si>
  <si>
    <t>ATT: STACY/CHEY</t>
  </si>
  <si>
    <t>Tax Invoice : INW51323</t>
  </si>
  <si>
    <t>PO#39105</t>
  </si>
  <si>
    <t>Tax Invoice : INW51324</t>
  </si>
  <si>
    <t>PO#39104</t>
  </si>
  <si>
    <t>Tax Invoice : INW51325</t>
  </si>
  <si>
    <t>POD08745</t>
  </si>
  <si>
    <t>Tax Invoice : INW51326</t>
  </si>
  <si>
    <t>Tax Invoice : INW51327</t>
  </si>
  <si>
    <t>Tax Invoice : INW51328</t>
  </si>
  <si>
    <t>DAN008</t>
  </si>
  <si>
    <t>Tax Invoice : INW51329</t>
  </si>
  <si>
    <t>Tax Invoice : INW51330</t>
  </si>
  <si>
    <t>SIG002</t>
  </si>
  <si>
    <t>Tax Invoice : INW51331</t>
  </si>
  <si>
    <t>HAN009</t>
  </si>
  <si>
    <t>Tax Invoice : INW51332</t>
  </si>
  <si>
    <t>COO002</t>
  </si>
  <si>
    <t>Tax Invoice : INW51333</t>
  </si>
  <si>
    <t>ATT: STEVE</t>
  </si>
  <si>
    <t>Tax Invoice : INW51334</t>
  </si>
  <si>
    <t>Tax Invoice : INW51335</t>
  </si>
  <si>
    <t>Tax Invoice : INW51336</t>
  </si>
  <si>
    <t>CAT007</t>
  </si>
  <si>
    <t>Tax Invoice : INW51337</t>
  </si>
  <si>
    <t>WAL010</t>
  </si>
  <si>
    <t>Tax Invoice : INW51338</t>
  </si>
  <si>
    <t>EGA001</t>
  </si>
  <si>
    <t>Tax Invoice : INW51339</t>
  </si>
  <si>
    <t>Tax Invoice : INW51340</t>
  </si>
  <si>
    <t>MAJ001</t>
  </si>
  <si>
    <t>Tax Invoice : INW51341</t>
  </si>
  <si>
    <t>MKL001</t>
  </si>
  <si>
    <t>Tax Invoice : INW51342</t>
  </si>
  <si>
    <t>IVO002</t>
  </si>
  <si>
    <t>Tax Invoice : INW51343</t>
  </si>
  <si>
    <t>Tax Invoice : INW51344</t>
  </si>
  <si>
    <t>CR10700</t>
  </si>
  <si>
    <t>SAL012</t>
  </si>
  <si>
    <t>Tax Invoice : INW51345</t>
  </si>
  <si>
    <t>ATT: TIM</t>
  </si>
  <si>
    <t>SYM002</t>
  </si>
  <si>
    <t>Tax Invoice : INW51346</t>
  </si>
  <si>
    <t>Tax Invoice : INW51347</t>
  </si>
  <si>
    <t>Tax Invoice : INW51348</t>
  </si>
  <si>
    <t>Tax Invoice : INW51349</t>
  </si>
  <si>
    <t>RON005</t>
  </si>
  <si>
    <t>Tax Invoice : INW51350</t>
  </si>
  <si>
    <t>Tax Invoice : INW51351</t>
  </si>
  <si>
    <t>EAS004</t>
  </si>
  <si>
    <t>Tax Invoice : INW51352</t>
  </si>
  <si>
    <t>CAP004</t>
  </si>
  <si>
    <t>Tax Invoice : INW51353</t>
  </si>
  <si>
    <t>KIT002</t>
  </si>
  <si>
    <t>Tax Invoice : INW51354</t>
  </si>
  <si>
    <t>GRE012</t>
  </si>
  <si>
    <t>Tax Invoice : INW51355</t>
  </si>
  <si>
    <t>Tax Invoice : INW51356</t>
  </si>
  <si>
    <t>Tax Invoice : INW51357</t>
  </si>
  <si>
    <t>Tax Invoice : INW51358</t>
  </si>
  <si>
    <t>ATT: RAJ</t>
  </si>
  <si>
    <t>Tax Invoice : INW51359</t>
  </si>
  <si>
    <t>PO: 39106</t>
  </si>
  <si>
    <t>SOM006</t>
  </si>
  <si>
    <t>Tax Invoice : INW51360</t>
  </si>
  <si>
    <t>Tax Invoice : INW51361</t>
  </si>
  <si>
    <t>ATT: DANELLE</t>
  </si>
  <si>
    <t>Tax Invoice : INW51362</t>
  </si>
  <si>
    <t>LAS002</t>
  </si>
  <si>
    <t>Tax Invoice : INW51363</t>
  </si>
  <si>
    <t>CRE015</t>
  </si>
  <si>
    <t>Tax Invoice : INW51364</t>
  </si>
  <si>
    <t>BRI012</t>
  </si>
  <si>
    <t>Tax Invoice : INW51365</t>
  </si>
  <si>
    <t>Tax Invoice : INW51366</t>
  </si>
  <si>
    <t>PO#6740</t>
  </si>
  <si>
    <t>Tax Invoice : INW51367</t>
  </si>
  <si>
    <t>Tax Invoice : INW51368</t>
  </si>
  <si>
    <t>ATT: MARNICA</t>
  </si>
  <si>
    <t>Tax Invoice : INW51369</t>
  </si>
  <si>
    <t>AND010</t>
  </si>
  <si>
    <t>Tax Invoice : INW51370</t>
  </si>
  <si>
    <t>Tax Invoice : INW51371</t>
  </si>
  <si>
    <t>Tax Invoice : INW51372</t>
  </si>
  <si>
    <t>Tax Invoice : INW51373</t>
  </si>
  <si>
    <t>Tax Invoice : INW51374</t>
  </si>
  <si>
    <t>Tax Invoice : INW51375</t>
  </si>
  <si>
    <t>LON002</t>
  </si>
  <si>
    <t>Tax Invoice : INW51376</t>
  </si>
  <si>
    <t>ATT: LONKIE</t>
  </si>
  <si>
    <t>LAG001</t>
  </si>
  <si>
    <t>Tax Invoice : INW51377</t>
  </si>
  <si>
    <t>Tax Invoice : INW51378</t>
  </si>
  <si>
    <t>Tax Invoice : INW51379</t>
  </si>
  <si>
    <t>PO#A3X8</t>
  </si>
  <si>
    <t>BAR004</t>
  </si>
  <si>
    <t>Tax Invoice : INW51380</t>
  </si>
  <si>
    <t>Tax Invoice : INW51381</t>
  </si>
  <si>
    <t>Tax Invoice : INW51382</t>
  </si>
  <si>
    <t>Tax Invoice : INW51383</t>
  </si>
  <si>
    <t>Tax Invoice : INW51384</t>
  </si>
  <si>
    <t>S2Z001</t>
  </si>
  <si>
    <t>Tax Invoice : INW51385</t>
  </si>
  <si>
    <t>JAR006</t>
  </si>
  <si>
    <t>Tax Invoice : INW51386</t>
  </si>
  <si>
    <t>PO#JAR27673</t>
  </si>
  <si>
    <t>CRA010</t>
  </si>
  <si>
    <t>Tax Invoice : INW51387</t>
  </si>
  <si>
    <t>Tax Invoice : INW51388</t>
  </si>
  <si>
    <t>PAR004</t>
  </si>
  <si>
    <t>Tax Invoice : INW51389</t>
  </si>
  <si>
    <t>JAN015</t>
  </si>
  <si>
    <t>Tax Invoice : INW51390</t>
  </si>
  <si>
    <t>BRU005</t>
  </si>
  <si>
    <t>Tax Invoice : INW51391</t>
  </si>
  <si>
    <t>Tax Invoice : INW51392</t>
  </si>
  <si>
    <t>CAP017</t>
  </si>
  <si>
    <t>Tax Invoice : INW51393</t>
  </si>
  <si>
    <t>PO#L/1097</t>
  </si>
  <si>
    <t>Tax Invoice : INW51394</t>
  </si>
  <si>
    <t>Tax Invoice : INW51395</t>
  </si>
  <si>
    <t>Tax Invoice : INW51396</t>
  </si>
  <si>
    <t>Tax Invoice : INW51397</t>
  </si>
  <si>
    <t>Tax Invoice : INW51398</t>
  </si>
  <si>
    <t>PO#26/06/255</t>
  </si>
  <si>
    <t>Tax Invoice : INW51399</t>
  </si>
  <si>
    <t>Tax Invoice : INW51400</t>
  </si>
  <si>
    <t>OUT010</t>
  </si>
  <si>
    <t>Tax Invoice : INW51401</t>
  </si>
  <si>
    <t>Tax Invoice : INW51402</t>
  </si>
  <si>
    <t>HEL002</t>
  </si>
  <si>
    <t>Tax Invoice : INW51403</t>
  </si>
  <si>
    <t>COM006</t>
  </si>
  <si>
    <t>Tax Invoice : INW51404</t>
  </si>
  <si>
    <t>PO#ALIDA</t>
  </si>
  <si>
    <t>Tax Invoice : INW51405</t>
  </si>
  <si>
    <t>ITF001</t>
  </si>
  <si>
    <t>Tax Invoice : INW51406</t>
  </si>
  <si>
    <t>Tax Invoice : INW51407</t>
  </si>
  <si>
    <t>Tax Invoice : INW51408</t>
  </si>
  <si>
    <t>Tax Invoice : INW51409</t>
  </si>
  <si>
    <t>Tax Invoice : INW51410</t>
  </si>
  <si>
    <t>BIA004</t>
  </si>
  <si>
    <t>Tax Invoice : INW51411</t>
  </si>
  <si>
    <t>REF004</t>
  </si>
  <si>
    <t>Tax Invoice : INW51412</t>
  </si>
  <si>
    <t>ZAP001</t>
  </si>
  <si>
    <t>Tax Invoice : INW51413</t>
  </si>
  <si>
    <t>Tax Invoice : INW51414</t>
  </si>
  <si>
    <t>POD08618</t>
  </si>
  <si>
    <t>Tax Invoice : INW51415</t>
  </si>
  <si>
    <t>BER007</t>
  </si>
  <si>
    <t>Tax Invoice : INW51416</t>
  </si>
  <si>
    <t>Tax Invoice : INW51417</t>
  </si>
  <si>
    <t>POD08622</t>
  </si>
  <si>
    <t>Tax Invoice : INW51418</t>
  </si>
  <si>
    <t>Tax Invoice : INW51419</t>
  </si>
  <si>
    <t>CLA06</t>
  </si>
  <si>
    <t>Tax Invoice : INW51420</t>
  </si>
  <si>
    <t>ATT: RAMANTHA</t>
  </si>
  <si>
    <t>STR007</t>
  </si>
  <si>
    <t>Tax Invoice : INW51421</t>
  </si>
  <si>
    <t>HAD001</t>
  </si>
  <si>
    <t>Tax Invoice : INW51422</t>
  </si>
  <si>
    <t>GRO006</t>
  </si>
  <si>
    <t>Tax Invoice : INW51423</t>
  </si>
  <si>
    <t>Tax Invoice : INW51424</t>
  </si>
  <si>
    <t>ATT: VEEZ</t>
  </si>
  <si>
    <t>Tax Invoice : INW51425</t>
  </si>
  <si>
    <t>Tax Invoice : INW51426</t>
  </si>
  <si>
    <t>POD08707</t>
  </si>
  <si>
    <t>Tax Invoice : INW51427</t>
  </si>
  <si>
    <t>POD08716</t>
  </si>
  <si>
    <t>Tax Invoice : INW51428</t>
  </si>
  <si>
    <t>Tax Invoice : INW51429</t>
  </si>
  <si>
    <t>DAV008</t>
  </si>
  <si>
    <t>Tax Invoice : INW51430</t>
  </si>
  <si>
    <t>Tax Invoice : INW51431</t>
  </si>
  <si>
    <t>POD08713</t>
  </si>
  <si>
    <t>Tax Invoice : INW51432</t>
  </si>
  <si>
    <t>Tax Invoice : INW51433</t>
  </si>
  <si>
    <t>Tax Invoice : INW51434</t>
  </si>
  <si>
    <t>Tax Invoice : INW51435</t>
  </si>
  <si>
    <t>Tax Invoice : INW51436</t>
  </si>
  <si>
    <t>Tax Invoice : INW51437</t>
  </si>
  <si>
    <t>KIT001</t>
  </si>
  <si>
    <t>Tax Invoice : INW51438</t>
  </si>
  <si>
    <t>ATT: CARINA</t>
  </si>
  <si>
    <t>Tax Invoice : INW51439</t>
  </si>
  <si>
    <t>HID021</t>
  </si>
  <si>
    <t>Tax Invoice : INW51440</t>
  </si>
  <si>
    <t>OST001</t>
  </si>
  <si>
    <t>Tax Invoice : INW51441</t>
  </si>
  <si>
    <t>CHA020</t>
  </si>
  <si>
    <t>Tax Invoice : INW51442</t>
  </si>
  <si>
    <t>Tax Invoice : INW51443</t>
  </si>
  <si>
    <t>Tax Invoice : INW51444</t>
  </si>
  <si>
    <t>Tax Invoice : INW51445</t>
  </si>
  <si>
    <t>GRA002</t>
  </si>
  <si>
    <t>Tax Invoice : INW51446</t>
  </si>
  <si>
    <t>Tax Invoice : INW51447</t>
  </si>
  <si>
    <t>LEA021</t>
  </si>
  <si>
    <t>Tax Invoice : INW51448</t>
  </si>
  <si>
    <t>Tax Invoice : INW51449</t>
  </si>
  <si>
    <t>Tax Invoice : INW51450</t>
  </si>
  <si>
    <t>CAL004</t>
  </si>
  <si>
    <t>Tax Invoice : INW51451</t>
  </si>
  <si>
    <t>BE001</t>
  </si>
  <si>
    <t>Tax Invoice : INW51452</t>
  </si>
  <si>
    <t>DMR - CRAIG</t>
  </si>
  <si>
    <t>Tax Invoice : INW51453</t>
  </si>
  <si>
    <t>PO# 39190</t>
  </si>
  <si>
    <t>COS001</t>
  </si>
  <si>
    <t>Tax Invoice : INW51454</t>
  </si>
  <si>
    <t>ATT: TOMMY</t>
  </si>
  <si>
    <t>UMH001</t>
  </si>
  <si>
    <t>Tax Invoice : INW51455</t>
  </si>
  <si>
    <t>ATT: JASON</t>
  </si>
  <si>
    <t>Tax Invoice : INW51456</t>
  </si>
  <si>
    <t>PO# 39189</t>
  </si>
  <si>
    <t>Tax Invoice : INW51457</t>
  </si>
  <si>
    <t>PO# 39194</t>
  </si>
  <si>
    <t>Tax Invoice : INW51458</t>
  </si>
  <si>
    <t>PO# 39193</t>
  </si>
  <si>
    <t>Tax Invoice : INW51459</t>
  </si>
  <si>
    <t>Tax Invoice : INW51460</t>
  </si>
  <si>
    <t>Tax Invoice : INW51461</t>
  </si>
  <si>
    <t>PO#6741</t>
  </si>
  <si>
    <t>Tax Invoice : INW51462</t>
  </si>
  <si>
    <t>Tax Invoice : INW51463</t>
  </si>
  <si>
    <t>SPI006</t>
  </si>
  <si>
    <t>Tax Invoice : INW51464</t>
  </si>
  <si>
    <t>Tax Invoice : INW51465</t>
  </si>
  <si>
    <t>CAS007</t>
  </si>
  <si>
    <t>Tax Invoice : INW51466</t>
  </si>
  <si>
    <t>Tax Invoice : INW51467</t>
  </si>
  <si>
    <t>Tax Invoice : INW51468</t>
  </si>
  <si>
    <t>SIL001</t>
  </si>
  <si>
    <t>Tax Invoice : INW51469</t>
  </si>
  <si>
    <t>Tax Invoice : INW51470</t>
  </si>
  <si>
    <t>Tax Invoice : INW51471</t>
  </si>
  <si>
    <t>BLA008</t>
  </si>
  <si>
    <t>Tax Invoice : INW51472</t>
  </si>
  <si>
    <t>Tax Invoice : INW51473</t>
  </si>
  <si>
    <t>Tax Invoice : INW51474</t>
  </si>
  <si>
    <t>LED003</t>
  </si>
  <si>
    <t>Tax Invoice : INW51475</t>
  </si>
  <si>
    <t>Tax Invoice : INW51476</t>
  </si>
  <si>
    <t>BLO006</t>
  </si>
  <si>
    <t>Tax Invoice : INW51477</t>
  </si>
  <si>
    <t>Tax Invoice : INW51478</t>
  </si>
  <si>
    <t>Tax Invoice : INW51479</t>
  </si>
  <si>
    <t>Tax Invoice : INW51480</t>
  </si>
  <si>
    <t>EMP002</t>
  </si>
  <si>
    <t>Tax Invoice : INW51481</t>
  </si>
  <si>
    <t>ATT: SEAN/GARY</t>
  </si>
  <si>
    <t>FRI005</t>
  </si>
  <si>
    <t>Tax Invoice : INW51482</t>
  </si>
  <si>
    <t>ZIP001</t>
  </si>
  <si>
    <t>Tax Invoice : INW51483</t>
  </si>
  <si>
    <t>Tax Invoice : INW51484</t>
  </si>
  <si>
    <t>PIT001</t>
  </si>
  <si>
    <t>Tax Invoice : INW51485</t>
  </si>
  <si>
    <t>SLA002</t>
  </si>
  <si>
    <t>Tax Invoice : INW51486</t>
  </si>
  <si>
    <t>Tax Invoice : INW51487</t>
  </si>
  <si>
    <t>PO# 39202</t>
  </si>
  <si>
    <t>Tax Invoice : INW51488</t>
  </si>
  <si>
    <t>Tax Invoice : INW51489</t>
  </si>
  <si>
    <t>Tax Invoice : INW51490</t>
  </si>
  <si>
    <t>ATT: MAGEN</t>
  </si>
  <si>
    <t>Tax Invoice : INW51491</t>
  </si>
  <si>
    <t>DCD001</t>
  </si>
  <si>
    <t>Tax Invoice : INW51492</t>
  </si>
  <si>
    <t>MEU001</t>
  </si>
  <si>
    <t>Tax Invoice : INW51493</t>
  </si>
  <si>
    <t>GOU002</t>
  </si>
  <si>
    <t>Tax Invoice : INW51494</t>
  </si>
  <si>
    <t>MME001</t>
  </si>
  <si>
    <t>Tax Invoice : INW51495</t>
  </si>
  <si>
    <t>Tax Invoice : INW51496</t>
  </si>
  <si>
    <t>MAR050</t>
  </si>
  <si>
    <t>Tax Invoice : INW51497</t>
  </si>
  <si>
    <t>Tax Invoice : INW51498</t>
  </si>
  <si>
    <t>Tax Invoice : INW51499</t>
  </si>
  <si>
    <t>Tax Invoice : INW51500</t>
  </si>
  <si>
    <t>Tax Invoice : INW51501</t>
  </si>
  <si>
    <t>Tax Invoice : INW51502</t>
  </si>
  <si>
    <t>Tax Invoice : INW51503</t>
  </si>
  <si>
    <t>Tax Invoice : INW51504</t>
  </si>
  <si>
    <t>Tax Invoice : INW51505</t>
  </si>
  <si>
    <t>PO# 105970</t>
  </si>
  <si>
    <t>JOU004</t>
  </si>
  <si>
    <t>Tax Invoice : INW51506</t>
  </si>
  <si>
    <t>Tax Invoice : INW51507</t>
  </si>
  <si>
    <t>Tax Invoice : INW51508</t>
  </si>
  <si>
    <t>FAB006</t>
  </si>
  <si>
    <t>Tax Invoice : INW51509</t>
  </si>
  <si>
    <t>JIK001</t>
  </si>
  <si>
    <t>Tax Invoice : INW51510</t>
  </si>
  <si>
    <t>MIS001</t>
  </si>
  <si>
    <t>Tax Invoice : INW51511</t>
  </si>
  <si>
    <t>Tax Invoice : INW51512</t>
  </si>
  <si>
    <t>Tax Invoice : INW51513</t>
  </si>
  <si>
    <t>Tax Invoice : INW51514</t>
  </si>
  <si>
    <t>Tax Invoice : INW51515</t>
  </si>
  <si>
    <t>Tax Invoice : INW51516</t>
  </si>
  <si>
    <t>Tax Invoice : INW51517</t>
  </si>
  <si>
    <t>Tax Invoice : INW51518</t>
  </si>
  <si>
    <t>EDD002</t>
  </si>
  <si>
    <t>Tax Invoice : INW51519</t>
  </si>
  <si>
    <t>Tax Invoice : INW51520</t>
  </si>
  <si>
    <t>Tax Invoice : INW51521</t>
  </si>
  <si>
    <t>Tax Invoice : INW51522</t>
  </si>
  <si>
    <t>YEL002</t>
  </si>
  <si>
    <t>Tax Invoice : INW51523</t>
  </si>
  <si>
    <t>DES042</t>
  </si>
  <si>
    <t>Tax Invoice : INW51524</t>
  </si>
  <si>
    <t>SAL014</t>
  </si>
  <si>
    <t>Tax Invoice : INW51525</t>
  </si>
  <si>
    <t>IMA005</t>
  </si>
  <si>
    <t>Tax Invoice : INW51526</t>
  </si>
  <si>
    <t>ATT: VUKANI</t>
  </si>
  <si>
    <t>KAY010</t>
  </si>
  <si>
    <t>Tax Invoice : INW51527</t>
  </si>
  <si>
    <t>TOM003</t>
  </si>
  <si>
    <t>Tax Invoice : INW51528</t>
  </si>
  <si>
    <t>Tax Invoice : INW51529</t>
  </si>
  <si>
    <t>PO#  39246</t>
  </si>
  <si>
    <t>RAM004</t>
  </si>
  <si>
    <t>Tax Invoice : INW51530</t>
  </si>
  <si>
    <t>ATT; VANESHREE</t>
  </si>
  <si>
    <t>LIN008</t>
  </si>
  <si>
    <t>Tax Invoice : INW51531</t>
  </si>
  <si>
    <t>ATT: KIRSTY</t>
  </si>
  <si>
    <t>JAN020</t>
  </si>
  <si>
    <t>Tax Invoice : INW51532</t>
  </si>
  <si>
    <t>MET003</t>
  </si>
  <si>
    <t>Tax Invoice : INW51533</t>
  </si>
  <si>
    <t>PRS001</t>
  </si>
  <si>
    <t>Tax Invoice : INW51534</t>
  </si>
  <si>
    <t>ATT: PREM</t>
  </si>
  <si>
    <t>Tax Invoice : INW51535</t>
  </si>
  <si>
    <t>BEL016</t>
  </si>
  <si>
    <t>Tax Invoice : INW51536</t>
  </si>
  <si>
    <t>Tax Invoice : INW51537</t>
  </si>
  <si>
    <t>Tax Invoice : INW51538</t>
  </si>
  <si>
    <t>PO# 39256</t>
  </si>
  <si>
    <t>BAB001</t>
  </si>
  <si>
    <t>Tax Invoice : INW51539</t>
  </si>
  <si>
    <t>Tax Invoice : INW51540</t>
  </si>
  <si>
    <t>Tax Invoice : INW51541</t>
  </si>
  <si>
    <t>Tax Invoice : INW51542</t>
  </si>
  <si>
    <t>MIG001</t>
  </si>
  <si>
    <t>Tax Invoice : INW51543</t>
  </si>
  <si>
    <t>Tax Invoice : INW51544</t>
  </si>
  <si>
    <t>Tax Invoice : INW51545</t>
  </si>
  <si>
    <t>Tax Invoice : INW51546</t>
  </si>
  <si>
    <t>Tax Invoice : INW51547</t>
  </si>
  <si>
    <t>Tax Invoice : INW51548</t>
  </si>
  <si>
    <t>Tax Invoice : INW51549</t>
  </si>
  <si>
    <t>Tax Invoice : INW51550</t>
  </si>
  <si>
    <t>Tax Invoice : INW51551</t>
  </si>
  <si>
    <t>Tax Invoice : INW51552</t>
  </si>
  <si>
    <t>Tax Invoice : INW51553</t>
  </si>
  <si>
    <t>ATT:GINO</t>
  </si>
  <si>
    <t>Tax Invoice : INW51554</t>
  </si>
  <si>
    <t>Tax Invoice : INW51555</t>
  </si>
  <si>
    <t>DUT004</t>
  </si>
  <si>
    <t>Tax Invoice : INW51556</t>
  </si>
  <si>
    <t>NIN002</t>
  </si>
  <si>
    <t>Tax Invoice : INW51557</t>
  </si>
  <si>
    <t>Tax Invoice : INW51558</t>
  </si>
  <si>
    <t>Tax Invoice : INW51559</t>
  </si>
  <si>
    <t>PO#105975</t>
  </si>
  <si>
    <t>VER005</t>
  </si>
  <si>
    <t>Tax Invoice : INW51560</t>
  </si>
  <si>
    <t>POD08732</t>
  </si>
  <si>
    <t>Tax Invoice : INW51561</t>
  </si>
  <si>
    <t>PO#105974</t>
  </si>
  <si>
    <t>Tax Invoice : INW51562</t>
  </si>
  <si>
    <t>POD08688</t>
  </si>
  <si>
    <t>Tax Invoice : INW51563</t>
  </si>
  <si>
    <t>Tax Invoice : INW51564</t>
  </si>
  <si>
    <t>Tax Invoice : INW51565</t>
  </si>
  <si>
    <t>Tax Invoice : INW51566</t>
  </si>
  <si>
    <t>PHE001</t>
  </si>
  <si>
    <t>Tax Invoice : INW51567</t>
  </si>
  <si>
    <t>Tax Invoice : INW51568</t>
  </si>
  <si>
    <t>Tax Invoice : INW51569</t>
  </si>
  <si>
    <t>DUV001</t>
  </si>
  <si>
    <t>Tax Invoice : INW51570</t>
  </si>
  <si>
    <t>PO#SAM10/06</t>
  </si>
  <si>
    <t>Tax Invoice : INW51571</t>
  </si>
  <si>
    <t>Tax Invoice : INW51572</t>
  </si>
  <si>
    <t>POD08605</t>
  </si>
  <si>
    <t>THE031</t>
  </si>
  <si>
    <t>Tax Invoice : INW51573</t>
  </si>
  <si>
    <t>SHOWROOM SKINS</t>
  </si>
  <si>
    <t>ACO003</t>
  </si>
  <si>
    <t>Tax Invoice : INW51574</t>
  </si>
  <si>
    <t>Tax Invoice : INW51575</t>
  </si>
  <si>
    <t>POD08717</t>
  </si>
  <si>
    <t>Tax Invoice : INW51576</t>
  </si>
  <si>
    <t>Tax Invoice : INW51577</t>
  </si>
  <si>
    <t>Tax Invoice : INW51578</t>
  </si>
  <si>
    <t>ATT: ADELE</t>
  </si>
  <si>
    <t>SMI002</t>
  </si>
  <si>
    <t>Tax Invoice : INW51579</t>
  </si>
  <si>
    <t>Tax Invoice : INW51580</t>
  </si>
  <si>
    <t>POD08756</t>
  </si>
  <si>
    <t>Tax Invoice : INW51581</t>
  </si>
  <si>
    <t>RET002</t>
  </si>
  <si>
    <t>Tax Invoice : INW51582</t>
  </si>
  <si>
    <t>DEC020</t>
  </si>
  <si>
    <t>Tax Invoice : INW51583</t>
  </si>
  <si>
    <t>Tax Invoice : INW51584</t>
  </si>
  <si>
    <t>ATT:MANDY HENDLER</t>
  </si>
  <si>
    <t>Tax Invoice : INW51585</t>
  </si>
  <si>
    <t>Tax Invoice : INW51586</t>
  </si>
  <si>
    <t>Tax Invoice : INW51587</t>
  </si>
  <si>
    <t>Tax Invoice : INW51588</t>
  </si>
  <si>
    <t>PO#39281</t>
  </si>
  <si>
    <t>Tax Invoice : INW51589</t>
  </si>
  <si>
    <t>COO001</t>
  </si>
  <si>
    <t>Tax Invoice : INW51590</t>
  </si>
  <si>
    <t>HAN006</t>
  </si>
  <si>
    <t>Tax Invoice : INW51591</t>
  </si>
  <si>
    <t>Tax Invoice : INW51592</t>
  </si>
  <si>
    <t>ATT: ANDRE</t>
  </si>
  <si>
    <t>Tax Invoice : INW51593</t>
  </si>
  <si>
    <t>ATT:MEAGHAN</t>
  </si>
  <si>
    <t>Tax Invoice : INW51594</t>
  </si>
  <si>
    <t>Tax Invoice : INW51595</t>
  </si>
  <si>
    <t>COMMITMENT FEE</t>
  </si>
  <si>
    <t>Tax Invoice : INW51596</t>
  </si>
  <si>
    <t>LEA033</t>
  </si>
  <si>
    <t>Tax Invoice : INW51597</t>
  </si>
  <si>
    <t>COMM INV: 916/2026</t>
  </si>
  <si>
    <t>Tax Invoice : INW51598</t>
  </si>
  <si>
    <t>Tax Invoice : INW51599</t>
  </si>
  <si>
    <t>ATT: NADIA</t>
  </si>
  <si>
    <t>Tax Invoice : INW51600</t>
  </si>
  <si>
    <t>Tax Invoice : INW51601</t>
  </si>
  <si>
    <t>Tax Invoice : INW51602</t>
  </si>
  <si>
    <t>TRE014</t>
  </si>
  <si>
    <t>Tax Invoice : INW51603</t>
  </si>
  <si>
    <t>GH001</t>
  </si>
  <si>
    <t>Tax Invoice : INW51604</t>
  </si>
  <si>
    <t>COMM INV: 914/2026</t>
  </si>
  <si>
    <t>Tax Invoice : INW51605</t>
  </si>
  <si>
    <t>BAR030</t>
  </si>
  <si>
    <t>Tax Invoice : INW51606</t>
  </si>
  <si>
    <t>Tax Invoice : INW51607</t>
  </si>
  <si>
    <t>PO 39274</t>
  </si>
  <si>
    <t>Tax Invoice : INW51608</t>
  </si>
  <si>
    <t>20152/2</t>
  </si>
  <si>
    <t>Tax Invoice : INW51609</t>
  </si>
  <si>
    <t>Tax Invoice : INW51610</t>
  </si>
  <si>
    <t>AFO002</t>
  </si>
  <si>
    <t>Tax Invoice : INW51611</t>
  </si>
  <si>
    <t>Tax Invoice : INW51612</t>
  </si>
  <si>
    <t>Tax Invoice : INW51613</t>
  </si>
  <si>
    <t>Tax Invoice : INW51614</t>
  </si>
  <si>
    <t>Tax Invoice : INW51615</t>
  </si>
  <si>
    <t>PO# 39297</t>
  </si>
  <si>
    <t>Tax Invoice : INW51616</t>
  </si>
  <si>
    <t>Tax Invoice : INW51617</t>
  </si>
  <si>
    <t>Tax Invoice : INW51618</t>
  </si>
  <si>
    <t>Tax Invoice : INW51619</t>
  </si>
  <si>
    <t>Tax Invoice : INW51620</t>
  </si>
  <si>
    <t>Tax Invoice : INW51621</t>
  </si>
  <si>
    <t>PO#23554</t>
  </si>
  <si>
    <t>Tax Invoice : INW51622</t>
  </si>
  <si>
    <t>ATT: GARY/SEAN</t>
  </si>
  <si>
    <t>Tax Invoice : INW51623</t>
  </si>
  <si>
    <t>Tax Invoice : INW51624</t>
  </si>
  <si>
    <t>Tax Invoice : INW51625</t>
  </si>
  <si>
    <t>PO# 39306</t>
  </si>
  <si>
    <t>Tax Invoice : INW51626</t>
  </si>
  <si>
    <t>Tax Invoice : INW51627</t>
  </si>
  <si>
    <t>ATT: PIETER CONRADIE</t>
  </si>
  <si>
    <t>DAV006</t>
  </si>
  <si>
    <t>Tax Invoice : INW51628</t>
  </si>
  <si>
    <t>Tax Invoice : INW51629</t>
  </si>
  <si>
    <t>Tax Invoice : INW51630</t>
  </si>
  <si>
    <t>TRU002</t>
  </si>
  <si>
    <t>Tax Invoice : INW51631</t>
  </si>
  <si>
    <t>PO#S01128</t>
  </si>
  <si>
    <t>Tax Invoice : INW51632</t>
  </si>
  <si>
    <t>PO# 39307</t>
  </si>
  <si>
    <t>Tax Invoice : INW51633</t>
  </si>
  <si>
    <t>Tax Invoice : INW51634</t>
  </si>
  <si>
    <t>Tax Invoice : INW51635</t>
  </si>
  <si>
    <t>Tax Invoice : INW51636</t>
  </si>
  <si>
    <t>Tax Invoice : INW51637</t>
  </si>
  <si>
    <t>Tax Invoice : INW51638</t>
  </si>
  <si>
    <t>Tax Invoice : INW51639</t>
  </si>
  <si>
    <t>CHR009</t>
  </si>
  <si>
    <t>Tax Invoice : INW51640</t>
  </si>
  <si>
    <t>Tax Invoice : INW51641</t>
  </si>
  <si>
    <t>Tax Invoice : INW51642</t>
  </si>
  <si>
    <t>HAW002</t>
  </si>
  <si>
    <t>Tax Invoice : INW51643</t>
  </si>
  <si>
    <t>BUC001</t>
  </si>
  <si>
    <t>Tax Invoice : INW51644</t>
  </si>
  <si>
    <t>Tax Invoice : INW51645</t>
  </si>
  <si>
    <t>Tax Invoice : INW51646</t>
  </si>
  <si>
    <t>ATT: JUSTIN</t>
  </si>
  <si>
    <t>BUR001</t>
  </si>
  <si>
    <t>Tax Invoice : INW51647</t>
  </si>
  <si>
    <t>PO# 101915</t>
  </si>
  <si>
    <t>Tax Invoice : INW51648</t>
  </si>
  <si>
    <t>PO# 101946</t>
  </si>
  <si>
    <t>Tax Invoice : INW51649</t>
  </si>
  <si>
    <t>PO# 101945</t>
  </si>
  <si>
    <t>Tax Invoice : INW51650</t>
  </si>
  <si>
    <t>PO# 101916</t>
  </si>
  <si>
    <t>Tax Invoice : INW51651</t>
  </si>
  <si>
    <t>PO# 101917</t>
  </si>
  <si>
    <t>Tax Invoice : INW51652</t>
  </si>
  <si>
    <t>Tax Invoice : INW51653</t>
  </si>
  <si>
    <t>PO# 101947</t>
  </si>
  <si>
    <t>Tax Invoice : INW51654</t>
  </si>
  <si>
    <t>Tax Invoice : INW51655</t>
  </si>
  <si>
    <t>Tax Invoice : INW51656</t>
  </si>
  <si>
    <t>PO# 101944</t>
  </si>
  <si>
    <t>Tax Invoice : INW51657</t>
  </si>
  <si>
    <t>Tax Invoice : INW51658</t>
  </si>
  <si>
    <t>Tax Invoice : INW51659</t>
  </si>
  <si>
    <t>Tax Invoice : INW51660</t>
  </si>
  <si>
    <t>EMI002</t>
  </si>
  <si>
    <t>Tax Invoice : INW51661</t>
  </si>
  <si>
    <t>Tax Invoice : INW51662</t>
  </si>
  <si>
    <t>SUK003</t>
  </si>
  <si>
    <t>Tax Invoice : INW51663</t>
  </si>
  <si>
    <t>YOU006</t>
  </si>
  <si>
    <t>Tax Invoice : INW51664</t>
  </si>
  <si>
    <t>Tax Invoice : INW51665</t>
  </si>
  <si>
    <t>KUDA MAIN BIC</t>
  </si>
  <si>
    <t>Tax Invoice : INW51666</t>
  </si>
  <si>
    <t>Tax Invoice : INW51667</t>
  </si>
  <si>
    <t>HOF002</t>
  </si>
  <si>
    <t>Tax Invoice : INW51668</t>
  </si>
  <si>
    <t>ATT; MARK</t>
  </si>
  <si>
    <t>SCH004</t>
  </si>
  <si>
    <t>Tax Invoice : INW51669</t>
  </si>
  <si>
    <t>GLE003</t>
  </si>
  <si>
    <t>Tax Invoice : INW51670</t>
  </si>
  <si>
    <t>Tax Invoice : INW51671</t>
  </si>
  <si>
    <t>VARIOUS ORDERS</t>
  </si>
  <si>
    <t>Tax Invoice : INW51672</t>
  </si>
  <si>
    <t>Tax Invoice : INW51673</t>
  </si>
  <si>
    <t>FAN002</t>
  </si>
  <si>
    <t>Tax Invoice : INW51675</t>
  </si>
  <si>
    <t>Tax Invoice : INW51677</t>
  </si>
  <si>
    <t>OKI001</t>
  </si>
  <si>
    <t>Tax Invoice : INW51678</t>
  </si>
  <si>
    <t>RGM001</t>
  </si>
  <si>
    <t>Tax Invoice : INW51679</t>
  </si>
  <si>
    <t>ATT: ISIAH</t>
  </si>
  <si>
    <t>INO002</t>
  </si>
  <si>
    <t>Tax Invoice : INW51681</t>
  </si>
  <si>
    <t>Tax Invoice : INW51682</t>
  </si>
  <si>
    <t>YOU003</t>
  </si>
  <si>
    <t>Tax Invoice : INW51683</t>
  </si>
  <si>
    <t>Tax Invoice : INW51684</t>
  </si>
  <si>
    <t>Tax Invoice : INW51685</t>
  </si>
  <si>
    <t>Tax Invoice : INW51686</t>
  </si>
  <si>
    <t>Tax Invoice : INW51687</t>
  </si>
  <si>
    <t>EQU003</t>
  </si>
  <si>
    <t>Tax Invoice : INW51688</t>
  </si>
  <si>
    <t>SER009</t>
  </si>
  <si>
    <t>Tax Invoice : INW51689</t>
  </si>
  <si>
    <t>XDL001</t>
  </si>
  <si>
    <t>Tax Invoice : INW51690</t>
  </si>
  <si>
    <t>Tax Invoice : INW51691</t>
  </si>
  <si>
    <t>PO# CNH</t>
  </si>
  <si>
    <t>Tax Invoice : INW51692</t>
  </si>
  <si>
    <t>Tax Invoice : INW51693</t>
  </si>
  <si>
    <t>Tax Invoice : INW51694</t>
  </si>
  <si>
    <t>DME001</t>
  </si>
  <si>
    <t>Tax Invoice : INW51695</t>
  </si>
  <si>
    <t>BEN456</t>
  </si>
  <si>
    <t>Tax Invoice : INW51696</t>
  </si>
  <si>
    <t>Tax Invoice : INW51697</t>
  </si>
  <si>
    <t>Tax Invoice : INW51698</t>
  </si>
  <si>
    <t>PO#23777</t>
  </si>
  <si>
    <t>Tax Invoice : INW51699</t>
  </si>
  <si>
    <t>LUT004</t>
  </si>
  <si>
    <t>Tax Invoice : INW51700</t>
  </si>
  <si>
    <t>Tax Invoice : INW51701</t>
  </si>
  <si>
    <t>Tax Invoice : INW51702</t>
  </si>
  <si>
    <t>URB009</t>
  </si>
  <si>
    <t>Tax Invoice : INW51703</t>
  </si>
  <si>
    <t>PO: GOVENDAR</t>
  </si>
  <si>
    <t>Tax Invoice : INW51704</t>
  </si>
  <si>
    <t>PO#10333</t>
  </si>
  <si>
    <t>UGF001</t>
  </si>
  <si>
    <t>Tax Invoice : INW51705</t>
  </si>
  <si>
    <t>PO: 0023496</t>
  </si>
  <si>
    <t>TET001</t>
  </si>
  <si>
    <t>Tax Invoice : INW51706</t>
  </si>
  <si>
    <t>PO 4568-2</t>
  </si>
  <si>
    <t>Tax Invoice : INW51707</t>
  </si>
  <si>
    <t>PO: 0023495</t>
  </si>
  <si>
    <t>Tax Invoice : INW51708</t>
  </si>
  <si>
    <t>Tax Invoice : INW51709</t>
  </si>
  <si>
    <t>Tax Invoice : INW51710</t>
  </si>
  <si>
    <t>LLM001</t>
  </si>
  <si>
    <t>Tax Invoice : INW51711</t>
  </si>
  <si>
    <t>ATT: LLOYD</t>
  </si>
  <si>
    <t>Tax Invoice : INW51712</t>
  </si>
  <si>
    <t>Tax Invoice : INW51713</t>
  </si>
  <si>
    <t>Tax Invoice : INW51714</t>
  </si>
  <si>
    <t>PO#1741</t>
  </si>
  <si>
    <t>Tax Invoice : INW51715</t>
  </si>
  <si>
    <t>Tax Invoice : INW51716</t>
  </si>
  <si>
    <t>ATT: PIETER</t>
  </si>
  <si>
    <t>Tax Invoice : INW51717</t>
  </si>
  <si>
    <t>PO# 6269 - 27</t>
  </si>
  <si>
    <t>Tax Invoice : INW51718</t>
  </si>
  <si>
    <t>Tax Invoice : INW51719</t>
  </si>
  <si>
    <t>Tax Invoice : INW51720</t>
  </si>
  <si>
    <t>ATT:LINMARI</t>
  </si>
  <si>
    <t>Tax Invoice : INW51721</t>
  </si>
  <si>
    <t>105979 - PART 1</t>
  </si>
  <si>
    <t>Tax Invoice : INW51722</t>
  </si>
  <si>
    <t>Tax Invoice : INW51723</t>
  </si>
  <si>
    <t>Tax Invoice : INW51724</t>
  </si>
  <si>
    <t>PO# REQ677</t>
  </si>
  <si>
    <t>HOB001</t>
  </si>
  <si>
    <t>Tax Invoice : INW51725</t>
  </si>
  <si>
    <t>Tax Invoice : INW51726</t>
  </si>
  <si>
    <t>Tax Invoice : INW51727</t>
  </si>
  <si>
    <t>Tax Invoice : INW51728</t>
  </si>
  <si>
    <t>Tax Invoice : INW51729</t>
  </si>
  <si>
    <t>Tax Invoice : INW51730</t>
  </si>
  <si>
    <t>ATT: DAMIEN</t>
  </si>
  <si>
    <t>Tax Invoice : INW51731</t>
  </si>
  <si>
    <t>POD08755</t>
  </si>
  <si>
    <t>Tax Invoice : INW51732</t>
  </si>
  <si>
    <t>BEC002</t>
  </si>
  <si>
    <t>Tax Invoice : INW51733</t>
  </si>
  <si>
    <t>PO# 144</t>
  </si>
  <si>
    <t>Tax Invoice : INW51734</t>
  </si>
  <si>
    <t>Tax Invoice : INW51735</t>
  </si>
  <si>
    <t>Tax Invoice : INW51736</t>
  </si>
  <si>
    <t>POD08758</t>
  </si>
  <si>
    <t>LEE011</t>
  </si>
  <si>
    <t>Tax Invoice : INW51737</t>
  </si>
  <si>
    <t>ATT:LEE</t>
  </si>
  <si>
    <t>Tax Invoice : INW51738</t>
  </si>
  <si>
    <t>Tax Invoice : INW51739</t>
  </si>
  <si>
    <t>DES037</t>
  </si>
  <si>
    <t>Tax Invoice : INW51740</t>
  </si>
  <si>
    <t>PO#11</t>
  </si>
  <si>
    <t>DUP002</t>
  </si>
  <si>
    <t>Tax Invoice : INW51741</t>
  </si>
  <si>
    <t>ATT: NEIL</t>
  </si>
  <si>
    <t>CTB001</t>
  </si>
  <si>
    <t>Tax Invoice : INW51742</t>
  </si>
  <si>
    <t>Tax Invoice : INW51743</t>
  </si>
  <si>
    <t>Tax Invoice : INW51744</t>
  </si>
  <si>
    <t>CLA012</t>
  </si>
  <si>
    <t>Tax Invoice : INW51745</t>
  </si>
  <si>
    <t>Tax Invoice : INW51746</t>
  </si>
  <si>
    <t>Tax Invoice : INW51747</t>
  </si>
  <si>
    <t>POD08760</t>
  </si>
  <si>
    <t>Tax Invoice : INW51748</t>
  </si>
  <si>
    <t>ATT:EMIL</t>
  </si>
  <si>
    <t>Tax Invoice : INW51749</t>
  </si>
  <si>
    <t>Tax Invoice : INW51750</t>
  </si>
  <si>
    <t>PO# 4830</t>
  </si>
  <si>
    <t>Tax Invoice : INW51751</t>
  </si>
  <si>
    <t>SKY002</t>
  </si>
  <si>
    <t>Tax Invoice : INW51752</t>
  </si>
  <si>
    <t>Tax Invoice : INW51753</t>
  </si>
  <si>
    <t>Tax Invoice : INW51754</t>
  </si>
  <si>
    <t>Tax Invoice : INW51755</t>
  </si>
  <si>
    <t>Tax Invoice : INW51756</t>
  </si>
  <si>
    <t>PO: 0023507</t>
  </si>
  <si>
    <t>Tax Invoice : INW51757</t>
  </si>
  <si>
    <t>Tax Invoice : INW51758</t>
  </si>
  <si>
    <t>PO#19634</t>
  </si>
  <si>
    <t>Tax Invoice : INW51759</t>
  </si>
  <si>
    <t>Tax Invoice : INW51760</t>
  </si>
  <si>
    <t>Tax Invoice : INW51761</t>
  </si>
  <si>
    <t>BAR016</t>
  </si>
  <si>
    <t>Tax Invoice : INW51762</t>
  </si>
  <si>
    <t>Tax Invoice : INW51763</t>
  </si>
  <si>
    <t>PO#LARA</t>
  </si>
  <si>
    <t>PUL001</t>
  </si>
  <si>
    <t>Tax Invoice : INW51764</t>
  </si>
  <si>
    <t>GOD001</t>
  </si>
  <si>
    <t>Tax Invoice : INW51765</t>
  </si>
  <si>
    <t>ESTIMATED QUOTE</t>
  </si>
  <si>
    <t>Tax Invoice : INW51766</t>
  </si>
  <si>
    <t>PO: 15985</t>
  </si>
  <si>
    <t>Tax Invoice : INW51767</t>
  </si>
  <si>
    <t>Tax Invoice : INW51768</t>
  </si>
  <si>
    <t>Tax Invoice : INW51769</t>
  </si>
  <si>
    <t>Tax Invoice : INW51770</t>
  </si>
  <si>
    <t>Tax Invoice : INW51771</t>
  </si>
  <si>
    <t>Tax Invoice : INW51772</t>
  </si>
  <si>
    <t>LUK002</t>
  </si>
  <si>
    <t>Tax Invoice : INW51773</t>
  </si>
  <si>
    <t>MAP001</t>
  </si>
  <si>
    <t>Tax Invoice : INW51774</t>
  </si>
  <si>
    <t>ATT: SBU</t>
  </si>
  <si>
    <t>Tax Invoice : INW51775</t>
  </si>
  <si>
    <t>PUR021</t>
  </si>
  <si>
    <t>Tax Invoice : INW51776</t>
  </si>
  <si>
    <t>PREB00</t>
  </si>
  <si>
    <t>Tax Invoice : INW51777</t>
  </si>
  <si>
    <t>Tax Invoice : INW51778</t>
  </si>
  <si>
    <t>ATT: PAM</t>
  </si>
  <si>
    <t>FOA001</t>
  </si>
  <si>
    <t>Tax Invoice : INW51779</t>
  </si>
  <si>
    <t>Tax Invoice : INW51780</t>
  </si>
  <si>
    <t>Tax Invoice : INW51781</t>
  </si>
  <si>
    <t>Tax Invoice : INW51782</t>
  </si>
  <si>
    <t>ATT; NESH</t>
  </si>
  <si>
    <t>HEL004</t>
  </si>
  <si>
    <t>Tax Invoice : INW51783</t>
  </si>
  <si>
    <t>ATT: METZKER</t>
  </si>
  <si>
    <t>Tax Invoice : INW51784</t>
  </si>
  <si>
    <t>Tax Invoice : INW51785</t>
  </si>
  <si>
    <t>Tax Invoice : INW51786</t>
  </si>
  <si>
    <t>Tax Invoice : INW51787</t>
  </si>
  <si>
    <t>Tax Invoice : INW51788</t>
  </si>
  <si>
    <t>Tax Invoice : INW51789</t>
  </si>
  <si>
    <t>Tax Invoice : INW51790</t>
  </si>
  <si>
    <t>CRA003</t>
  </si>
  <si>
    <t>Tax Invoice : INW51791</t>
  </si>
  <si>
    <t>Tax Invoice : INW51792</t>
  </si>
  <si>
    <t>Tax Invoice : INW51793</t>
  </si>
  <si>
    <t>ATT: ROY HATT</t>
  </si>
  <si>
    <t>Tax Invoice : INW51794</t>
  </si>
  <si>
    <t>Tax Invoice : INW51795</t>
  </si>
  <si>
    <t>Tax Invoice : INW51796</t>
  </si>
  <si>
    <t>Tax Invoice : INW51797</t>
  </si>
  <si>
    <t>Tax Invoice : INW51798</t>
  </si>
  <si>
    <t>REF: INW50149</t>
  </si>
  <si>
    <t>Tax Invoice : INW51799</t>
  </si>
  <si>
    <t>Tax Invoice : INW51800</t>
  </si>
  <si>
    <t>POD08621</t>
  </si>
  <si>
    <t>Tax Invoice : INW51801</t>
  </si>
  <si>
    <t>Tax Invoice : INW51802</t>
  </si>
  <si>
    <t>Tax Invoice : INW51803</t>
  </si>
  <si>
    <t>D-NOTE100</t>
  </si>
  <si>
    <t>INN002</t>
  </si>
  <si>
    <t>Tax Invoice : INW51804</t>
  </si>
  <si>
    <t>PO#ALFANSO</t>
  </si>
  <si>
    <t>JEA002</t>
  </si>
  <si>
    <t>Tax Invoice : INW51805</t>
  </si>
  <si>
    <t>Tax Invoice : INW51806</t>
  </si>
  <si>
    <t>16/06/2026</t>
  </si>
  <si>
    <t>Tax Invoice : INW51807</t>
  </si>
  <si>
    <t>Tax Invoice : INW51808</t>
  </si>
  <si>
    <t>Tax Invoice : INW51809</t>
  </si>
  <si>
    <t>ABR005</t>
  </si>
  <si>
    <t>Tax Invoice : INW51810</t>
  </si>
  <si>
    <t>Tax Invoice : INW51811</t>
  </si>
  <si>
    <t>PO#AGGENEYS</t>
  </si>
  <si>
    <t>Tax Invoice : INW51812</t>
  </si>
  <si>
    <t>Tax Invoice : INW51813</t>
  </si>
  <si>
    <t>Tax Invoice : INW51814</t>
  </si>
  <si>
    <t>PO#97353</t>
  </si>
  <si>
    <t>Tax Invoice : INW51815</t>
  </si>
  <si>
    <t>Tax Invoice : INW51816</t>
  </si>
  <si>
    <t>LEG003</t>
  </si>
  <si>
    <t>Tax Invoice : INW51817</t>
  </si>
  <si>
    <t>Tax Invoice : INW51818</t>
  </si>
  <si>
    <t>PO# 39411</t>
  </si>
  <si>
    <t>Tax Invoice : INW51819</t>
  </si>
  <si>
    <t>ATT: BATISWA</t>
  </si>
  <si>
    <t>TOP007</t>
  </si>
  <si>
    <t>Tax Invoice : INW51820</t>
  </si>
  <si>
    <t>Tax Invoice : INW51821</t>
  </si>
  <si>
    <t>Tax Invoice : INW51822</t>
  </si>
  <si>
    <t>ATT:YASEEN</t>
  </si>
  <si>
    <t>LEA093</t>
  </si>
  <si>
    <t>Tax Invoice : INW51823</t>
  </si>
  <si>
    <t>ATT: JODIE</t>
  </si>
  <si>
    <t>Tax Invoice : INW51824</t>
  </si>
  <si>
    <t>Tax Invoice : INW51825</t>
  </si>
  <si>
    <t>Tax Invoice : INW51826</t>
  </si>
  <si>
    <t>FUR006</t>
  </si>
  <si>
    <t>Tax Invoice : INW51827</t>
  </si>
  <si>
    <t>Tax Invoice : INW51828</t>
  </si>
  <si>
    <t>Tax Invoice : INW51829</t>
  </si>
  <si>
    <t>Tax Invoice : INW51830</t>
  </si>
  <si>
    <t>Tax Invoice : INW51831</t>
  </si>
  <si>
    <t>Tax Invoice : INW51832</t>
  </si>
  <si>
    <t>Tax Invoice : INW51833</t>
  </si>
  <si>
    <t>ROS002</t>
  </si>
  <si>
    <t>Tax Invoice : INW51834</t>
  </si>
  <si>
    <t>LMA001</t>
  </si>
  <si>
    <t>Tax Invoice : INW51835</t>
  </si>
  <si>
    <t>Tax Invoice : INW51836</t>
  </si>
  <si>
    <t>Tax Invoice : INW51837</t>
  </si>
  <si>
    <t>ATT; STEVE</t>
  </si>
  <si>
    <t>Tax Invoice : INW51838</t>
  </si>
  <si>
    <t>MID003</t>
  </si>
  <si>
    <t>Tax Invoice : INW51839</t>
  </si>
  <si>
    <t>Tax Invoice : INW51840</t>
  </si>
  <si>
    <t>CK -P30242</t>
  </si>
  <si>
    <t>Tax Invoice : INW51841</t>
  </si>
  <si>
    <t>STR001-STOCK</t>
  </si>
  <si>
    <t>Tax Invoice : INW51842</t>
  </si>
  <si>
    <t>BEN457</t>
  </si>
  <si>
    <t>Tax Invoice : INW51843</t>
  </si>
  <si>
    <t>ANJ001</t>
  </si>
  <si>
    <t>Tax Invoice : INW51844</t>
  </si>
  <si>
    <t>ALW010</t>
  </si>
  <si>
    <t>Tax Invoice : INW51845</t>
  </si>
  <si>
    <t>STO007</t>
  </si>
  <si>
    <t>Tax Invoice : INW51846</t>
  </si>
  <si>
    <t>POD08759</t>
  </si>
  <si>
    <t>Tax Invoice : INW51847</t>
  </si>
  <si>
    <t>ATT: BASIL</t>
  </si>
  <si>
    <t>Tax Invoice : INW51848</t>
  </si>
  <si>
    <t>ATT:NADIA</t>
  </si>
  <si>
    <t>Tax Invoice : INW51849</t>
  </si>
  <si>
    <t>Tax Invoice : INW51850</t>
  </si>
  <si>
    <t>PO: 0023526</t>
  </si>
  <si>
    <t>Tax Invoice : INW51851</t>
  </si>
  <si>
    <t>Tax Invoice : INW51852</t>
  </si>
  <si>
    <t>ATT :ROY HATT</t>
  </si>
  <si>
    <t>Tax Invoice : INW51853</t>
  </si>
  <si>
    <t>PO#COTO</t>
  </si>
  <si>
    <t>Tax Invoice : INW51854</t>
  </si>
  <si>
    <t>Tax Invoice : INW51855</t>
  </si>
  <si>
    <t>Tax Invoice : INW51856</t>
  </si>
  <si>
    <t>BCI001</t>
  </si>
  <si>
    <t>Tax Invoice : INW51857</t>
  </si>
  <si>
    <t>Tax Invoice : INW51858</t>
  </si>
  <si>
    <t>Tax Invoice : INW51859</t>
  </si>
  <si>
    <t>PO#39422</t>
  </si>
  <si>
    <t>Tax Invoice : INW51860</t>
  </si>
  <si>
    <t>Tax Invoice : INW51861</t>
  </si>
  <si>
    <t>Tax Invoice : INW51862</t>
  </si>
  <si>
    <t>Tax Invoice : INW51863</t>
  </si>
  <si>
    <t>EIG001</t>
  </si>
  <si>
    <t>Tax Invoice : INW51864</t>
  </si>
  <si>
    <t>ATT: DAWN</t>
  </si>
  <si>
    <t>Tax Invoice : INW51865</t>
  </si>
  <si>
    <t>Tax Invoice : INW51866</t>
  </si>
  <si>
    <t>PO# 39427</t>
  </si>
  <si>
    <t>LEG005</t>
  </si>
  <si>
    <t>Tax Invoice : INW51867</t>
  </si>
  <si>
    <t>ATT: KRIESEN/JUDY</t>
  </si>
  <si>
    <t>Tax Invoice : INW51868</t>
  </si>
  <si>
    <t>PO# 39434</t>
  </si>
  <si>
    <t>TAN008</t>
  </si>
  <si>
    <t>Tax Invoice : INW51869</t>
  </si>
  <si>
    <t>Tax Invoice : INW51870</t>
  </si>
  <si>
    <t>Tax Invoice : INW51871</t>
  </si>
  <si>
    <t>Tax Invoice : INW51872</t>
  </si>
  <si>
    <t>Tax Invoice : INW51873</t>
  </si>
  <si>
    <t>JET002</t>
  </si>
  <si>
    <t>Tax Invoice : INW51874</t>
  </si>
  <si>
    <t>Tax Invoice : INW51875</t>
  </si>
  <si>
    <t>TAR002</t>
  </si>
  <si>
    <t>Tax Invoice : INW51876</t>
  </si>
  <si>
    <t>WAN002</t>
  </si>
  <si>
    <t>Tax Invoice : INW51877</t>
  </si>
  <si>
    <t>Tax Invoice : INW51878</t>
  </si>
  <si>
    <t>Tax Invoice : INW51879</t>
  </si>
  <si>
    <t>MOKGWETSI KITCHEN</t>
  </si>
  <si>
    <t>Tax Invoice : INW51880</t>
  </si>
  <si>
    <t>Tax Invoice : INW51881</t>
  </si>
  <si>
    <t>Tax Invoice : INW51882</t>
  </si>
  <si>
    <t>GOM001</t>
  </si>
  <si>
    <t>Tax Invoice : INW51883</t>
  </si>
  <si>
    <t>BSE001</t>
  </si>
  <si>
    <t>Tax Invoice : INW51884</t>
  </si>
  <si>
    <t>PO#JUN015</t>
  </si>
  <si>
    <t>Tax Invoice : INW51885</t>
  </si>
  <si>
    <t>Tax Invoice : INW51886</t>
  </si>
  <si>
    <t>Tax Invoice : INW51887</t>
  </si>
  <si>
    <t>Tax Invoice : INW51888</t>
  </si>
  <si>
    <t>FOR009</t>
  </si>
  <si>
    <t>Tax Invoice : INW51889</t>
  </si>
  <si>
    <t>PO#CLIENT TO VIEW</t>
  </si>
  <si>
    <t>THE075</t>
  </si>
  <si>
    <t>Tax Invoice : INW51890</t>
  </si>
  <si>
    <t>PO:010040</t>
  </si>
  <si>
    <t>Tax Invoice : INW51891</t>
  </si>
  <si>
    <t>PO: CARMEN BROOKS</t>
  </si>
  <si>
    <t>Tax Invoice : INW51892</t>
  </si>
  <si>
    <t>Tax Invoice : INW51893</t>
  </si>
  <si>
    <t>Tax Invoice : INW51894</t>
  </si>
  <si>
    <t>Tax Invoice : INW51895</t>
  </si>
  <si>
    <t>Tax Invoice : INW51896</t>
  </si>
  <si>
    <t>Tax Invoice : INW51897</t>
  </si>
  <si>
    <t>Tax Invoice : INW51898</t>
  </si>
  <si>
    <t>Tax Invoice : INW51899</t>
  </si>
  <si>
    <t>FIL015</t>
  </si>
  <si>
    <t>Tax Invoice : INW51900</t>
  </si>
  <si>
    <t>MOB005</t>
  </si>
  <si>
    <t>Tax Invoice : INW51901</t>
  </si>
  <si>
    <t>PO# 113399</t>
  </si>
  <si>
    <t>Tax Invoice : INW51902</t>
  </si>
  <si>
    <t>Tax Invoice : INW51903</t>
  </si>
  <si>
    <t>Tax Invoice : INW51904</t>
  </si>
  <si>
    <t>Tax Invoice : INW51905</t>
  </si>
  <si>
    <t>AJK003</t>
  </si>
  <si>
    <t>Tax Invoice : INW51906</t>
  </si>
  <si>
    <t>Tax Invoice : INW51907</t>
  </si>
  <si>
    <t>Tax Invoice : INW51908</t>
  </si>
  <si>
    <t>CAP028</t>
  </si>
  <si>
    <t>Tax Invoice : INW51909</t>
  </si>
  <si>
    <t>Tax Invoice : INW51910</t>
  </si>
  <si>
    <t>Tax Invoice : INW51911</t>
  </si>
  <si>
    <t>Tax Invoice : INW51912</t>
  </si>
  <si>
    <t>TLT001</t>
  </si>
  <si>
    <t>Tax Invoice : INW51913</t>
  </si>
  <si>
    <t>LEA053</t>
  </si>
  <si>
    <t>Tax Invoice : INW51914</t>
  </si>
  <si>
    <t>Tax Invoice : INW51915</t>
  </si>
  <si>
    <t>ATT: EDDELS JHB</t>
  </si>
  <si>
    <t>Tax Invoice : INW51916</t>
  </si>
  <si>
    <t>Tax Invoice : INW51917</t>
  </si>
  <si>
    <t>Tax Invoice : INW51918</t>
  </si>
  <si>
    <t>Tax Invoice : INW51919</t>
  </si>
  <si>
    <t>Tax Invoice : INW51920</t>
  </si>
  <si>
    <t>Tax Invoice : INW51921</t>
  </si>
  <si>
    <t>POD08556</t>
  </si>
  <si>
    <t>Tax Invoice : INW51922</t>
  </si>
  <si>
    <t>Tax Invoice : INW51923</t>
  </si>
  <si>
    <t>Tax Invoice : INW51924</t>
  </si>
  <si>
    <t>Tax Invoice : INW51925</t>
  </si>
  <si>
    <t>Tax Invoice : INW51926</t>
  </si>
  <si>
    <t>Tax Invoice : INW51927</t>
  </si>
  <si>
    <t>Tax Invoice : INW51928</t>
  </si>
  <si>
    <t>Tax Invoice : INW51929</t>
  </si>
  <si>
    <t>Tax Invoice : INW51930</t>
  </si>
  <si>
    <t>Tax Invoice : INW51931</t>
  </si>
  <si>
    <t>Tax Invoice : INW51932</t>
  </si>
  <si>
    <t>Tax Invoice : INW51933</t>
  </si>
  <si>
    <t>Tax Invoice : INW51934</t>
  </si>
  <si>
    <t>Tax Invoice : INW51935</t>
  </si>
  <si>
    <t>ATT:PREM</t>
  </si>
  <si>
    <t>Tax Invoice : INW51936</t>
  </si>
  <si>
    <t>Tax Invoice : INW51937</t>
  </si>
  <si>
    <t>Tax Invoice : INW51938</t>
  </si>
  <si>
    <t>Tax Invoice : INW51939</t>
  </si>
  <si>
    <t>PO# 38497</t>
  </si>
  <si>
    <t>PAT010</t>
  </si>
  <si>
    <t>Tax Invoice : INW51940</t>
  </si>
  <si>
    <t>Tax Invoice : INW51941</t>
  </si>
  <si>
    <t>STR002</t>
  </si>
  <si>
    <t>Tax Invoice : INW51942</t>
  </si>
  <si>
    <t>Tax Invoice : INW51943</t>
  </si>
  <si>
    <t>Tax Invoice : INW51944</t>
  </si>
  <si>
    <t>Tax Invoice : INW51945</t>
  </si>
  <si>
    <t>Tax Invoice : INW51946</t>
  </si>
  <si>
    <t>Tax Invoice : INW51947</t>
  </si>
  <si>
    <t>Tax Invoice : INW51948</t>
  </si>
  <si>
    <t>Tax Invoice : INW51949</t>
  </si>
  <si>
    <t>Tax Invoice : INW51950</t>
  </si>
  <si>
    <t>Tax Invoice : INW51951</t>
  </si>
  <si>
    <t>Tax Invoice : INW51952</t>
  </si>
  <si>
    <t>POD08657</t>
  </si>
  <si>
    <t>Tax Invoice : INW51953</t>
  </si>
  <si>
    <t>Tax Invoice : INW51954</t>
  </si>
  <si>
    <t>Tax Invoice : INW51955</t>
  </si>
  <si>
    <t>Tax Invoice : INW51956</t>
  </si>
  <si>
    <t>Tax Invoice : INW51957</t>
  </si>
  <si>
    <t>DN275/34</t>
  </si>
  <si>
    <t>LEO007</t>
  </si>
  <si>
    <t>Tax Invoice : INW51958</t>
  </si>
  <si>
    <t>COMM INV: 918/2026</t>
  </si>
  <si>
    <t>Tax Invoice : INW51959</t>
  </si>
  <si>
    <t>OHU001</t>
  </si>
  <si>
    <t>Tax Invoice : INW51960</t>
  </si>
  <si>
    <t>Tax Invoice : INW51961</t>
  </si>
  <si>
    <t>PO#1743</t>
  </si>
  <si>
    <t>Tax Invoice : INW51962</t>
  </si>
  <si>
    <t>Tax Invoice : INW51963</t>
  </si>
  <si>
    <t>PO#19643</t>
  </si>
  <si>
    <t>Tax Invoice : INW51964</t>
  </si>
  <si>
    <t>ATT:ESANNE</t>
  </si>
  <si>
    <t>THE018</t>
  </si>
  <si>
    <t>Tax Invoice : INW51965</t>
  </si>
  <si>
    <t>BALRAM 2313</t>
  </si>
  <si>
    <t>LEA030</t>
  </si>
  <si>
    <t>Tax Invoice : INW51966</t>
  </si>
  <si>
    <t>Tax Invoice : INW51967</t>
  </si>
  <si>
    <t>PET008</t>
  </si>
  <si>
    <t>Tax Invoice : INW51968</t>
  </si>
  <si>
    <t>Tax Invoice : INW51969</t>
  </si>
  <si>
    <t>Tax Invoice : INW51970</t>
  </si>
  <si>
    <t>ACL001</t>
  </si>
  <si>
    <t>Tax Invoice : INW51971</t>
  </si>
  <si>
    <t>Tax Invoice : INW51972</t>
  </si>
  <si>
    <t>ATT: ISOBEL</t>
  </si>
  <si>
    <t>Tax Invoice : INW51973</t>
  </si>
  <si>
    <t>Tax Invoice : INW51974</t>
  </si>
  <si>
    <t>Tax Invoice : INW51975</t>
  </si>
  <si>
    <t>Tax Invoice : INW51976</t>
  </si>
  <si>
    <t>Tax Invoice : INW51977</t>
  </si>
  <si>
    <t>Tax Invoice : INW51978</t>
  </si>
  <si>
    <t>Tax Invoice : INW51979</t>
  </si>
  <si>
    <t>Tax Invoice : INW51980</t>
  </si>
  <si>
    <t>PO#10339</t>
  </si>
  <si>
    <t>Tax Invoice : INW51981</t>
  </si>
  <si>
    <t>Tax Invoice : INW51982</t>
  </si>
  <si>
    <t>Tax Invoice : INW51983</t>
  </si>
  <si>
    <t>Tax Invoice : INW51984</t>
  </si>
  <si>
    <t>Tax Invoice : INW51985</t>
  </si>
  <si>
    <t>Tax Invoice : INW51986</t>
  </si>
  <si>
    <t>NGA001</t>
  </si>
  <si>
    <t>Tax Invoice : INW51987</t>
  </si>
  <si>
    <t>ATT: NG AUTO</t>
  </si>
  <si>
    <t>Tax Invoice : INW51988</t>
  </si>
  <si>
    <t>PO#10338</t>
  </si>
  <si>
    <t>Tax Invoice : INW51989</t>
  </si>
  <si>
    <t>BOR013</t>
  </si>
  <si>
    <t>Tax Invoice : INW51990</t>
  </si>
  <si>
    <t>Tax Invoice : INW51991</t>
  </si>
  <si>
    <t>Tax Invoice : INW51992</t>
  </si>
  <si>
    <t>Tax Invoice : INW51993</t>
  </si>
  <si>
    <t>Tax Invoice : INW51994</t>
  </si>
  <si>
    <t>ATT; DAVE</t>
  </si>
  <si>
    <t>Tax Invoice : INW51995</t>
  </si>
  <si>
    <t>PO: 0023556</t>
  </si>
  <si>
    <t>Tax Invoice : INW51996</t>
  </si>
  <si>
    <t>Tax Invoice : INW51997</t>
  </si>
  <si>
    <t>COM010</t>
  </si>
  <si>
    <t>Tax Invoice : INW51998</t>
  </si>
  <si>
    <t>Tax Invoice : INW51999</t>
  </si>
  <si>
    <t>MYS002</t>
  </si>
  <si>
    <t>Tax Invoice : INW52000</t>
  </si>
  <si>
    <t>ATT: KERRY</t>
  </si>
  <si>
    <t>Tax Invoice : INW52001</t>
  </si>
  <si>
    <t>Tax Invoice : INW52002</t>
  </si>
  <si>
    <t>HAR009</t>
  </si>
  <si>
    <t>Tax Invoice : INW52003</t>
  </si>
  <si>
    <t>Tax Invoice : INW52004</t>
  </si>
  <si>
    <t>Tax Invoice : INW52005</t>
  </si>
  <si>
    <t>MEB001</t>
  </si>
  <si>
    <t>Tax Invoice : INW52006</t>
  </si>
  <si>
    <t>Tax Invoice : INW52007</t>
  </si>
  <si>
    <t>Tax Invoice : INW52008</t>
  </si>
  <si>
    <t>ETS002</t>
  </si>
  <si>
    <t>Tax Invoice : INW52009</t>
  </si>
  <si>
    <t>Tax Invoice : INW52010</t>
  </si>
  <si>
    <t>MAN021</t>
  </si>
  <si>
    <t>Tax Invoice : INW52011</t>
  </si>
  <si>
    <t>ATT: MANUAL</t>
  </si>
  <si>
    <t>Tax Invoice : INW52012</t>
  </si>
  <si>
    <t>PO: 3318</t>
  </si>
  <si>
    <t>CON011</t>
  </si>
  <si>
    <t>Tax Invoice : INW52013</t>
  </si>
  <si>
    <t>Tax Invoice : INW52014</t>
  </si>
  <si>
    <t>ATT: CANDICE SHOWROOM SPC</t>
  </si>
  <si>
    <t>Tax Invoice : INW52015</t>
  </si>
  <si>
    <t>Tax Invoice : INW52016</t>
  </si>
  <si>
    <t>Tax Invoice : INW52017</t>
  </si>
  <si>
    <t>Tax Invoice : INW52018</t>
  </si>
  <si>
    <t>Tax Invoice : INW52019</t>
  </si>
  <si>
    <t>Tax Invoice : INW52020</t>
  </si>
  <si>
    <t>148 - DR JAINISHA</t>
  </si>
  <si>
    <t>Tax Invoice : INW52021</t>
  </si>
  <si>
    <t>Tax Invoice : INW52022</t>
  </si>
  <si>
    <t>POD8776 - JONATHAN</t>
  </si>
  <si>
    <t>Tax Invoice : INW52023</t>
  </si>
  <si>
    <t>Tax Invoice : INW52024</t>
  </si>
  <si>
    <t>ATT: TOMMYQ</t>
  </si>
  <si>
    <t>Tax Invoice : INW52025</t>
  </si>
  <si>
    <t>Tax Invoice : INW52026</t>
  </si>
  <si>
    <t>Tax Invoice : INW52027</t>
  </si>
  <si>
    <t>Tax Invoice : INW52028</t>
  </si>
  <si>
    <t>PO#K2X3+K3+3</t>
  </si>
  <si>
    <t>Tax Invoice : INW52029</t>
  </si>
  <si>
    <t>Tax Invoice : INW52030</t>
  </si>
  <si>
    <t>Tax Invoice : INW52031</t>
  </si>
  <si>
    <t>Tax Invoice : INW52032</t>
  </si>
  <si>
    <t>Tax Invoice : INW52033</t>
  </si>
  <si>
    <t>LIG003</t>
  </si>
  <si>
    <t>Tax Invoice : INW52034</t>
  </si>
  <si>
    <t>Tax Invoice : INW52035</t>
  </si>
  <si>
    <t>VAL003</t>
  </si>
  <si>
    <t>Tax Invoice : INW52036</t>
  </si>
  <si>
    <t>Tax Invoice : INW52037</t>
  </si>
  <si>
    <t>Tax Invoice : INW52038</t>
  </si>
  <si>
    <t>Tax Invoice : INW52039</t>
  </si>
  <si>
    <t>Tax Invoice : INW52040</t>
  </si>
  <si>
    <t>Tax Invoice : INW52041</t>
  </si>
  <si>
    <t>Tax Invoice : INW52042</t>
  </si>
  <si>
    <t>WEE001</t>
  </si>
  <si>
    <t>Tax Invoice : INW52043</t>
  </si>
  <si>
    <t>ISA007</t>
  </si>
  <si>
    <t>Tax Invoice : INW52044</t>
  </si>
  <si>
    <t>Tax Invoice : INW52045</t>
  </si>
  <si>
    <t>PO#26/06/275</t>
  </si>
  <si>
    <t>Tax Invoice : INW52046</t>
  </si>
  <si>
    <t>PO#36064</t>
  </si>
  <si>
    <t>Tax Invoice : INW52047</t>
  </si>
  <si>
    <t>Tax Invoice : INW52048</t>
  </si>
  <si>
    <t>Tax Invoice : INW52049</t>
  </si>
  <si>
    <t>Tax Invoice : INW52050</t>
  </si>
  <si>
    <t>Tax Invoice : INW52051</t>
  </si>
  <si>
    <t>Tax Invoice : INW52052</t>
  </si>
  <si>
    <t>IBR001</t>
  </si>
  <si>
    <t>Tax Invoice : INW52053</t>
  </si>
  <si>
    <t>Tax Invoice : INW52054</t>
  </si>
  <si>
    <t>Tax Invoice : INW52055</t>
  </si>
  <si>
    <t>Tax Invoice : INW52056</t>
  </si>
  <si>
    <t>Tax Invoice : INW52057</t>
  </si>
  <si>
    <t>Tax Invoice : INW52058</t>
  </si>
  <si>
    <t>Tax Invoice : INW52059</t>
  </si>
  <si>
    <t>ATT: LELANI</t>
  </si>
  <si>
    <t>Tax Invoice : INW52060</t>
  </si>
  <si>
    <t>ATT: ELIZABETH</t>
  </si>
  <si>
    <t>LEA065</t>
  </si>
  <si>
    <t>Tax Invoice : INW52061</t>
  </si>
  <si>
    <t>JAC013</t>
  </si>
  <si>
    <t>Tax Invoice : INW52062</t>
  </si>
  <si>
    <t>ATT: JACQUI</t>
  </si>
  <si>
    <t>Tax Invoice : INW52063</t>
  </si>
  <si>
    <t>ATT; BIANCA</t>
  </si>
  <si>
    <t>Tax Invoice : INW52064</t>
  </si>
  <si>
    <t>Tax Invoice : INW52065</t>
  </si>
  <si>
    <t>PLA012</t>
  </si>
  <si>
    <t>Tax Invoice : INW52066</t>
  </si>
  <si>
    <t>Tax Invoice : INW52067</t>
  </si>
  <si>
    <t>ATT: CASH</t>
  </si>
  <si>
    <t>Tax Invoice : INW52068</t>
  </si>
  <si>
    <t>Tax Invoice : INW52069</t>
  </si>
  <si>
    <t>DIO001</t>
  </si>
  <si>
    <t>Tax Invoice : INW52070</t>
  </si>
  <si>
    <t>Tax Invoice : INW52071</t>
  </si>
  <si>
    <t>Tax Invoice : INW52072</t>
  </si>
  <si>
    <t>Tax Invoice : INW52073</t>
  </si>
  <si>
    <t>PO106003</t>
  </si>
  <si>
    <t>Tax Invoice : INW52074</t>
  </si>
  <si>
    <t>Tax Invoice : INW52075</t>
  </si>
  <si>
    <t>Tax Invoice : INW52076</t>
  </si>
  <si>
    <t>Tax Invoice : INW52077</t>
  </si>
  <si>
    <t>Tax Invoice : INW52078</t>
  </si>
  <si>
    <t>Tax Invoice : INW52079</t>
  </si>
  <si>
    <t>ATT: EMIL</t>
  </si>
  <si>
    <t>Tax Invoice : INW52080</t>
  </si>
  <si>
    <t>ATT:TALISA</t>
  </si>
  <si>
    <t>Tax Invoice : INW52081</t>
  </si>
  <si>
    <t>Tax Invoice : INW52082</t>
  </si>
  <si>
    <t>Tax Invoice : INW52083</t>
  </si>
  <si>
    <t>Tax Invoice : INW52084</t>
  </si>
  <si>
    <t>Tax Invoice : INW52085</t>
  </si>
  <si>
    <t>Tax Invoice : INW52086</t>
  </si>
  <si>
    <t>Tax Invoice : INW52087</t>
  </si>
  <si>
    <t>Tax Invoice : INW52088</t>
  </si>
  <si>
    <t>Tax Invoice : INW52089</t>
  </si>
  <si>
    <t>PO# 39574</t>
  </si>
  <si>
    <t>BAR019</t>
  </si>
  <si>
    <t>Tax Invoice : INW52090</t>
  </si>
  <si>
    <t>ATT:DAVID</t>
  </si>
  <si>
    <t>Tax Invoice : INW52091</t>
  </si>
  <si>
    <t>PO# 39572</t>
  </si>
  <si>
    <t>Tax Invoice : INW52092</t>
  </si>
  <si>
    <t>PO: WILSON</t>
  </si>
  <si>
    <t>Tax Invoice : INW52093</t>
  </si>
  <si>
    <t>PO# 39580</t>
  </si>
  <si>
    <t>Tax Invoice : INW52094</t>
  </si>
  <si>
    <t>Tax Invoice : INW52095</t>
  </si>
  <si>
    <t>PO# 39573</t>
  </si>
  <si>
    <t>Tax Invoice : INW52096</t>
  </si>
  <si>
    <t>PO# 39579</t>
  </si>
  <si>
    <t>Tax Invoice : INW52097</t>
  </si>
  <si>
    <t>Tax Invoice : INW52098</t>
  </si>
  <si>
    <t>Tax Invoice : INW52099</t>
  </si>
  <si>
    <t>ATT; DAMIEN</t>
  </si>
  <si>
    <t>Tax Invoice : INW52100</t>
  </si>
  <si>
    <t>Tax Invoice : INW52101</t>
  </si>
  <si>
    <t>Tax Invoice : INW52102</t>
  </si>
  <si>
    <t>DTEM01</t>
  </si>
  <si>
    <t>Tax Invoice : INW52103</t>
  </si>
  <si>
    <t>INTE02</t>
  </si>
  <si>
    <t>Tax Invoice : INW52104</t>
  </si>
  <si>
    <t>PO# 26628</t>
  </si>
  <si>
    <t>Tax Invoice : INW52105</t>
  </si>
  <si>
    <t>ATT: ZAID</t>
  </si>
  <si>
    <t>Tax Invoice : INW52106</t>
  </si>
  <si>
    <t>Tax Invoice : INW52107</t>
  </si>
  <si>
    <t>Tax Invoice : INW52108</t>
  </si>
  <si>
    <t>Tax Invoice : INW52109</t>
  </si>
  <si>
    <t>Tax Invoice : INW52110</t>
  </si>
  <si>
    <t>Tax Invoice : INW52111</t>
  </si>
  <si>
    <t>Tax Invoice : INW52113</t>
  </si>
  <si>
    <t>Tax Invoice : INW52114</t>
  </si>
  <si>
    <t>PO: 16054</t>
  </si>
  <si>
    <t>Tax Invoice : INW52115</t>
  </si>
  <si>
    <t>Tax Invoice : INW52116</t>
  </si>
  <si>
    <t>Tax Invoice : INW52117</t>
  </si>
  <si>
    <t>D3F001</t>
  </si>
  <si>
    <t>Tax Invoice : INW52118</t>
  </si>
  <si>
    <t>ELI005</t>
  </si>
  <si>
    <t>Tax Invoice : INW52119</t>
  </si>
  <si>
    <t>Tax Invoice : INW52120</t>
  </si>
  <si>
    <t>Tax Invoice : INW52121</t>
  </si>
  <si>
    <t>Tax Invoice : INW52123</t>
  </si>
  <si>
    <t>Tax Invoice : INW52124</t>
  </si>
  <si>
    <t>Tax Invoice : INW52125</t>
  </si>
  <si>
    <t>Tax Invoice : INW52126</t>
  </si>
  <si>
    <t>Tax Invoice : INW52127</t>
  </si>
  <si>
    <t>Tax Invoice : INW52128</t>
  </si>
  <si>
    <t>Tax Invoice : INW52129</t>
  </si>
  <si>
    <t>Tax Invoice : INW52130</t>
  </si>
  <si>
    <t>Tax Invoice : INW52131</t>
  </si>
  <si>
    <t>MAR037</t>
  </si>
  <si>
    <t>Tax Invoice : INW52132</t>
  </si>
  <si>
    <t>Tax Invoice : INW52133</t>
  </si>
  <si>
    <t>Tax Invoice : INW52134</t>
  </si>
  <si>
    <t>Tax Invoice : INW52135</t>
  </si>
  <si>
    <t>DIE006</t>
  </si>
  <si>
    <t>Tax Invoice : INW52136</t>
  </si>
  <si>
    <t>Tax Invoice : INW52137</t>
  </si>
  <si>
    <t>Tax Invoice : INW52138</t>
  </si>
  <si>
    <t>CAZ001</t>
  </si>
  <si>
    <t>Tax Invoice : INW52139</t>
  </si>
  <si>
    <t>Tax Invoice : INW52140</t>
  </si>
  <si>
    <t>JENNIFER</t>
  </si>
  <si>
    <t>RAG002</t>
  </si>
  <si>
    <t>Tax Invoice : INW52141</t>
  </si>
  <si>
    <t>Tax Invoice : INW52142</t>
  </si>
  <si>
    <t>MAL005</t>
  </si>
  <si>
    <t>Tax Invoice : INW52143</t>
  </si>
  <si>
    <t>Tax Invoice : INW52144</t>
  </si>
  <si>
    <t>Tax Invoice : INW52145</t>
  </si>
  <si>
    <t>PO106012</t>
  </si>
  <si>
    <t>Tax Invoice : INW52146</t>
  </si>
  <si>
    <t>PO#  39639</t>
  </si>
  <si>
    <t>Tax Invoice : INW52147</t>
  </si>
  <si>
    <t>Tax Invoice : INW52148</t>
  </si>
  <si>
    <t>Tax Invoice : INW52149</t>
  </si>
  <si>
    <t>Tax Invoice : INW52150</t>
  </si>
  <si>
    <t>Tax Invoice : INW52151</t>
  </si>
  <si>
    <t>Tax Invoice : INW52152</t>
  </si>
  <si>
    <t>Tax Invoice : INW52153</t>
  </si>
  <si>
    <t>Tax Invoice : INW52154</t>
  </si>
  <si>
    <t>Tax Invoice : INW52155</t>
  </si>
  <si>
    <t>Tax Invoice : INW52156</t>
  </si>
  <si>
    <t>MOF002</t>
  </si>
  <si>
    <t>Tax Invoice : INW52157</t>
  </si>
  <si>
    <t>Tax Invoice : INW52158</t>
  </si>
  <si>
    <t>ATT: MARIO</t>
  </si>
  <si>
    <t>Tax Invoice : INW52159</t>
  </si>
  <si>
    <t>Tax Invoice : INW52160</t>
  </si>
  <si>
    <t>Tax Invoice : INW52161</t>
  </si>
  <si>
    <t>PO# 1696</t>
  </si>
  <si>
    <t>Tax Invoice : INW52162</t>
  </si>
  <si>
    <t>Tax Invoice : INW52163</t>
  </si>
  <si>
    <t>SOL005</t>
  </si>
  <si>
    <t>Tax Invoice : INW52164</t>
  </si>
  <si>
    <t>ATT: BLAKE</t>
  </si>
  <si>
    <t>ROW001</t>
  </si>
  <si>
    <t>Tax Invoice : INW52165</t>
  </si>
  <si>
    <t>PO#0003755</t>
  </si>
  <si>
    <t>Tax Invoice : INW52166</t>
  </si>
  <si>
    <t>Tax Invoice : INW52167</t>
  </si>
  <si>
    <t>Tax Invoice : INW52168</t>
  </si>
  <si>
    <t>Tax Invoice : INW52169</t>
  </si>
  <si>
    <t>Tax Invoice : INW52170</t>
  </si>
  <si>
    <t>Tax Invoice : INW52171</t>
  </si>
  <si>
    <t>WEX001</t>
  </si>
  <si>
    <t>Tax Invoice : INW52172</t>
  </si>
  <si>
    <t>Tax Invoice : INW52173</t>
  </si>
  <si>
    <t>PO# 39681</t>
  </si>
  <si>
    <t>BLU004</t>
  </si>
  <si>
    <t>Tax Invoice : INW52174</t>
  </si>
  <si>
    <t>ATT: MARK</t>
  </si>
  <si>
    <t>Tax Invoice : INW52175</t>
  </si>
  <si>
    <t>Tax Invoice : INW52176</t>
  </si>
  <si>
    <t>ATT: PRINCE</t>
  </si>
  <si>
    <t>Tax Invoice : INW52177</t>
  </si>
  <si>
    <t>Tax Invoice : INW52178</t>
  </si>
  <si>
    <t>Tax Invoice : INW52179</t>
  </si>
  <si>
    <t>Tax Invoice : INW52180</t>
  </si>
  <si>
    <t>WIG001</t>
  </si>
  <si>
    <t>Tax Invoice : INW52181</t>
  </si>
  <si>
    <t>Tax Invoice : INW52182</t>
  </si>
  <si>
    <t>Tax Invoice : INW52183</t>
  </si>
  <si>
    <t>Tax Invoice : INW52184</t>
  </si>
  <si>
    <t>POD08555</t>
  </si>
  <si>
    <t>Tax Invoice : INW52185</t>
  </si>
  <si>
    <t>Tax Invoice : INW52186</t>
  </si>
  <si>
    <t>CAP030</t>
  </si>
  <si>
    <t>Tax Invoice : INW52187</t>
  </si>
  <si>
    <t>Tax Invoice : INW52188</t>
  </si>
  <si>
    <t>OLS001</t>
  </si>
  <si>
    <t>Tax Invoice : INW52189</t>
  </si>
  <si>
    <t>Tax Invoice : INW52190</t>
  </si>
  <si>
    <t>Tax Invoice : INW52191</t>
  </si>
  <si>
    <t>Tax Invoice : INW52192</t>
  </si>
  <si>
    <t>ATT: NESH</t>
  </si>
  <si>
    <t>Tax Invoice : INW52193</t>
  </si>
  <si>
    <t>ATT: CASSANDRA</t>
  </si>
  <si>
    <t>Tax Invoice : INW52194</t>
  </si>
  <si>
    <t>Tax Invoice : INW52195</t>
  </si>
  <si>
    <t>Tax Invoice : INW52196</t>
  </si>
  <si>
    <t>HOU060</t>
  </si>
  <si>
    <t>Tax Invoice : INW52197</t>
  </si>
  <si>
    <t>Tax Invoice : INW52198</t>
  </si>
  <si>
    <t>Tax Invoice : INW52199</t>
  </si>
  <si>
    <t>Tax Invoice : INW52200</t>
  </si>
  <si>
    <t>Tax Invoice : INW52201</t>
  </si>
  <si>
    <t>Tax Invoice : INW52202</t>
  </si>
  <si>
    <t>ATT: ANGELA</t>
  </si>
  <si>
    <t>HOU012</t>
  </si>
  <si>
    <t>Tax Invoice : INW52203</t>
  </si>
  <si>
    <t>Tax Invoice : INW52204</t>
  </si>
  <si>
    <t>Tax Invoice : INW52205</t>
  </si>
  <si>
    <t>Tax Invoice : INW52206</t>
  </si>
  <si>
    <t>Tax Invoice : INW52207</t>
  </si>
  <si>
    <t>Tax Invoice : INW52208</t>
  </si>
  <si>
    <t>Tax Invoice : INW52209</t>
  </si>
  <si>
    <t>Tax Invoice : INW52210</t>
  </si>
  <si>
    <t>Tax Invoice : INW52211</t>
  </si>
  <si>
    <t>BEA006</t>
  </si>
  <si>
    <t>Tax Invoice : INW52212</t>
  </si>
  <si>
    <t>DES01</t>
  </si>
  <si>
    <t>Tax Invoice : INW52213</t>
  </si>
  <si>
    <t>Tax Invoice : INW52214</t>
  </si>
  <si>
    <t>REF: TRANSPORT</t>
  </si>
  <si>
    <t>Tax Invoice : INW52215</t>
  </si>
  <si>
    <t>DEC017</t>
  </si>
  <si>
    <t>Tax Invoice : INW52216</t>
  </si>
  <si>
    <t>Tax Invoice : INW52217</t>
  </si>
  <si>
    <t>Tax Invoice : INW52218</t>
  </si>
  <si>
    <t>Tax Invoice : INW52219</t>
  </si>
  <si>
    <t>Tax Invoice : INW52220</t>
  </si>
  <si>
    <t>Tax Invoice : INW52221</t>
  </si>
  <si>
    <t>Tax Invoice : INW52222</t>
  </si>
  <si>
    <t>CON001</t>
  </si>
  <si>
    <t>Tax Invoice : INW52223</t>
  </si>
  <si>
    <t>POD08773</t>
  </si>
  <si>
    <t>Tax Invoice : INW52224</t>
  </si>
  <si>
    <t>Tax Invoice : INW52225</t>
  </si>
  <si>
    <t>Tax Invoice : INW52226</t>
  </si>
  <si>
    <t>JOR001</t>
  </si>
  <si>
    <t>Tax Invoice : INW52227</t>
  </si>
  <si>
    <t>Tax Invoice : INW52228</t>
  </si>
  <si>
    <t>Tax Invoice : INW52229</t>
  </si>
  <si>
    <t>Tax Invoice : INW52230</t>
  </si>
  <si>
    <t>Tax Invoice : INW52231</t>
  </si>
  <si>
    <t>Tax Invoice : INW52232</t>
  </si>
  <si>
    <t>Tax Invoice : INW52233</t>
  </si>
  <si>
    <t>Tax Invoice : INW52234</t>
  </si>
  <si>
    <t>Tax Invoice : INW52235</t>
  </si>
  <si>
    <t>Tax Invoice : INW52236</t>
  </si>
  <si>
    <t>Tax Invoice : INW52237</t>
  </si>
  <si>
    <t>PO#L/1107</t>
  </si>
  <si>
    <t>GAT005</t>
  </si>
  <si>
    <t>Tax Invoice : INW52238</t>
  </si>
  <si>
    <t>Tax Invoice : INW52239</t>
  </si>
  <si>
    <t>Tax Invoice : INW52240</t>
  </si>
  <si>
    <t>Tax Invoice : INW52241</t>
  </si>
  <si>
    <t>Tax Invoice : INW52242</t>
  </si>
  <si>
    <t>Tax Invoice : INW52243</t>
  </si>
  <si>
    <t>Tax Invoice : INW52244</t>
  </si>
  <si>
    <t>Tax Invoice : INW52245</t>
  </si>
  <si>
    <t>SGB001</t>
  </si>
  <si>
    <t>Tax Invoice : INW52246</t>
  </si>
  <si>
    <t>Tax Invoice : INW52247</t>
  </si>
  <si>
    <t>Tax Invoice : INW52248</t>
  </si>
  <si>
    <t>Tax Invoice : INW52249</t>
  </si>
  <si>
    <t>IND008</t>
  </si>
  <si>
    <t>Tax Invoice : INW52250</t>
  </si>
  <si>
    <t>Tax Invoice : INW52251</t>
  </si>
  <si>
    <t>Tax Invoice : INW52252</t>
  </si>
  <si>
    <t>Tax Invoice : INW52253</t>
  </si>
  <si>
    <t>Tax Invoice : INW52254</t>
  </si>
  <si>
    <t>PO#LOUISE</t>
  </si>
  <si>
    <t>Tax Invoice : INW52255</t>
  </si>
  <si>
    <t>Tax Invoice : INW52256</t>
  </si>
  <si>
    <t>Tax Invoice : INW52257</t>
  </si>
  <si>
    <t>Tax Invoice : INW52258</t>
  </si>
  <si>
    <t>Tax Invoice : INW52259</t>
  </si>
  <si>
    <t>MIN012</t>
  </si>
  <si>
    <t>Tax Invoice : INW52260</t>
  </si>
  <si>
    <t>Tax Invoice : INW52261</t>
  </si>
  <si>
    <t>Tax Invoice : INW52262</t>
  </si>
  <si>
    <t>KER021</t>
  </si>
  <si>
    <t>Tax Invoice : INW52263</t>
  </si>
  <si>
    <t>Tax Invoice : INW52264</t>
  </si>
  <si>
    <t>Tax Invoice : INW52265</t>
  </si>
  <si>
    <t>Tax Invoice : INW52266</t>
  </si>
  <si>
    <t>Tax Invoice : INW52267</t>
  </si>
  <si>
    <t>MIC030</t>
  </si>
  <si>
    <t>Tax Invoice : INW52268</t>
  </si>
  <si>
    <t>Tax Invoice : INW52269</t>
  </si>
  <si>
    <t>HUN001</t>
  </si>
  <si>
    <t>Tax Invoice : INW52270</t>
  </si>
  <si>
    <t>Tax Invoice : INW52271</t>
  </si>
  <si>
    <t>Tax Invoice : INW52272</t>
  </si>
  <si>
    <t>Tax Invoice : INW52273</t>
  </si>
  <si>
    <t>Tax Invoice : INW52274</t>
  </si>
  <si>
    <t>Tax Invoice : INW52275</t>
  </si>
  <si>
    <t>SON005</t>
  </si>
  <si>
    <t>Tax Invoice : INW52276</t>
  </si>
  <si>
    <t>KAR015</t>
  </si>
  <si>
    <t>Tax Invoice : INW52277</t>
  </si>
  <si>
    <t>Tax Invoice : INW52278</t>
  </si>
  <si>
    <t>Tax Invoice : INW52279</t>
  </si>
  <si>
    <t>Tax Invoice : INW52280</t>
  </si>
  <si>
    <t>Tax Invoice : INW52281</t>
  </si>
  <si>
    <t>PO#DW1523</t>
  </si>
  <si>
    <t>Tax Invoice : INW52282</t>
  </si>
  <si>
    <t>Tax Invoice : INW52283</t>
  </si>
  <si>
    <t>Tax Invoice : INW52284</t>
  </si>
  <si>
    <t>Tax Invoice : INW52285</t>
  </si>
  <si>
    <t>COMM INV: 919/2026</t>
  </si>
  <si>
    <t>Tax Invoice : INW52286</t>
  </si>
  <si>
    <t>BAR018</t>
  </si>
  <si>
    <t>Tax Invoice : INW52288</t>
  </si>
  <si>
    <t>Tax Invoice : INW52289</t>
  </si>
  <si>
    <t>PO#TBC</t>
  </si>
  <si>
    <t>Tax Invoice : INW52290</t>
  </si>
  <si>
    <t>ATT: ANA BRUWER</t>
  </si>
  <si>
    <t>Tax Invoice : INW52291</t>
  </si>
  <si>
    <t>KTI001</t>
  </si>
  <si>
    <t>Tax Invoice : INW52292</t>
  </si>
  <si>
    <t>PO#KEVINS HOTEL</t>
  </si>
  <si>
    <t>Tax Invoice : INW52293</t>
  </si>
  <si>
    <t>Tax Invoice : INW52294</t>
  </si>
  <si>
    <t>Tax Invoice : INW52295</t>
  </si>
  <si>
    <t>Tax Invoice : INW52296</t>
  </si>
  <si>
    <t>ATT:KEITH</t>
  </si>
  <si>
    <t>WAL004</t>
  </si>
  <si>
    <t>Tax Invoice : INW52297</t>
  </si>
  <si>
    <t>SA002</t>
  </si>
  <si>
    <t>Tax Invoice : INW52298</t>
  </si>
  <si>
    <t>Tax Invoice : INW52299</t>
  </si>
  <si>
    <t>Tax Invoice : INW52300</t>
  </si>
  <si>
    <t>Tax Invoice : INW52301</t>
  </si>
  <si>
    <t>Tax Invoice : INW52302</t>
  </si>
  <si>
    <t>Tax Invoice : INW52303</t>
  </si>
  <si>
    <t>INT026</t>
  </si>
  <si>
    <t>Tax Invoice : INW52304</t>
  </si>
  <si>
    <t>ATT: THEMBEKA</t>
  </si>
  <si>
    <t>Tax Invoice : INW52306</t>
  </si>
  <si>
    <t>Tax Invoice : INW52307</t>
  </si>
  <si>
    <t>Tax Invoice : INW52308</t>
  </si>
  <si>
    <t>PO#KWF</t>
  </si>
  <si>
    <t>Tax Invoice : INW52309</t>
  </si>
  <si>
    <t>Tax Invoice : INW52310</t>
  </si>
  <si>
    <t>ATT: SEABELO</t>
  </si>
  <si>
    <t>Tax Invoice : INW52311</t>
  </si>
  <si>
    <t>Tax Invoice : INW52312</t>
  </si>
  <si>
    <t>Tax Invoice : INW52313</t>
  </si>
  <si>
    <t>Tax Invoice : INW52314</t>
  </si>
  <si>
    <t>POD08557</t>
  </si>
  <si>
    <t>ITA001</t>
  </si>
  <si>
    <t>Tax Invoice : INW52315</t>
  </si>
  <si>
    <t>NGA002</t>
  </si>
  <si>
    <t>Tax Invoice : INW52316</t>
  </si>
  <si>
    <t>Tax Invoice : INW52317</t>
  </si>
  <si>
    <t>Tax Invoice : INW52318</t>
  </si>
  <si>
    <t>Tax Invoice : INW52319</t>
  </si>
  <si>
    <t>PO#15</t>
  </si>
  <si>
    <t>LEO006</t>
  </si>
  <si>
    <t>Tax Invoice : INW52320</t>
  </si>
  <si>
    <t>Tax Invoice : INW52321</t>
  </si>
  <si>
    <t>CAS003</t>
  </si>
  <si>
    <t>Tax Invoice : INW52322</t>
  </si>
  <si>
    <t>Tax Invoice : INW52323</t>
  </si>
  <si>
    <t>Tax Invoice : INW52324</t>
  </si>
  <si>
    <t>Tax Invoice : INW52325</t>
  </si>
  <si>
    <t>Tax Invoice : INW52326</t>
  </si>
  <si>
    <t>Tax Invoice : INW52327</t>
  </si>
  <si>
    <t>Tax Invoice : INW52328</t>
  </si>
  <si>
    <t>PO#6808</t>
  </si>
  <si>
    <t>Tax Invoice : INW52329</t>
  </si>
  <si>
    <t>Tax Invoice : INW52330</t>
  </si>
  <si>
    <t>Tax Invoice : INW52331</t>
  </si>
  <si>
    <t>Tax Invoice : INW52332</t>
  </si>
  <si>
    <t>Tax Invoice : INW52333</t>
  </si>
  <si>
    <t>Tax Invoice : INW52334</t>
  </si>
  <si>
    <t>Tax Invoice : INW52335</t>
  </si>
  <si>
    <t>Tax Invoice : INW52336</t>
  </si>
  <si>
    <t>Tax Invoice : INW52339</t>
  </si>
  <si>
    <t>Tax Invoice : INW52340</t>
  </si>
  <si>
    <t>TRE008</t>
  </si>
  <si>
    <t>Tax Invoice : INW52341</t>
  </si>
  <si>
    <t>ATT: NUREN</t>
  </si>
  <si>
    <t>Tax Invoice : INW52342</t>
  </si>
  <si>
    <t>PAYMENT RECEIVED ON 23/06</t>
  </si>
  <si>
    <t>Tax Invoice : INW52343</t>
  </si>
  <si>
    <t>VARIOUS PO</t>
  </si>
  <si>
    <t>Tax Invoice : INW52344</t>
  </si>
  <si>
    <t>ATT:LORETTA CLARK</t>
  </si>
  <si>
    <t>Tax Invoice : INW52345</t>
  </si>
  <si>
    <t>Tax Invoice : INW52346</t>
  </si>
  <si>
    <t>AFD JUNE INVOICES</t>
  </si>
  <si>
    <t>KOF001</t>
  </si>
  <si>
    <t>Tax Invoice : INW52347</t>
  </si>
  <si>
    <t>Tax Invoice : INW52348</t>
  </si>
  <si>
    <t>Tax Invoice : INW52349</t>
  </si>
  <si>
    <t>ALD003</t>
  </si>
  <si>
    <t>Tax Invoice : INW52350</t>
  </si>
  <si>
    <t>ATT: BRANDON</t>
  </si>
  <si>
    <t>IKU001</t>
  </si>
  <si>
    <t>Tax Invoice : INW52351</t>
  </si>
  <si>
    <t>Tax Invoice : INW52352</t>
  </si>
  <si>
    <t>PO#REQ916</t>
  </si>
  <si>
    <t>Tax Invoice : INW52353</t>
  </si>
  <si>
    <t>ELI009</t>
  </si>
  <si>
    <t>Tax Invoice : INW52354</t>
  </si>
  <si>
    <t>Tax Invoice : INW52355</t>
  </si>
  <si>
    <t>PO#PORTER&amp;CRAFT</t>
  </si>
  <si>
    <t>Tax Invoice : INW52356</t>
  </si>
  <si>
    <t>WOO003</t>
  </si>
  <si>
    <t>Tax Invoice : INW52357</t>
  </si>
  <si>
    <t>INK006</t>
  </si>
  <si>
    <t>Tax Invoice : INW52358</t>
  </si>
  <si>
    <t>Tax Invoice : INW52359</t>
  </si>
  <si>
    <t>Tax Invoice : INW52360</t>
  </si>
  <si>
    <t>Tax Invoice : INW52361</t>
  </si>
  <si>
    <t>Tax Invoice : INW52362</t>
  </si>
  <si>
    <t>Tax Invoice : INW52363</t>
  </si>
  <si>
    <t>Tax Invoice : INW52364</t>
  </si>
  <si>
    <t>Tax Invoice : INW52365</t>
  </si>
  <si>
    <t>LL002</t>
  </si>
  <si>
    <t>Tax Invoice : INW52366</t>
  </si>
  <si>
    <t>Tax Invoice : INW52367</t>
  </si>
  <si>
    <t>ATT: RENE</t>
  </si>
  <si>
    <t>Tax Invoice : INW52368</t>
  </si>
  <si>
    <t>MAG021</t>
  </si>
  <si>
    <t>Tax Invoice : INW52369</t>
  </si>
  <si>
    <t>Tax Invoice : INW52370</t>
  </si>
  <si>
    <t>Tax Invoice : INW52371</t>
  </si>
  <si>
    <t>Tax Invoice : INW52372</t>
  </si>
  <si>
    <t>Tax Invoice : INW52373</t>
  </si>
  <si>
    <t>Tax Invoice : INW52374</t>
  </si>
  <si>
    <t>Tax Invoice : INW52375</t>
  </si>
  <si>
    <t>MON015</t>
  </si>
  <si>
    <t>Tax Invoice : INW52377</t>
  </si>
  <si>
    <t>Tax Invoice : INW52378</t>
  </si>
  <si>
    <t>ZIG001</t>
  </si>
  <si>
    <t>Tax Invoice : INW52379</t>
  </si>
  <si>
    <t>Tax Invoice : INW52380</t>
  </si>
  <si>
    <t>Tax Invoice : INW52381</t>
  </si>
  <si>
    <t>Tax Invoice : INW52382</t>
  </si>
  <si>
    <t>Tax Invoice : INW52383</t>
  </si>
  <si>
    <t>PO#96983</t>
  </si>
  <si>
    <t>Tax Invoice : INW52384</t>
  </si>
  <si>
    <t>Tax Invoice : INW52385</t>
  </si>
  <si>
    <t>BRO006</t>
  </si>
  <si>
    <t>Tax Invoice : INW52386</t>
  </si>
  <si>
    <t>Tax Invoice : INW52387</t>
  </si>
  <si>
    <t>THE03</t>
  </si>
  <si>
    <t>Tax Invoice : INW52388</t>
  </si>
  <si>
    <t>ATT:THEO</t>
  </si>
  <si>
    <t>Tax Invoice : INW52389</t>
  </si>
  <si>
    <t>POD08787</t>
  </si>
  <si>
    <t>Tax Invoice : INW52390</t>
  </si>
  <si>
    <t>Tax Invoice : INW52391</t>
  </si>
  <si>
    <t>Tax Invoice : INW52392</t>
  </si>
  <si>
    <t>Tax Invoice : INW52393</t>
  </si>
  <si>
    <t>ATT:MARIO</t>
  </si>
  <si>
    <t>Tax Invoice : INW52395</t>
  </si>
  <si>
    <t>Tax Invoice : INW52396</t>
  </si>
  <si>
    <t>Tax Invoice : INW52397</t>
  </si>
  <si>
    <t>PO#SWEET VALLEY/AG03-26SV</t>
  </si>
  <si>
    <t>TAN003</t>
  </si>
  <si>
    <t>Tax Invoice : INW52398</t>
  </si>
  <si>
    <t>Tax Invoice : INW52399</t>
  </si>
  <si>
    <t>Tax Invoice : INW52400</t>
  </si>
  <si>
    <t>MAN013</t>
  </si>
  <si>
    <t>Tax Invoice : INW52401</t>
  </si>
  <si>
    <t>Tax Invoice : INW52402</t>
  </si>
  <si>
    <t>Tax Invoice : INW52403</t>
  </si>
  <si>
    <t>GRAND TOTAL</t>
  </si>
  <si>
    <t>Sales by Inventory Category 01/06/2026 to 30/06/2026</t>
  </si>
  <si>
    <t>Qty</t>
  </si>
  <si>
    <t>Total Selling</t>
  </si>
  <si>
    <t>Category : 000 - None</t>
  </si>
  <si>
    <t>Category : 001 - Gazelle</t>
  </si>
  <si>
    <t>Category : 002 - Woodland B JHB no print</t>
  </si>
  <si>
    <t>Category : 003 - Cape Buffalo</t>
  </si>
  <si>
    <t>Category : 004 - Classic Collection</t>
  </si>
  <si>
    <t>Category : 005 - Nappa Collection</t>
  </si>
  <si>
    <t>Category : 007 - Santos / Sorrento</t>
  </si>
  <si>
    <t>Category : 010 - Cow Suede Splits</t>
  </si>
  <si>
    <t>Category : 012 - Barcelona</t>
  </si>
  <si>
    <t>Category : 013 - Fusion Stock Lot</t>
  </si>
  <si>
    <t>Category : 015 - Navada</t>
  </si>
  <si>
    <t>Category : 016 - Nova</t>
  </si>
  <si>
    <t>Category : 017 - Woodland B with print</t>
  </si>
  <si>
    <t>Category : 018 - Impala</t>
  </si>
  <si>
    <t>Category : 019 - Oil Based</t>
  </si>
  <si>
    <t>Category : 020 - Daytona</t>
  </si>
  <si>
    <t>Category : 022 - Chicago</t>
  </si>
  <si>
    <t>Category : 023 - Woodland B cricket print</t>
  </si>
  <si>
    <t>Category : 024 - Vintage</t>
  </si>
  <si>
    <t>Category : 025 - Sanchez</t>
  </si>
  <si>
    <t>Category : 029 - Salvador</t>
  </si>
  <si>
    <t>Category : 030 - Sheraton</t>
  </si>
  <si>
    <t>Category : 033 - Cosmo</t>
  </si>
  <si>
    <t>Category : 034 - Veg Tan Leather</t>
  </si>
  <si>
    <t>Category : 036 - Diesel</t>
  </si>
  <si>
    <t>Category : 037 - Stock Lot</t>
  </si>
  <si>
    <t>Category : 038 - Texas</t>
  </si>
  <si>
    <t>Category : 039 - Etosha</t>
  </si>
  <si>
    <t>Category : 040 - Morocco</t>
  </si>
  <si>
    <t>Category : 044 - Nubuck</t>
  </si>
  <si>
    <t>Category : 045 - Enduro</t>
  </si>
  <si>
    <t>Category : 048 - Metalic</t>
  </si>
  <si>
    <t>Category : 049 - Candor</t>
  </si>
  <si>
    <t>Category : 050 - Eco Range</t>
  </si>
  <si>
    <t>Category : 051 - Antique</t>
  </si>
  <si>
    <t>Category : 057 - XX Skins - Zebra</t>
  </si>
  <si>
    <t>Category : 058 - XX - Skins - Cow hides</t>
  </si>
  <si>
    <t>Category : 059 - XX - Skins - Gameskin</t>
  </si>
  <si>
    <t>Category : 062 - XX - Transport</t>
  </si>
  <si>
    <t>Category : 067 - AGS Stock lot</t>
  </si>
  <si>
    <t>Supplier Age Analysis as at   30/06/2026</t>
  </si>
  <si>
    <t>C2M001 - C2M</t>
  </si>
  <si>
    <t>CEZ001 - CEZ Investements</t>
  </si>
  <si>
    <t>CIT002 - CITI - SPRINT EXPRESS COURIER</t>
  </si>
  <si>
    <t>CLO001 - CLOUD LOGISTICS</t>
  </si>
  <si>
    <t>COP001 - COPYWRITE BUSINESS CENTRE CC T/A</t>
  </si>
  <si>
    <t>DPD001 - DPD LOGISTICS</t>
  </si>
  <si>
    <t>FRE001 - FREIGHTMORE</t>
  </si>
  <si>
    <t>HAN001 - HANNITAN LEATHER CC</t>
  </si>
  <si>
    <t>HIL001 - HILDENE INVESTMENTS</t>
  </si>
  <si>
    <t>OLI001 - OLIVETTI</t>
  </si>
  <si>
    <t>SIY002 - SIYA BONGA</t>
  </si>
  <si>
    <t>STE002 - STEINER HYGIENE</t>
  </si>
  <si>
    <t>TAN001 - FUSION LEATHER WORLD</t>
  </si>
  <si>
    <t>THE005 - THE COURIER GUY</t>
  </si>
  <si>
    <t>TOS001 - TOSHIBA</t>
  </si>
  <si>
    <t>TSS001 - Technical Support Solutions</t>
  </si>
  <si>
    <t>VAN001 - Vandah's Packaging</t>
  </si>
  <si>
    <t>WOR002 - Rhenus Express</t>
  </si>
  <si>
    <t>TOTAL :</t>
  </si>
  <si>
    <t>0.00%</t>
  </si>
  <si>
    <t>0.01%</t>
  </si>
  <si>
    <t>99.99%</t>
  </si>
  <si>
    <t>GRAND TOTAL :</t>
  </si>
  <si>
    <t>Sales by Customer 01/06/2026 to 30/06/2026</t>
  </si>
  <si>
    <t>Customer Code and Name</t>
  </si>
  <si>
    <t>Purchase Items per Supplier : 01/06/2026 to 30/06/2026</t>
  </si>
  <si>
    <t>Unit Cost</t>
  </si>
  <si>
    <t>Total</t>
  </si>
  <si>
    <t>Supplier : TAN001 - FUSION LEATHER WORLD</t>
  </si>
  <si>
    <t>Item : APA001 - APACHE WALNUT</t>
  </si>
  <si>
    <t>Item : ATL007 - ATLANTA TAN</t>
  </si>
  <si>
    <t>Item : CAN031 - CANDOR LEMON DROP</t>
  </si>
  <si>
    <t>Item : CHI001 - CHICAGO GREEN</t>
  </si>
  <si>
    <t>Item : CHI002 - CHICAGO TAN</t>
  </si>
  <si>
    <t>Item : COS002 - COSMO DUSTY PINK</t>
  </si>
  <si>
    <t>Item : COS003 - COSMO SAGE GREEN</t>
  </si>
  <si>
    <t>Item : COS005 - COSMO CHOC</t>
  </si>
  <si>
    <t>Item : COW001 - COW SUEDE SPLITS CHOC</t>
  </si>
  <si>
    <t>Item : COW002 - COW SUEDE SPLITS BLACK</t>
  </si>
  <si>
    <t>Item : COW015 - COW SUEDE CIDER</t>
  </si>
  <si>
    <t>Item : DAL006 - DALLAS CHOC</t>
  </si>
  <si>
    <t>Item : DAL009 - DALLAS OLIVE</t>
  </si>
  <si>
    <t>Item : ECO008 - ECO TAN</t>
  </si>
  <si>
    <t>Item : ESB001 - ENDURO S/B 1.4/1.6</t>
  </si>
  <si>
    <t>Item : HAV003 - HAVANA TOFFEE</t>
  </si>
  <si>
    <t>Item : NAT001 - NATURAL LEATHER LINING</t>
  </si>
  <si>
    <t>Item : SAL007 - SALVADOR DARK CHOC</t>
  </si>
  <si>
    <t>Item : TEX004 - TEXAS HAZELNUT</t>
  </si>
  <si>
    <t>Item : TEX005 - TEXAS BLACK</t>
  </si>
  <si>
    <t>Item : TEX008 - TEXAS CHOC</t>
  </si>
  <si>
    <t>Item : TEX022 - TEXAS CORAL</t>
  </si>
  <si>
    <t>Item : TUS002 - BARCELONA TAN</t>
  </si>
  <si>
    <t>Item : TUS003 - BARCELONA BROWN</t>
  </si>
  <si>
    <t>Item : TUS004 - BARCELONA BLACK</t>
  </si>
  <si>
    <t>Item : TUS006 - BARCELONA OLIVE</t>
  </si>
  <si>
    <t>Item : TUS007 - BARCELONA TOFFEE</t>
  </si>
  <si>
    <t>Item : TUS010 - BARCELONA NAVY</t>
  </si>
  <si>
    <t>Supplier : HAN001 - HANNITAN LEATHER CC</t>
  </si>
  <si>
    <t>Item : AVI001 - AVIATOR WARRIOR</t>
  </si>
  <si>
    <t>Item : BWO001 - WOODLAND B PRINT SPICE</t>
  </si>
  <si>
    <t>Item : BWO002 - WOODLAND B PRINT TAN</t>
  </si>
  <si>
    <t>Item : BWO006 - WOODLAND B PRINT GRAPHITE</t>
  </si>
  <si>
    <t>Item : CAP002 - CAPE BUFFALO COPPER</t>
  </si>
  <si>
    <t>Item : CAP012 - CAPRIVI BRANDY</t>
  </si>
  <si>
    <t>Item : CAS007 - CASTROL COCOA MILLED</t>
  </si>
  <si>
    <t>Item : COD001 - CODIAC TAUPE</t>
  </si>
  <si>
    <t>Item : DAY002 - DAYTONA ESPRESSO</t>
  </si>
  <si>
    <t>Item : DAY011 - DAYTONA TOFFEE</t>
  </si>
  <si>
    <t>Item : DIE002 - DIESEL ROSEWOOD</t>
  </si>
  <si>
    <t>Item : DIE004 - DIESEL BLACK</t>
  </si>
  <si>
    <t>Item : DIE005 - DIESEL OLIVE</t>
  </si>
  <si>
    <t>Item : DIE011 - DIESEL TOFFEE</t>
  </si>
  <si>
    <t>Item : DIE018 - DIESEL TOBACCO</t>
  </si>
  <si>
    <t>Item : ETO002 - ETOSHA PECAN</t>
  </si>
  <si>
    <t>Item : ETO003 - ETOSHA CHESTNUT</t>
  </si>
  <si>
    <t>Item : ETO007 - ETOSHA EMERALD</t>
  </si>
  <si>
    <t>Item : GAZ001 - GAZELLE OXBLOOD</t>
  </si>
  <si>
    <t>Item : GAZ006 - GAZELLE BLACK</t>
  </si>
  <si>
    <t>Item : GAZ015 - GAZELLE OYSTER</t>
  </si>
  <si>
    <t>Item : IMP004 - IMPALA BLACK</t>
  </si>
  <si>
    <t>Item : MOR010 - MOROCCO RUBY</t>
  </si>
  <si>
    <t>Item : NAV005 - NAVADA TAN</t>
  </si>
  <si>
    <t>Item : PRE001 - GAZELLE LATTE</t>
  </si>
  <si>
    <t>Item : SAM001 - SAMPLES</t>
  </si>
  <si>
    <t>Item : SAN014 - SANTOS STEEL</t>
  </si>
  <si>
    <t>Item : SAN016 - SANTOS LIQUORICE</t>
  </si>
  <si>
    <t>Item : SAN018 - SANTOS TUMERIC</t>
  </si>
  <si>
    <t>Item : SAN019 - SANTOS SAFFRON</t>
  </si>
  <si>
    <t>Item : SOR001 - SORRENTO BLACK</t>
  </si>
  <si>
    <t>Item : SOR006 - SORRENTO COTTON WHITE</t>
  </si>
  <si>
    <t>Item : SOR008 - SORRENTO CARAMEL</t>
  </si>
  <si>
    <t>Item : SOR011 - SORRENTO COFFEE</t>
  </si>
  <si>
    <t>Item : VIN001 - VINTAGE PECAN</t>
  </si>
  <si>
    <t>Item : VIN003 - VINTAGE BLACK</t>
  </si>
  <si>
    <t>Item : WLS001 - WOODLAND BROWN B</t>
  </si>
  <si>
    <t>Item : WLS002 - WOODLAND TAN B</t>
  </si>
  <si>
    <t>Item : WLS003 - WOODLAND CHARCOAL B</t>
  </si>
  <si>
    <t>Total for Supplier : HAN001 - HANNITAN LEATHER CC</t>
  </si>
  <si>
    <t>BIR003 - BIRTHMARK INTERIORS</t>
  </si>
  <si>
    <t>DIAZ01 - DIAZ DESIGN</t>
  </si>
  <si>
    <t>NMB001 - NMB FURNITURE PTY (LTD)</t>
  </si>
  <si>
    <t>OFA004 - OFFROAD ALLEY</t>
  </si>
  <si>
    <t>ORI001 - ORIGIN INTERIORS</t>
  </si>
  <si>
    <t>XIL001 - Xilutsi Trading (Pty) Ltd</t>
  </si>
  <si>
    <t>GAT003 - GATES 2 AFRICA - MIKE</t>
  </si>
  <si>
    <t>CA001 - CASH CUSTOMERS</t>
  </si>
  <si>
    <t>AUV001 - AUVERGNE</t>
  </si>
  <si>
    <t>RUS001 - RUSTIC LOVE</t>
  </si>
  <si>
    <t>EST001 - ESTHE'  LEATHER SHOES</t>
  </si>
  <si>
    <t>KNA002 - KNAP SAK (PTY) LTD</t>
  </si>
  <si>
    <t>TRU002 - TRUST SHOPFITTERS</t>
  </si>
  <si>
    <t>THE051 - THE GREAT BREAK (pty) LTD</t>
  </si>
  <si>
    <t>LEA033 - LEATHER CONNECTION ( NAMIBIA )</t>
  </si>
  <si>
    <t>RED001 - REDEMPTION FINE HANDCRAFTED LEATHER</t>
  </si>
  <si>
    <t>LUK002 - LUK 4X4 ACCESSORIES PTY LTD</t>
  </si>
  <si>
    <t>ASH004 - ASHOK NARSAI INTERIORS</t>
  </si>
  <si>
    <t>FOR009 - FORSHORE SPORT PTY LTD</t>
  </si>
  <si>
    <t>DME001 - DE MEILLON ENTERPRISE PTY LTD</t>
  </si>
  <si>
    <t>TRP001 - TRP CAPITAL (PTY) LTD</t>
  </si>
  <si>
    <t>VER005 - VERSE STUDIO (Pty) Ltd T/A VERSE</t>
  </si>
  <si>
    <t>HAN009 - THE HANDWORK HUB PTY LTD</t>
  </si>
  <si>
    <t>DOU002 - DOUBLE BARREL CC</t>
  </si>
  <si>
    <t>IKU001 - OU HOUT MEUBEL VERVAARDIGERS (PTY) LTD</t>
  </si>
  <si>
    <t>SLA002 - SLATER AND DUTCH (PTY) LTD</t>
  </si>
  <si>
    <t>THE053 - THEMBA MAPHUKI T/A LEATHER DESIGNS</t>
  </si>
  <si>
    <t>THE018 - THE GRAND LIVING</t>
  </si>
  <si>
    <t>TRE014 - TREND BESPOKE (PTY) LTD</t>
  </si>
  <si>
    <t>EVO001 - EVOTECH TRADING</t>
  </si>
  <si>
    <t>TOP007 - TOPOLANSKY &amp; ASSOCIATES</t>
  </si>
  <si>
    <t>LEM009 - LEMY UPHOLSTERER</t>
  </si>
  <si>
    <t>ITF001 - IN TOUCH FURNITURE</t>
  </si>
  <si>
    <t>CAM003 - CAMPBELL ARMOURY (PTY) LTD</t>
  </si>
  <si>
    <t>OST001 - OSTRICH &amp; LEATHER TRADING</t>
  </si>
  <si>
    <t>JAR006 - IMVUSA TRADING 451 (PTY) LTD T/A JARMAN</t>
  </si>
  <si>
    <t>FUR006 - FURNITURE FACTORY SHOP</t>
  </si>
  <si>
    <t>KIT002 - KITTY'S GENUINE LEATHER BOUTIQUE</t>
  </si>
  <si>
    <t>NIC012 - NICHE BOARD PRODUCTIONS T/A AT URBAN ART</t>
  </si>
  <si>
    <t>CON001 - CONCORD INTERIORS</t>
  </si>
  <si>
    <t>JAN020 - JANET FERREIRA INTERIORS</t>
  </si>
  <si>
    <t>NEW012 - NEW LIFE UPHOLSTERY</t>
  </si>
  <si>
    <t>S2Z001 - S2ZERO PTY LTD</t>
  </si>
  <si>
    <t>DEC020 - DECOR SOLUTIONS</t>
  </si>
  <si>
    <t>AFRI02 - African Farm Embroidery Products(Pty)Ltd</t>
  </si>
  <si>
    <t>JOU004 - JOUBERT FURNITURE</t>
  </si>
  <si>
    <t>BLA008 - BLACK PLASTIC SA (PTY) LTD</t>
  </si>
  <si>
    <t>WEX001 - WEXFORD HOUSE</t>
  </si>
  <si>
    <t>LEO007 - LEON ENGELBRECHT DESIGN (NAMIBIA)</t>
  </si>
  <si>
    <t>TET001 - Tetris Design and Build (PTY) LTD</t>
  </si>
  <si>
    <t>PON002 - PON STEYN MOTORS</t>
  </si>
  <si>
    <t>LUL021 - LULLU &amp; ME</t>
  </si>
  <si>
    <t>PIT002 - PITSO UPHOLSTERY</t>
  </si>
  <si>
    <t>POR004 - PORTER LUXURY CARRIERS</t>
  </si>
  <si>
    <t>HOU060 - HOUT EN ZOUT</t>
  </si>
  <si>
    <t>CAL004 - CALABASH LEATHER</t>
  </si>
  <si>
    <t>FRA005 - FRANCO C SADDLERY</t>
  </si>
  <si>
    <t>COM006 - COMBRINK CREATIVE DESIGNS</t>
  </si>
  <si>
    <t>LIN008 - LINDLEY &amp; CO</t>
  </si>
  <si>
    <t>SAL014 - SALTWOOD CREATIVE SOLUTIONS (PTY) LTD</t>
  </si>
  <si>
    <t>SA002 - SA LEATHER COMPANY</t>
  </si>
  <si>
    <t>CLA06 - KANDASWAMI INVESTMENTS CC T/A CLASSIC IN</t>
  </si>
  <si>
    <t>GOU002 - GOUDINI PROJECTS</t>
  </si>
  <si>
    <t>CAP017 - CAPE COBRA (PTY) LTD</t>
  </si>
  <si>
    <t>OKH001 - OKHA INTERIORS CC</t>
  </si>
  <si>
    <t>UVA011 - UVAMI GUN ACCESSORIES CC</t>
  </si>
  <si>
    <t>TLT001 - TLANGGAPE TRADING</t>
  </si>
  <si>
    <t>WLF001 - EARTH 2 FEET SHOES</t>
  </si>
  <si>
    <t>LEG003 - LEGENDARY GOLF</t>
  </si>
  <si>
    <t>WEE001 - WEEF PTY Ltd.</t>
  </si>
  <si>
    <t>SMI002 - SMITHCO LEATHER</t>
  </si>
  <si>
    <t>CAP030 - CAPE DECOR FURNITURE</t>
  </si>
  <si>
    <t>DUV001 - DUVENCI INTERIORS</t>
  </si>
  <si>
    <t>JAN015 - BLOSSOMS CAPE TOWN</t>
  </si>
  <si>
    <t>HYD001 - HYDE &amp; TASSEL - BLOEM</t>
  </si>
  <si>
    <t>LEE011 - LEE UHMLANGA</t>
  </si>
  <si>
    <t>H&amp;T001 - H &amp; T FURNITURE BY DESIGN</t>
  </si>
  <si>
    <t>BES007 - BESTIIL</t>
  </si>
  <si>
    <t>DAN008 - DANIEL'S SHOE MANUFACTURNING</t>
  </si>
  <si>
    <t>DEE001 - DEEP BLUE ENTERPRISES</t>
  </si>
  <si>
    <t>TZA001 - TZARY FINE LIVING</t>
  </si>
  <si>
    <t>ZIP001 - BIG SKY TRADING 449BK</t>
  </si>
  <si>
    <t>MEU001 - MEUBEL &amp; MOTOR STOFFEERDERS</t>
  </si>
  <si>
    <t>LEA053 - LEATHER CO</t>
  </si>
  <si>
    <t>OLS001 - OLSENS UPHOLSTERY</t>
  </si>
  <si>
    <t>NAN003 - NANITA &amp; CO</t>
  </si>
  <si>
    <t>MAR045 - MARK OF LEGEND</t>
  </si>
  <si>
    <t>GDE001 - GDE LEATHER CC</t>
  </si>
  <si>
    <t>LEO006 - LEOMAR UPHOLSTERY</t>
  </si>
  <si>
    <t>ZER002 - ZERA LEATHER  (NAMIBIA)</t>
  </si>
  <si>
    <t>MAN021 - MANUAL MOZAMBIQUE UPHOLSTER</t>
  </si>
  <si>
    <t>PAU009 - PAULS AUTO AND AERO TRIM</t>
  </si>
  <si>
    <t>KER021 - KERF HANDSTITCHED</t>
  </si>
  <si>
    <t>EGA001 - EGAITSA</t>
  </si>
  <si>
    <t>MID003 - MIDRAND AUTO TRIMMERS</t>
  </si>
  <si>
    <t>PJ002 - PJ BOOKBINDERS</t>
  </si>
  <si>
    <t>BE001 - BE Interiors</t>
  </si>
  <si>
    <t>SON005 - SONJA JACOBS UPHOLSTER &amp; INTERIOR</t>
  </si>
  <si>
    <t>RAG002 - RAGS TO RICHES UPHOLSTERERS</t>
  </si>
  <si>
    <t>CES021 - C’est La Vie Design and Create (Pty) Ltd</t>
  </si>
  <si>
    <t>PREB00 - PRETORIUS BROS LEATHER WORKS</t>
  </si>
  <si>
    <t>RET002 - FINECAST PTY T/A RETROFITBOSS</t>
  </si>
  <si>
    <t>BRI012 - BRIAN TRIMMING SERVICE</t>
  </si>
  <si>
    <t>MOO002 - MOORGAS &amp; SONS (PTY) LTD</t>
  </si>
  <si>
    <t>COA003 - COME AGAIN HOLDINGS</t>
  </si>
  <si>
    <t>DES042 - DESIGN LINES COUCH MANUFACTURE</t>
  </si>
  <si>
    <t>MIG001 - MIGHTY HAND</t>
  </si>
  <si>
    <t>VIN006 - VINTAGE UPHOLSTERY</t>
  </si>
  <si>
    <t>FRI005 - FRIKKIE DU TOIT</t>
  </si>
  <si>
    <t>GAT005 - GATEWAY SPECIAL VEHILCES (PTY)</t>
  </si>
  <si>
    <t>MOB005 - MOBILIARIO</t>
  </si>
  <si>
    <t>BLO006 - BLOEM UPHOLSTERY</t>
  </si>
  <si>
    <t>KTI001 - WOLDEO TRADING (PTY) LTD T/A KT-INTERIOR</t>
  </si>
  <si>
    <t>BRU005 - BRULJANT</t>
  </si>
  <si>
    <t>CTB001 - CITYBIRDS CRAFT CO (PTY) LTD</t>
  </si>
  <si>
    <t>EMM003 - EMMIE SCHOEMAN</t>
  </si>
  <si>
    <t>STE018 - STEPH &amp; TAY</t>
  </si>
  <si>
    <t>A&amp;G001 - A &amp; G DESIGN</t>
  </si>
  <si>
    <t>PAM003 - PAMA LEATHER</t>
  </si>
  <si>
    <t>STA012 - STADVELD LEERPRODUKTE</t>
  </si>
  <si>
    <t>LAB003 - LABARINT INTERIORS (PTY) LTD</t>
  </si>
  <si>
    <t>KUI001 - KUIFKOP</t>
  </si>
  <si>
    <t>DAV008 - D DAVID'S</t>
  </si>
  <si>
    <t>RAM004 - RAM HOLDING (PTY) LTD</t>
  </si>
  <si>
    <t>CEN015 - AAJKARAN ENTERPRISES (PTY) LTD</t>
  </si>
  <si>
    <t>URB009 - URBAN CREATE DESIGN INTERIORS</t>
  </si>
  <si>
    <t>THF001 - THERONS FOAM CRAFT CC</t>
  </si>
  <si>
    <t>VAL003 - VALLERIE TITUS</t>
  </si>
  <si>
    <t>MAG021 - MAGAUTA DESIGNS AND PROJECTS PTY LTD</t>
  </si>
  <si>
    <t>TSO003 - TSOKA</t>
  </si>
  <si>
    <t>YOU003 - YOU ME &amp; THREE</t>
  </si>
  <si>
    <t>PUL001 - PULEZZ LEATHERITE</t>
  </si>
  <si>
    <t>TIM008 - TIMELESS LEATHER</t>
  </si>
  <si>
    <t>NAT004 - NATURALIS</t>
  </si>
  <si>
    <t>ALW010 - ALWYN ESTERHUIZEN</t>
  </si>
  <si>
    <t>MIC030 - MICHAL S</t>
  </si>
  <si>
    <t>DEC017 - DECOR HOUZZ GROUP (PTY) LTD</t>
  </si>
  <si>
    <t>LUN006 - LUNGAR R SA PTY LTD</t>
  </si>
  <si>
    <t>AARD01 - AARD BRAND</t>
  </si>
  <si>
    <t>BER007 - BERTIER SHOES Pty Ltd</t>
  </si>
  <si>
    <t>ABE002 - ABEL INTERIORS</t>
  </si>
  <si>
    <t>DES037 - DESLEY FURNITURE</t>
  </si>
  <si>
    <t>UPH011 - UPHOLSTERY LEGENDS</t>
  </si>
  <si>
    <t>BEU001 - BEULAH</t>
  </si>
  <si>
    <t>AFO002 - AFRO COMFORT</t>
  </si>
  <si>
    <t>CAZ001 - CAZCO RE-UPHOLSTERY &amp; NEW FURNITURE</t>
  </si>
  <si>
    <t>MAR050 - MARIUS POTGIETER</t>
  </si>
  <si>
    <t>KOF001 - KOFFIE LEATHER</t>
  </si>
  <si>
    <t>ILOV00 - I LOVE UPHOLSTERY</t>
  </si>
  <si>
    <t>TAN008 - TAN-RU LEATHER</t>
  </si>
  <si>
    <t>ACO003 - ACORN &amp; ANVIL</t>
  </si>
  <si>
    <t>STR007 - STROOM OP</t>
  </si>
  <si>
    <t>CRE015 - CREATORS STUDIO PTY LTD</t>
  </si>
  <si>
    <t>OUT010 - OUTBACK LEATHER</t>
  </si>
  <si>
    <t>HID021 - HIDE &amp; STITCH</t>
  </si>
  <si>
    <t>DUP002 - DUPSTEEL PTY LTD</t>
  </si>
  <si>
    <t>NAUD01 - NAUDE LEATHER</t>
  </si>
  <si>
    <t>RIK001 - RIKA SMIT t/a RED CHERRY DESIGNS</t>
  </si>
  <si>
    <t>INK006 - INKFINITY PRINTING</t>
  </si>
  <si>
    <t>MIN012 - BY MINNEKE</t>
  </si>
  <si>
    <t>ANJ001 - ANOEK</t>
  </si>
  <si>
    <t>PAT010 - PATTI HANDBAGS</t>
  </si>
  <si>
    <t>KIT001 - KITH &amp; KIN DESIGN</t>
  </si>
  <si>
    <t>BEL023 - BELGERY COLLECTION</t>
  </si>
  <si>
    <t>JET002 - JETLOG</t>
  </si>
  <si>
    <t>LL002 - LEAD LEATHERS</t>
  </si>
  <si>
    <t>YOU006 - YOUNG INTERIOR</t>
  </si>
  <si>
    <t>JEA002 - JEAN CELLE INTERIORS</t>
  </si>
  <si>
    <t>BAR030 - BARKER STREET OFFICE FURNITURE</t>
  </si>
  <si>
    <t>ZUL004 - ZULFA</t>
  </si>
  <si>
    <t>HAD001 - HADEDA JAG &amp; SKIET BAADJIES</t>
  </si>
  <si>
    <t>MAP001 - MAPHANGA TRADINGS - KWAMASHU</t>
  </si>
  <si>
    <t>LAS002 - LASER CANDY T/A LOOI LEATHER</t>
  </si>
  <si>
    <t>COU015 - COUNTER POINT FURNISHERS (PTY) LTD</t>
  </si>
  <si>
    <t>ELI005 - ELISANTE (PTY)</t>
  </si>
  <si>
    <t>LUS021 - LUSSO CRAFT</t>
  </si>
  <si>
    <t>IAM001 - I AM GREEN</t>
  </si>
  <si>
    <t>CRA003 - CRAFTI MIKI</t>
  </si>
  <si>
    <t>BEL016 - BELEGRA</t>
  </si>
  <si>
    <t>BAR019 - BARLETT &amp; DUNSTER FABRIC</t>
  </si>
  <si>
    <t>THE075 - THE KITCHEN STUDIO</t>
  </si>
  <si>
    <t>JAC009 - JESS WASSUNG</t>
  </si>
  <si>
    <t>MME001 - MMETHISHA LEATHER STUDIO</t>
  </si>
  <si>
    <t>DES099 - DESIGNER CRAFTSMAN</t>
  </si>
  <si>
    <t>PLA012 - PLATVOET VELLIES CEDERBERGE</t>
  </si>
  <si>
    <t>LIZ007 - LIZ KETH</t>
  </si>
  <si>
    <t>SCH004 - SCHMIDT'S SKRYNWERKE (EDMS.) BPK</t>
  </si>
  <si>
    <t>EGG001 - EGG DESIGNS CC</t>
  </si>
  <si>
    <t>BUC001 - BUCKLE LEATHERWEAR</t>
  </si>
  <si>
    <t>AND013 - SOSTANZA</t>
  </si>
  <si>
    <t>D3F001 - D3 DECOR PTY LTD</t>
  </si>
  <si>
    <t>OKI001 - OKI LEATHERGOODS</t>
  </si>
  <si>
    <t>ELI009 - LIELA'S ZEAL</t>
  </si>
  <si>
    <t>THE03 - THE WILD THINGS</t>
  </si>
  <si>
    <t>ACL001 - AC LEATHER CO</t>
  </si>
  <si>
    <t>MYS002 - RUSTIC THREADS N LEATHER</t>
  </si>
  <si>
    <t>JAC013 - KWA NATAL DRILLING</t>
  </si>
  <si>
    <t>PIT001 - PITTA-PATTA</t>
  </si>
  <si>
    <t>MAJ001 - MAJOR JOHN</t>
  </si>
  <si>
    <t>STY021 - STYLE ARCHITECTS</t>
  </si>
  <si>
    <t>SUK003 - SUKAMIZA UPHOLSTERY &amp; MOTOR TRIMMING</t>
  </si>
  <si>
    <t>STU005 - STUDIO MITCHELL Pty Ltd</t>
  </si>
  <si>
    <t>NAV002 - NAVA LEATHER (PTY) LTD</t>
  </si>
  <si>
    <t>UMH001 - UMHLALI UPHOLSTERS</t>
  </si>
  <si>
    <t>WES003 - WESKUS FILTERS BK</t>
  </si>
  <si>
    <t>BEL020 - BELLE AME DE DIEU</t>
  </si>
  <si>
    <t>DIE006 - DIE STOKPERDJIE</t>
  </si>
  <si>
    <t>FAN002 - FANLU LEATHER &amp; CANVAS</t>
  </si>
  <si>
    <t>KAR012 - KARONGWE FURNITURE</t>
  </si>
  <si>
    <t>CAS007 - CASUAL LEATHER CRAFT</t>
  </si>
  <si>
    <t>WAL004 - WALKING WOOD Pty Ltd</t>
  </si>
  <si>
    <t>LUT004 - LUTHER JOOSTE T/A KT LEATHER</t>
  </si>
  <si>
    <t>MOSS01 - MOSS SHOP</t>
  </si>
  <si>
    <t>LON006 - LONE WOLF LEATHER DESIGN</t>
  </si>
  <si>
    <t>GRE012 - GREYLING UPHOLSTERY</t>
  </si>
  <si>
    <t>SAI006 - SA INTERIORS</t>
  </si>
  <si>
    <t>JAN012 - JANE MERVIS INTERIORS</t>
  </si>
  <si>
    <t>BRO006 - BROEDELET UPHOLSTERERS</t>
  </si>
  <si>
    <t>STO010 - STONEHILL MANUFACTURING</t>
  </si>
  <si>
    <t>DTEM01 - D-TEMPT CREATIONS</t>
  </si>
  <si>
    <t>WOO003 - WOODLAM</t>
  </si>
  <si>
    <t>COM010 - COMPAGNIE FINANCIERE DU LAC (PTY) LTD</t>
  </si>
  <si>
    <t>NGA001 - NG AUTO TRIMMERS</t>
  </si>
  <si>
    <t>RON005 - RONNIES SHOES</t>
  </si>
  <si>
    <t>FRO001 - FRONT DOOR INTERIORS</t>
  </si>
  <si>
    <t>VER009 - VERWEY CANVAS</t>
  </si>
  <si>
    <t>NGA002 - NELSPRUIT GEN AUTO REPAIRS</t>
  </si>
  <si>
    <t>MON015 - MONNA'S</t>
  </si>
  <si>
    <t>NKA001 - NKANYISO SHOES</t>
  </si>
  <si>
    <t>SKY002 - SKY &amp; EDEN</t>
  </si>
  <si>
    <t>ZAL001 - ZALUKI SHOES</t>
  </si>
  <si>
    <t>SUN006 - SUNDI LEATHERWARE</t>
  </si>
  <si>
    <t>IVO002 - IVORY PALM  INTERIORS</t>
  </si>
  <si>
    <t>MAG007 - MAGNOLIAN DESIGN</t>
  </si>
  <si>
    <t>LEG005 - LEGACI STUDIOS</t>
  </si>
  <si>
    <t>KAY010 - Kayrin International</t>
  </si>
  <si>
    <t>HEL004 - HELVETIA TRADING</t>
  </si>
  <si>
    <t>CON011 - CONLIE LEATHER CC</t>
  </si>
  <si>
    <t>LIG003 - LIGHOUS@MENLO</t>
  </si>
  <si>
    <t>JAC020 - JACANA FOOTWEAR</t>
  </si>
  <si>
    <t>WAN002 - WANDERER HANDCRAFTED</t>
  </si>
  <si>
    <t>GOO004 - GOOD CAP CO</t>
  </si>
  <si>
    <t>AJK003 - AJK LEATHERS</t>
  </si>
  <si>
    <t>GLO004 - GLOBAL TRANS</t>
  </si>
  <si>
    <t>LEA036 - LEATHER BOUTIQUE</t>
  </si>
  <si>
    <t>NTS001 - NTSAKO LEATHER CRAFT</t>
  </si>
  <si>
    <t>EIG001 - 8 BEAN</t>
  </si>
  <si>
    <t>FOA001 - FOAM CUT TO SIZE</t>
  </si>
  <si>
    <t>ISA007 - ISABELLA'S</t>
  </si>
  <si>
    <t>SYM002 - SYMPHONY OF LEATHER</t>
  </si>
  <si>
    <t>BAN001 - BANTU NOMAD</t>
  </si>
  <si>
    <t>TRE013 - TRENERY DESIGNER FURNITURE</t>
  </si>
  <si>
    <t>KAR015 - KAROO CREATIONS UPHOLSTERY</t>
  </si>
  <si>
    <t>DIO001 - DIOMANDE</t>
  </si>
  <si>
    <t>RET021 - RETRO CRAFT (PTY) LTD</t>
  </si>
  <si>
    <t>INT026 - INTERIOR HOME CONCEPTS - EMPANGENI</t>
  </si>
  <si>
    <t>MOF002 - MOF MARKETING CC</t>
  </si>
  <si>
    <t>CLA012 - CLASS A UPHOLSTERY</t>
  </si>
  <si>
    <t>NS002 - NS AUTO INTERIORS TA NS AGENCIES</t>
  </si>
  <si>
    <t>CRA010 - CRAWLERS</t>
  </si>
  <si>
    <t>FWD001 - FWD TRADING</t>
  </si>
  <si>
    <t>PET008 - PETITE HOME DECOR</t>
  </si>
  <si>
    <t>GOM001 - F. GOMES UPHOLSTERS</t>
  </si>
  <si>
    <t>AMO001 - AMOS JONES LEATHER</t>
  </si>
  <si>
    <t>WAL010 - Walk In Gods Grace (PTY) LTD</t>
  </si>
  <si>
    <t>BEA006 - BEARDED DOG LEATHER</t>
  </si>
  <si>
    <t>NIN002 - NINASKEP PTY LTD.</t>
  </si>
  <si>
    <t>MAL005 - MALANGA DESIGNS</t>
  </si>
  <si>
    <t>SOM006 - SOMETHING ELSE GEORGE JHB</t>
  </si>
  <si>
    <t>NOL005 - NOLLY'S BASKETS</t>
  </si>
  <si>
    <t>KEN003 - KENYON COLLECTIVE</t>
  </si>
  <si>
    <t>LAR001 - LA RICCI LEATHERS</t>
  </si>
  <si>
    <t>FAB006 - SANTAS FABRIC</t>
  </si>
  <si>
    <t>LEA065 - LEATHER ONE</t>
  </si>
  <si>
    <t>IND008 - INDALO LEATHER</t>
  </si>
  <si>
    <t>EMI002 - Emily Wichall</t>
  </si>
  <si>
    <t>ETS002 - ETIENNE LEWIS</t>
  </si>
  <si>
    <t>CRE008 - CREATIVE ALBUMS</t>
  </si>
  <si>
    <t>BIA004 - BIANI HANDCRAFTED</t>
  </si>
  <si>
    <t>HAW002 - HAWE VAN HOOP</t>
  </si>
  <si>
    <t>MIS001 - MISSIBABA</t>
  </si>
  <si>
    <t>ABR005 - ABRAMS LEATHER</t>
  </si>
  <si>
    <t>LON002 - LONKIE LEATHER</t>
  </si>
  <si>
    <t>CHR009 - Christiaan Barnard Interior &amp; Design</t>
  </si>
  <si>
    <t>GRO006 - THE GROOM &amp; CO</t>
  </si>
  <si>
    <t>MAR064 - MARI CORILLON</t>
  </si>
  <si>
    <t>ZIG001 - ZIGZAG DESIGNS</t>
  </si>
  <si>
    <t>FOR015 - FORWARD MOVEMENT</t>
  </si>
  <si>
    <t>AND010 - ANDREA INGLIS</t>
  </si>
  <si>
    <t>IMA005 - WORLD FOCUS 382 CC</t>
  </si>
  <si>
    <t>LEA093 - THE HANDMADE LEATHER STUDIO C/O JODY DEN</t>
  </si>
  <si>
    <t>HUN001 - HUNTSWOMAN DESIGN</t>
  </si>
  <si>
    <t>REF004 - REFORMED LEATHER</t>
  </si>
  <si>
    <t>INO002 - INOVISION INTERIORS</t>
  </si>
  <si>
    <t>AND006 - ANDRE LEER PRODUKTE</t>
  </si>
  <si>
    <t>ITA001 - IOLE TANNING SERVICES CC t/a ITALTAN</t>
  </si>
  <si>
    <t>MEB001 - MEBALA (PTY) LTD</t>
  </si>
  <si>
    <t>NOV021 - NOVEL &amp; CO</t>
  </si>
  <si>
    <t>SER009 - CEPATTI (PTY) LTD</t>
  </si>
  <si>
    <t>NS001 - NS CREATIONS</t>
  </si>
  <si>
    <t>XDL001 - XD LEATHER</t>
  </si>
  <si>
    <t>HAM005 - HAMBA JEANS PTY LTD</t>
  </si>
  <si>
    <t>DAV006 - DAVID DINDI (PTY) LTD</t>
  </si>
  <si>
    <t>GLE003 - GLEN HARDING</t>
  </si>
  <si>
    <t>IBR001 - ISAACARE HEALTH</t>
  </si>
  <si>
    <t>PUR021 - THE OWL BRAND</t>
  </si>
  <si>
    <t>BAB001 - BABY COUTURE (PTY) LTD</t>
  </si>
  <si>
    <t>DUT004 - DU TOIT SKOENE</t>
  </si>
  <si>
    <t>ADA011 - ADASAH ATELIER</t>
  </si>
  <si>
    <t>THO009 - THORICO HOLDINGS</t>
  </si>
  <si>
    <t>INSPIRE RENTALS PTY LTD</t>
  </si>
  <si>
    <t>GH LEATHERS LTD</t>
  </si>
  <si>
    <t>JULIANA DESIGNS (PTY) LTD</t>
  </si>
  <si>
    <t>COUCH POTATO</t>
  </si>
  <si>
    <t>INYATHI LOUNGE (PTY) LTD</t>
  </si>
  <si>
    <t>ALWAYS AROUND (PTY) LTD T/A BEESDAM</t>
  </si>
  <si>
    <t>LEATHER DIRECT (Pty) Ltd</t>
  </si>
  <si>
    <t>ROWDY INTERNATIONAL (Pty) Ltd</t>
  </si>
  <si>
    <t>LEATHER DIRECT  (Pty) Ltd</t>
  </si>
  <si>
    <t>FF CLOTHING GROUP CC</t>
  </si>
  <si>
    <t>BOOT &amp; RALLY (PTY) (LTD)</t>
  </si>
  <si>
    <t>AFIKA PROMOTIONS</t>
  </si>
  <si>
    <t>A2HR COSMETIC SOLUTIONS (PTY) LTD</t>
  </si>
  <si>
    <t>CREDIT NOTES: 115 x CREDIT NOTES</t>
  </si>
  <si>
    <t>5% of sales</t>
  </si>
  <si>
    <t>Garage Card - Control Account</t>
  </si>
  <si>
    <t>Hannitan over deliveries</t>
  </si>
  <si>
    <t xml:space="preserve">Fusion delivered R700k in the last 3 days of the month </t>
  </si>
  <si>
    <t>LM</t>
  </si>
  <si>
    <t>Bianca</t>
  </si>
  <si>
    <t>Savannah</t>
  </si>
  <si>
    <t>Melani</t>
  </si>
  <si>
    <t>Craig</t>
  </si>
  <si>
    <t>Jordan</t>
  </si>
  <si>
    <t>Michelle</t>
  </si>
  <si>
    <t>Leandrie</t>
  </si>
  <si>
    <t>Liandry</t>
  </si>
  <si>
    <t>JHB Branch</t>
  </si>
  <si>
    <t xml:space="preserve">Craig </t>
  </si>
  <si>
    <t>AFRICAN GAMESKIN GROUP - JUNE 2026 DASHBOARD ANALYSIS</t>
  </si>
  <si>
    <t>KEY PERFORMANCE METRICS</t>
  </si>
  <si>
    <t>Metric</t>
  </si>
  <si>
    <t>Value</t>
  </si>
  <si>
    <t>Notes</t>
  </si>
  <si>
    <t>Total Turnover</t>
  </si>
  <si>
    <t>Local + Exports</t>
  </si>
  <si>
    <t>Local Sales</t>
  </si>
  <si>
    <t>92% of turnover</t>
  </si>
  <si>
    <t>Export Sales</t>
  </si>
  <si>
    <t>8% of turnover</t>
  </si>
  <si>
    <t>Gross Profit (June)</t>
  </si>
  <si>
    <t>Gross Profit Margin</t>
  </si>
  <si>
    <t>Below target</t>
  </si>
  <si>
    <t>Net Profit (June)</t>
  </si>
  <si>
    <t>Loss this month</t>
  </si>
  <si>
    <t>Net Profit YTD</t>
  </si>
  <si>
    <t>Positive YTD</t>
  </si>
  <si>
    <t>YTD Profit Margin</t>
  </si>
  <si>
    <t>STOCK INVENTORY BY LOCATION</t>
  </si>
  <si>
    <t>Location</t>
  </si>
  <si>
    <t>Value (R)</t>
  </si>
  <si>
    <t>% of Total</t>
  </si>
  <si>
    <t>TOP 10 CUSTOMERS</t>
  </si>
  <si>
    <t>Rank</t>
  </si>
  <si>
    <t>KEY INSIGHTS &amp; OBSERVATIONS</t>
  </si>
  <si>
    <t>1. PROFITABILITY CONCERN: June 2026 shows a net loss of R12,545, though YTD remains positive at R1.17M</t>
  </si>
  <si>
    <t>Branch Sales Data</t>
  </si>
  <si>
    <t>Branch</t>
  </si>
  <si>
    <t>Debtors Aging Data</t>
  </si>
  <si>
    <t>Aging</t>
  </si>
  <si>
    <t>Amount</t>
  </si>
  <si>
    <t>90+ Days</t>
  </si>
  <si>
    <t>Stock Value Data</t>
  </si>
  <si>
    <t>Top Customers Data</t>
  </si>
  <si>
    <t>INSPIRE RENTALS</t>
  </si>
  <si>
    <t>GH LEATHERS</t>
  </si>
  <si>
    <t>JULIANA DESIGNS</t>
  </si>
  <si>
    <t>INYATHI LOUNGE</t>
  </si>
  <si>
    <t>ALWAYS AROUND</t>
  </si>
  <si>
    <t>LEATHER DIRECT</t>
  </si>
  <si>
    <t>ROWDY INTL</t>
  </si>
  <si>
    <t>LEATHER DIRECT 2</t>
  </si>
  <si>
    <t>FF CLOTHING</t>
  </si>
  <si>
    <t>QUICK SUMMARY</t>
  </si>
  <si>
    <t>Total Turnover:</t>
  </si>
  <si>
    <t>Net Profit (YTD):</t>
  </si>
  <si>
    <t>Gross Margin:</t>
  </si>
  <si>
    <t>Total Debtors:</t>
  </si>
  <si>
    <t>Total Stock:</t>
  </si>
  <si>
    <t>Total Creditors:</t>
  </si>
  <si>
    <t>SALES BY BRANCH (M2)</t>
  </si>
  <si>
    <t>Change %</t>
  </si>
  <si>
    <t>DEBTORS AGING ANALYSIS</t>
  </si>
  <si>
    <t>Aging Bucket</t>
  </si>
  <si>
    <t>Risk Level</t>
  </si>
  <si>
    <t>Low</t>
  </si>
  <si>
    <t>Medium</t>
  </si>
  <si>
    <t>High</t>
  </si>
  <si>
    <t>Critical</t>
  </si>
  <si>
    <t>2. GROSS MARGIN: At 6%, gross margin is significantly below industry norms (typically 15-25%)</t>
  </si>
  <si>
    <t>3. BRANCH PERFORMANCE: Cape Town dominates with 56% of M2 sold, JHB at 35%, Durban at 8%</t>
  </si>
  <si>
    <t>4. CUSTOMER CONCENTRATION: Top 10 customers represent 33.6% of sales - moderate risk</t>
  </si>
  <si>
    <t>5. DEBTORS RISK: 7.9% (R750K) of debtors are 90+ days overdue - requires collection attention</t>
  </si>
  <si>
    <t>6. STOCK LEVELS: R28.3M tied in inventory, Cape Town holding 71% of stock value</t>
  </si>
  <si>
    <t>7. SUPPLIER POSITION: 100% of creditors current (no overdue) - healthy supplier relations</t>
  </si>
  <si>
    <t>8. INVENTORY BUILD: Purchased 34,762 M2 vs sold 28,112 M2 - building stock levels</t>
  </si>
  <si>
    <t>9. MARGIN ANALYSIS: Avg sell price R326/M2 vs purchase R239/M2 = 36% markup</t>
  </si>
  <si>
    <t>10. RETURNS: 115 credit notes (5% of sales = R512K) - quality/returns monitoring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</si>
</sst>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R&quot;\ #,##0.00;[Red]&quot;R&quot;\ \-#,##0.00"/>
    <numFmt numFmtId="167" formatCode="_ &quot;R&quot;\ * #,##0.00_ ;_ &quot;R&quot;\ * \-#,##0.00_ ;_ &quot;R&quot;\ * &quot;-&quot;??_ ;_ @_ "/>
    <numFmt numFmtId="168" formatCode="_ * #,##0.00_ ;_ * \-#,##0.00_ ;_ * &quot;-&quot;??_ ;_ @_ "/>
    <numFmt numFmtId="169" formatCode="&quot;R&quot;\ #,##0.00"/>
    <numFmt numFmtId="170" formatCode="[$R-1C09]\ #,##0.00"/>
    <numFmt numFmtId="171" formatCode="[$$-409]#,##0.00"/>
    <numFmt numFmtId="172" formatCode="&quot;$&quot;#,##0.00"/>
    <numFmt numFmtId="173" formatCode="#,##0.0000"/>
    <numFmt numFmtId="174" formatCode="[$$-1409]#,##0.00"/>
    <numFmt numFmtId="175" formatCode="0.00;[Red]0.00"/>
    <numFmt numFmtId="176" formatCode="0.00_ ;[Red]\-0.00\ "/>
    <numFmt numFmtId="177" formatCode="_-[$R-1C09]* #,##0.00_-;\-[$R-1C09]* #,##0.00_-;_-[$R-1C09]* &quot;-&quot;??_-;_-@_-"/>
    <numFmt numFmtId="178" formatCode="&quot;R&quot;#,##0.00"/>
    <numFmt numFmtId="179" formatCode="#,##0.00000000000"/>
    <numFmt numFmtId="180" formatCode="&quot;R&quot;#,##0"/>
    <numFmt numFmtId="181" formatCode="\R\ #,##0.00"/>
    <numFmt numFmtId="182" formatCode="0.0%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ahoma"/>
      <family val="2"/>
    </font>
    <font>
      <sz val="9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8"/>
      <color rgb="FF1F4E7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EB99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FF6B6B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0">
    <xf numFmtId="0" fontId="0" fillId="0" borderId="0"/>
    <xf numFmtId="0" fontId="8" fillId="0" borderId="0"/>
    <xf numFmtId="167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26" applyNumberFormat="0" applyAlignment="0" applyProtection="0"/>
    <xf numFmtId="0" fontId="23" fillId="6" borderId="27" applyNumberFormat="0" applyAlignment="0" applyProtection="0"/>
    <xf numFmtId="0" fontId="24" fillId="6" borderId="26" applyNumberFormat="0" applyAlignment="0" applyProtection="0"/>
    <xf numFmtId="0" fontId="25" fillId="0" borderId="28" applyNumberFormat="0" applyFill="0" applyAlignment="0" applyProtection="0"/>
    <xf numFmtId="0" fontId="26" fillId="7" borderId="29" applyNumberFormat="0" applyAlignment="0" applyProtection="0"/>
    <xf numFmtId="0" fontId="27" fillId="0" borderId="0" applyNumberFormat="0" applyFill="0" applyBorder="0" applyAlignment="0" applyProtection="0"/>
    <xf numFmtId="0" fontId="8" fillId="8" borderId="30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31" applyNumberFormat="0" applyFill="0" applyAlignment="0" applyProtection="0"/>
    <xf numFmtId="0" fontId="2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9" fillId="32" borderId="0" applyNumberFormat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0" fontId="30" fillId="0" borderId="0"/>
    <xf numFmtId="0" fontId="33" fillId="0" borderId="0"/>
    <xf numFmtId="0" fontId="34" fillId="0" borderId="0"/>
    <xf numFmtId="168" fontId="34" fillId="0" borderId="0" applyFont="0" applyFill="0" applyBorder="0" applyAlignment="0" applyProtection="0"/>
    <xf numFmtId="0" fontId="8" fillId="0" borderId="0"/>
    <xf numFmtId="0" fontId="8" fillId="0" borderId="0"/>
    <xf numFmtId="9" fontId="34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0" fillId="0" borderId="0"/>
    <xf numFmtId="165" fontId="30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4" fillId="0" borderId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8" borderId="30" applyNumberFormat="0" applyFont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165" fontId="30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0" fontId="8" fillId="0" borderId="0"/>
    <xf numFmtId="0" fontId="3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2">
    <xf numFmtId="0" fontId="0" fillId="0" borderId="0" xfId="0"/>
    <xf numFmtId="0" fontId="0" fillId="0" borderId="11" xfId="0" applyBorder="1"/>
    <xf numFmtId="169" fontId="10" fillId="0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9" fontId="10" fillId="0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10" fillId="0" borderId="18" xfId="2" applyNumberFormat="1" applyFont="1" applyFill="1" applyBorder="1" applyAlignment="1">
      <alignment horizontal="center" vertical="center" wrapText="1"/>
    </xf>
    <xf numFmtId="169" fontId="10" fillId="0" borderId="19" xfId="2" applyNumberFormat="1" applyFont="1" applyFill="1" applyBorder="1" applyAlignment="1">
      <alignment horizontal="center" vertical="center" wrapText="1"/>
    </xf>
    <xf numFmtId="169" fontId="10" fillId="0" borderId="11" xfId="2" applyNumberFormat="1" applyFont="1" applyFill="1" applyBorder="1" applyAlignment="1">
      <alignment horizontal="center"/>
    </xf>
    <xf numFmtId="169" fontId="10" fillId="0" borderId="18" xfId="2" applyNumberFormat="1" applyFont="1" applyFill="1" applyBorder="1" applyAlignment="1">
      <alignment horizontal="center"/>
    </xf>
    <xf numFmtId="169" fontId="10" fillId="0" borderId="19" xfId="2" applyNumberFormat="1" applyFont="1" applyFill="1" applyBorder="1" applyAlignment="1">
      <alignment horizontal="center"/>
    </xf>
    <xf numFmtId="169" fontId="10" fillId="0" borderId="1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0" fillId="0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75" fontId="4" fillId="0" borderId="0" xfId="0" applyNumberFormat="1" applyFont="1"/>
    <xf numFmtId="169" fontId="10" fillId="0" borderId="16" xfId="2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left" vertical="center"/>
    </xf>
    <xf numFmtId="169" fontId="10" fillId="0" borderId="18" xfId="4" applyNumberFormat="1" applyFont="1" applyFill="1" applyBorder="1" applyAlignment="1">
      <alignment horizontal="center"/>
    </xf>
    <xf numFmtId="169" fontId="10" fillId="0" borderId="19" xfId="4" applyNumberFormat="1" applyFont="1" applyFill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169" fontId="10" fillId="0" borderId="11" xfId="4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5" fontId="4" fillId="0" borderId="0" xfId="0" applyNumberFormat="1" applyFont="1" applyAlignment="1">
      <alignment vertical="center"/>
    </xf>
    <xf numFmtId="169" fontId="10" fillId="0" borderId="0" xfId="4" applyNumberFormat="1" applyFont="1" applyFill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5" fontId="11" fillId="0" borderId="11" xfId="0" applyNumberFormat="1" applyFont="1" applyBorder="1" applyAlignment="1">
      <alignment horizontal="center" vertical="center" wrapText="1"/>
    </xf>
    <xf numFmtId="169" fontId="10" fillId="0" borderId="11" xfId="4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/>
    </xf>
    <xf numFmtId="169" fontId="10" fillId="0" borderId="0" xfId="4" applyNumberFormat="1" applyFont="1" applyFill="1" applyAlignment="1">
      <alignment horizontal="center"/>
    </xf>
    <xf numFmtId="169" fontId="14" fillId="0" borderId="16" xfId="0" applyNumberFormat="1" applyFont="1" applyBorder="1" applyAlignment="1">
      <alignment horizontal="center"/>
    </xf>
    <xf numFmtId="169" fontId="10" fillId="0" borderId="16" xfId="4" applyNumberFormat="1" applyFont="1" applyFill="1" applyBorder="1" applyAlignment="1">
      <alignment horizontal="center"/>
    </xf>
    <xf numFmtId="176" fontId="4" fillId="0" borderId="18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0" fontId="31" fillId="0" borderId="11" xfId="0" applyFont="1" applyBorder="1" applyAlignment="1">
      <alignment horizontal="left" vertical="center"/>
    </xf>
    <xf numFmtId="0" fontId="12" fillId="33" borderId="17" xfId="0" applyFont="1" applyFill="1" applyBorder="1" applyAlignment="1">
      <alignment horizontal="left" vertical="center"/>
    </xf>
    <xf numFmtId="0" fontId="4" fillId="33" borderId="18" xfId="0" applyFont="1" applyFill="1" applyBorder="1" applyAlignment="1">
      <alignment horizontal="center"/>
    </xf>
    <xf numFmtId="0" fontId="4" fillId="33" borderId="11" xfId="0" applyFont="1" applyFill="1" applyBorder="1" applyAlignment="1">
      <alignment horizontal="center"/>
    </xf>
    <xf numFmtId="0" fontId="11" fillId="33" borderId="18" xfId="0" applyFont="1" applyFill="1" applyBorder="1" applyAlignment="1">
      <alignment horizontal="center"/>
    </xf>
    <xf numFmtId="176" fontId="11" fillId="33" borderId="11" xfId="0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left" vertical="center"/>
    </xf>
    <xf numFmtId="176" fontId="4" fillId="33" borderId="11" xfId="0" applyNumberFormat="1" applyFont="1" applyFill="1" applyBorder="1" applyAlignment="1">
      <alignment horizontal="center" vertical="center"/>
    </xf>
    <xf numFmtId="0" fontId="13" fillId="33" borderId="20" xfId="0" applyFont="1" applyFill="1" applyBorder="1" applyAlignment="1">
      <alignment horizontal="left" vertical="center"/>
    </xf>
    <xf numFmtId="0" fontId="4" fillId="33" borderId="2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33" borderId="19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0" fontId="32" fillId="0" borderId="11" xfId="0" applyFont="1" applyBorder="1" applyAlignment="1">
      <alignment horizontal="left" vertical="center"/>
    </xf>
    <xf numFmtId="169" fontId="4" fillId="33" borderId="19" xfId="0" applyNumberFormat="1" applyFont="1" applyFill="1" applyBorder="1" applyAlignment="1">
      <alignment horizontal="center"/>
    </xf>
    <xf numFmtId="169" fontId="10" fillId="33" borderId="11" xfId="4" applyNumberFormat="1" applyFont="1" applyFill="1" applyBorder="1" applyAlignment="1">
      <alignment horizontal="center"/>
    </xf>
    <xf numFmtId="169" fontId="10" fillId="33" borderId="18" xfId="4" applyNumberFormat="1" applyFont="1" applyFill="1" applyBorder="1" applyAlignment="1">
      <alignment horizontal="center"/>
    </xf>
    <xf numFmtId="169" fontId="10" fillId="33" borderId="19" xfId="4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175" fontId="11" fillId="0" borderId="18" xfId="0" applyNumberFormat="1" applyFont="1" applyBorder="1" applyAlignment="1">
      <alignment horizontal="center" vertical="center" wrapText="1"/>
    </xf>
    <xf numFmtId="169" fontId="10" fillId="0" borderId="19" xfId="4" applyNumberFormat="1" applyFont="1" applyFill="1" applyBorder="1" applyAlignment="1">
      <alignment horizontal="center" vertical="center" wrapText="1"/>
    </xf>
    <xf numFmtId="169" fontId="10" fillId="0" borderId="18" xfId="4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175" fontId="11" fillId="0" borderId="11" xfId="0" quotePrefix="1" applyNumberFormat="1" applyFont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 vertical="center" wrapText="1"/>
    </xf>
    <xf numFmtId="169" fontId="10" fillId="34" borderId="19" xfId="4" applyNumberFormat="1" applyFont="1" applyFill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/>
    </xf>
    <xf numFmtId="169" fontId="10" fillId="34" borderId="19" xfId="4" applyNumberFormat="1" applyFont="1" applyFill="1" applyBorder="1" applyAlignment="1">
      <alignment horizontal="center"/>
    </xf>
    <xf numFmtId="169" fontId="10" fillId="34" borderId="16" xfId="4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2" fillId="0" borderId="17" xfId="0" applyFont="1" applyBorder="1" applyAlignment="1">
      <alignment horizontal="left" vertical="center"/>
    </xf>
    <xf numFmtId="0" fontId="11" fillId="35" borderId="19" xfId="0" applyFont="1" applyFill="1" applyBorder="1" applyAlignment="1">
      <alignment horizontal="center"/>
    </xf>
    <xf numFmtId="0" fontId="32" fillId="33" borderId="20" xfId="0" applyFont="1" applyFill="1" applyBorder="1" applyAlignment="1">
      <alignment horizontal="left" vertical="center"/>
    </xf>
    <xf numFmtId="0" fontId="10" fillId="35" borderId="0" xfId="0" applyFont="1" applyFill="1" applyAlignment="1">
      <alignment horizontal="center" vertical="center"/>
    </xf>
    <xf numFmtId="0" fontId="11" fillId="35" borderId="11" xfId="0" applyFont="1" applyFill="1" applyBorder="1" applyAlignment="1">
      <alignment horizontal="center" vertical="center" wrapText="1"/>
    </xf>
    <xf numFmtId="0" fontId="11" fillId="35" borderId="18" xfId="0" applyFont="1" applyFill="1" applyBorder="1" applyAlignment="1">
      <alignment horizontal="center" vertical="center" wrapText="1"/>
    </xf>
    <xf numFmtId="0" fontId="4" fillId="35" borderId="1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7" xfId="0" applyBorder="1"/>
    <xf numFmtId="169" fontId="0" fillId="0" borderId="0" xfId="0" applyNumberFormat="1"/>
    <xf numFmtId="169" fontId="0" fillId="0" borderId="6" xfId="0" applyNumberFormat="1" applyBorder="1" applyAlignment="1">
      <alignment horizontal="right"/>
    </xf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0" fillId="0" borderId="3" xfId="0" applyBorder="1"/>
    <xf numFmtId="0" fontId="1" fillId="0" borderId="0" xfId="0" applyFont="1" applyAlignment="1">
      <alignment horizontal="center"/>
    </xf>
    <xf numFmtId="0" fontId="2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5" xfId="0" applyBorder="1"/>
    <xf numFmtId="0" fontId="0" fillId="0" borderId="37" xfId="0" applyBorder="1"/>
    <xf numFmtId="0" fontId="0" fillId="0" borderId="38" xfId="0" applyBorder="1" applyAlignment="1">
      <alignment horizontal="left"/>
    </xf>
    <xf numFmtId="16" fontId="1" fillId="0" borderId="0" xfId="0" quotePrefix="1" applyNumberFormat="1" applyFont="1" applyAlignment="1">
      <alignment horizontal="left"/>
    </xf>
    <xf numFmtId="16" fontId="1" fillId="0" borderId="39" xfId="0" quotePrefix="1" applyNumberFormat="1" applyFont="1" applyBorder="1" applyAlignment="1">
      <alignment horizontal="left"/>
    </xf>
    <xf numFmtId="0" fontId="1" fillId="0" borderId="7" xfId="0" applyFont="1" applyBorder="1"/>
    <xf numFmtId="170" fontId="0" fillId="0" borderId="0" xfId="0" applyNumberFormat="1"/>
    <xf numFmtId="0" fontId="0" fillId="0" borderId="8" xfId="0" applyBorder="1"/>
    <xf numFmtId="17" fontId="2" fillId="0" borderId="38" xfId="0" applyNumberFormat="1" applyFont="1" applyBorder="1" applyAlignment="1">
      <alignment horizontal="left"/>
    </xf>
    <xf numFmtId="0" fontId="0" fillId="0" borderId="39" xfId="0" applyBorder="1"/>
    <xf numFmtId="0" fontId="0" fillId="0" borderId="53" xfId="0" applyBorder="1"/>
    <xf numFmtId="169" fontId="0" fillId="0" borderId="51" xfId="0" applyNumberFormat="1" applyBorder="1"/>
    <xf numFmtId="169" fontId="0" fillId="0" borderId="54" xfId="0" applyNumberFormat="1" applyBorder="1"/>
    <xf numFmtId="0" fontId="1" fillId="0" borderId="7" xfId="0" quotePrefix="1" applyFont="1" applyBorder="1"/>
    <xf numFmtId="4" fontId="0" fillId="0" borderId="38" xfId="0" applyNumberFormat="1" applyBorder="1"/>
    <xf numFmtId="171" fontId="3" fillId="0" borderId="39" xfId="0" applyNumberFormat="1" applyFont="1" applyBorder="1" applyAlignment="1">
      <alignment horizontal="left"/>
    </xf>
    <xf numFmtId="170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71" fontId="0" fillId="0" borderId="54" xfId="0" applyNumberFormat="1" applyBorder="1" applyAlignment="1">
      <alignment horizontal="right"/>
    </xf>
    <xf numFmtId="171" fontId="3" fillId="0" borderId="39" xfId="0" applyNumberFormat="1" applyFont="1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171" fontId="0" fillId="0" borderId="0" xfId="0" applyNumberFormat="1"/>
    <xf numFmtId="170" fontId="3" fillId="0" borderId="38" xfId="0" applyNumberFormat="1" applyFont="1" applyBorder="1" applyAlignment="1">
      <alignment horizontal="right" wrapText="1"/>
    </xf>
    <xf numFmtId="171" fontId="3" fillId="0" borderId="39" xfId="0" applyNumberFormat="1" applyFont="1" applyBorder="1" applyAlignment="1">
      <alignment horizontal="center"/>
    </xf>
    <xf numFmtId="172" fontId="0" fillId="0" borderId="0" xfId="0" applyNumberFormat="1" applyAlignment="1">
      <alignment horizontal="right"/>
    </xf>
    <xf numFmtId="170" fontId="3" fillId="0" borderId="40" xfId="0" applyNumberFormat="1" applyFont="1" applyBorder="1" applyAlignment="1">
      <alignment horizontal="right" wrapText="1"/>
    </xf>
    <xf numFmtId="171" fontId="3" fillId="0" borderId="42" xfId="0" applyNumberFormat="1" applyFont="1" applyBorder="1" applyAlignment="1">
      <alignment horizontal="right"/>
    </xf>
    <xf numFmtId="0" fontId="0" fillId="0" borderId="36" xfId="0" applyBorder="1"/>
    <xf numFmtId="170" fontId="1" fillId="0" borderId="0" xfId="0" applyNumberFormat="1" applyFont="1"/>
    <xf numFmtId="0" fontId="0" fillId="0" borderId="38" xfId="0" quotePrefix="1" applyBorder="1"/>
    <xf numFmtId="170" fontId="0" fillId="0" borderId="39" xfId="0" applyNumberFormat="1" applyBorder="1"/>
    <xf numFmtId="4" fontId="0" fillId="0" borderId="0" xfId="0" applyNumberFormat="1"/>
    <xf numFmtId="0" fontId="3" fillId="0" borderId="38" xfId="0" applyFont="1" applyBorder="1" applyAlignment="1">
      <alignment horizontal="right" wrapText="1"/>
    </xf>
    <xf numFmtId="174" fontId="0" fillId="0" borderId="0" xfId="0" applyNumberFormat="1"/>
    <xf numFmtId="173" fontId="5" fillId="0" borderId="0" xfId="0" applyNumberFormat="1" applyFont="1" applyAlignment="1">
      <alignment horizontal="center" wrapText="1"/>
    </xf>
    <xf numFmtId="0" fontId="0" fillId="0" borderId="38" xfId="0" applyBorder="1"/>
    <xf numFmtId="4" fontId="0" fillId="0" borderId="38" xfId="0" quotePrefix="1" applyNumberFormat="1" applyBorder="1"/>
    <xf numFmtId="170" fontId="0" fillId="0" borderId="52" xfId="0" applyNumberFormat="1" applyBorder="1"/>
    <xf numFmtId="169" fontId="0" fillId="0" borderId="38" xfId="0" applyNumberFormat="1" applyBorder="1"/>
    <xf numFmtId="173" fontId="3" fillId="0" borderId="0" xfId="0" applyNumberFormat="1" applyFont="1" applyAlignment="1">
      <alignment horizontal="center" wrapText="1"/>
    </xf>
    <xf numFmtId="171" fontId="3" fillId="0" borderId="42" xfId="0" applyNumberFormat="1" applyFont="1" applyBorder="1" applyAlignment="1">
      <alignment horizontal="left"/>
    </xf>
    <xf numFmtId="173" fontId="5" fillId="0" borderId="41" xfId="0" applyNumberFormat="1" applyFont="1" applyBorder="1" applyAlignment="1">
      <alignment horizontal="center" wrapText="1"/>
    </xf>
    <xf numFmtId="0" fontId="2" fillId="0" borderId="45" xfId="0" applyFont="1" applyBorder="1" applyAlignment="1">
      <alignment horizontal="left"/>
    </xf>
    <xf numFmtId="0" fontId="0" fillId="0" borderId="46" xfId="0" applyBorder="1"/>
    <xf numFmtId="170" fontId="0" fillId="0" borderId="11" xfId="0" applyNumberFormat="1" applyBorder="1"/>
    <xf numFmtId="0" fontId="0" fillId="0" borderId="47" xfId="0" applyBorder="1" applyAlignment="1">
      <alignment horizontal="center"/>
    </xf>
    <xf numFmtId="170" fontId="0" fillId="0" borderId="48" xfId="0" applyNumberFormat="1" applyBorder="1"/>
    <xf numFmtId="9" fontId="0" fillId="0" borderId="11" xfId="0" applyNumberFormat="1" applyBorder="1"/>
    <xf numFmtId="169" fontId="0" fillId="0" borderId="11" xfId="0" applyNumberFormat="1" applyBorder="1"/>
    <xf numFmtId="0" fontId="0" fillId="0" borderId="49" xfId="0" applyBorder="1"/>
    <xf numFmtId="170" fontId="1" fillId="0" borderId="50" xfId="0" applyNumberFormat="1" applyFont="1" applyBorder="1"/>
    <xf numFmtId="0" fontId="1" fillId="0" borderId="4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49" xfId="0" applyBorder="1" applyAlignment="1">
      <alignment horizontal="center"/>
    </xf>
    <xf numFmtId="9" fontId="0" fillId="0" borderId="0" xfId="0" applyNumberFormat="1"/>
    <xf numFmtId="170" fontId="0" fillId="0" borderId="8" xfId="0" applyNumberFormat="1" applyBorder="1"/>
    <xf numFmtId="170" fontId="1" fillId="0" borderId="8" xfId="0" applyNumberFormat="1" applyFont="1" applyBorder="1"/>
    <xf numFmtId="0" fontId="1" fillId="0" borderId="21" xfId="0" applyFont="1" applyBorder="1" applyAlignment="1">
      <alignment horizontal="center"/>
    </xf>
    <xf numFmtId="169" fontId="0" fillId="0" borderId="8" xfId="0" applyNumberFormat="1" applyBorder="1"/>
    <xf numFmtId="3" fontId="0" fillId="0" borderId="22" xfId="0" applyNumberFormat="1" applyBorder="1" applyAlignment="1">
      <alignment horizontal="right"/>
    </xf>
    <xf numFmtId="169" fontId="0" fillId="0" borderId="22" xfId="0" applyNumberFormat="1" applyBorder="1"/>
    <xf numFmtId="3" fontId="0" fillId="0" borderId="7" xfId="0" applyNumberFormat="1" applyBorder="1"/>
    <xf numFmtId="3" fontId="0" fillId="0" borderId="22" xfId="0" applyNumberFormat="1" applyBorder="1"/>
    <xf numFmtId="3" fontId="0" fillId="0" borderId="34" xfId="0" applyNumberFormat="1" applyBorder="1"/>
    <xf numFmtId="169" fontId="0" fillId="0" borderId="34" xfId="0" applyNumberFormat="1" applyBorder="1"/>
    <xf numFmtId="0" fontId="1" fillId="0" borderId="13" xfId="0" applyFont="1" applyBorder="1"/>
    <xf numFmtId="170" fontId="1" fillId="0" borderId="12" xfId="0" applyNumberFormat="1" applyFont="1" applyBorder="1"/>
    <xf numFmtId="0" fontId="1" fillId="0" borderId="33" xfId="0" applyFont="1" applyBorder="1" applyAlignment="1">
      <alignment horizontal="right"/>
    </xf>
    <xf numFmtId="170" fontId="1" fillId="0" borderId="32" xfId="0" applyNumberFormat="1" applyFont="1" applyBorder="1"/>
    <xf numFmtId="166" fontId="0" fillId="0" borderId="0" xfId="0" applyNumberFormat="1"/>
    <xf numFmtId="3" fontId="0" fillId="0" borderId="9" xfId="0" applyNumberFormat="1" applyBorder="1"/>
    <xf numFmtId="0" fontId="0" fillId="0" borderId="10" xfId="0" applyBorder="1"/>
    <xf numFmtId="170" fontId="0" fillId="0" borderId="15" xfId="0" applyNumberFormat="1" applyBorder="1"/>
    <xf numFmtId="17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70" fontId="0" fillId="0" borderId="0" xfId="0" applyNumberFormat="1" applyAlignment="1">
      <alignment horizontal="center"/>
    </xf>
    <xf numFmtId="170" fontId="3" fillId="0" borderId="0" xfId="0" applyNumberFormat="1" applyFont="1" applyAlignment="1">
      <alignment horizontal="right" wrapText="1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left"/>
    </xf>
    <xf numFmtId="0" fontId="0" fillId="0" borderId="0" xfId="0" quotePrefix="1"/>
    <xf numFmtId="178" fontId="0" fillId="0" borderId="0" xfId="0" applyNumberFormat="1"/>
    <xf numFmtId="178" fontId="0" fillId="0" borderId="0" xfId="0" quotePrefix="1" applyNumberFormat="1"/>
    <xf numFmtId="170" fontId="2" fillId="0" borderId="5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quotePrefix="1" applyBorder="1"/>
    <xf numFmtId="0" fontId="0" fillId="0" borderId="57" xfId="0" applyBorder="1"/>
    <xf numFmtId="17" fontId="1" fillId="0" borderId="7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2" fillId="0" borderId="5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170" fontId="1" fillId="0" borderId="10" xfId="0" applyNumberFormat="1" applyFont="1" applyBorder="1"/>
    <xf numFmtId="0" fontId="0" fillId="0" borderId="56" xfId="0" applyBorder="1"/>
    <xf numFmtId="0" fontId="0" fillId="0" borderId="18" xfId="0" applyBorder="1"/>
    <xf numFmtId="169" fontId="0" fillId="0" borderId="19" xfId="0" applyNumberFormat="1" applyBorder="1"/>
    <xf numFmtId="0" fontId="0" fillId="0" borderId="2" xfId="0" applyBorder="1"/>
    <xf numFmtId="0" fontId="0" fillId="0" borderId="1" xfId="0" applyBorder="1"/>
    <xf numFmtId="3" fontId="0" fillId="0" borderId="0" xfId="0" applyNumberFormat="1" applyAlignment="1">
      <alignment horizontal="right"/>
    </xf>
    <xf numFmtId="0" fontId="35" fillId="0" borderId="59" xfId="0" applyFont="1" applyBorder="1"/>
    <xf numFmtId="0" fontId="36" fillId="0" borderId="59" xfId="0" applyFont="1" applyBorder="1" applyAlignment="1">
      <alignment vertical="center"/>
    </xf>
    <xf numFmtId="178" fontId="0" fillId="0" borderId="8" xfId="0" applyNumberFormat="1" applyBorder="1"/>
    <xf numFmtId="169" fontId="0" fillId="36" borderId="22" xfId="0" applyNumberFormat="1" applyFill="1" applyBorder="1"/>
    <xf numFmtId="3" fontId="0" fillId="0" borderId="11" xfId="0" applyNumberFormat="1" applyBorder="1"/>
    <xf numFmtId="0" fontId="1" fillId="0" borderId="0" xfId="0" applyFont="1" applyAlignment="1">
      <alignment horizontal="right"/>
    </xf>
    <xf numFmtId="10" fontId="0" fillId="0" borderId="0" xfId="0" applyNumberFormat="1"/>
    <xf numFmtId="169" fontId="0" fillId="36" borderId="0" xfId="0" applyNumberFormat="1" applyFill="1"/>
    <xf numFmtId="178" fontId="0" fillId="0" borderId="0" xfId="0" applyNumberFormat="1" applyAlignment="1">
      <alignment horizontal="center"/>
    </xf>
    <xf numFmtId="0" fontId="0" fillId="0" borderId="0" xfId="0" quotePrefix="1" applyAlignment="1">
      <alignment wrapText="1"/>
    </xf>
    <xf numFmtId="4" fontId="0" fillId="0" borderId="0" xfId="0" quotePrefix="1" applyNumberFormat="1" applyAlignment="1">
      <alignment horizontal="center"/>
    </xf>
    <xf numFmtId="178" fontId="0" fillId="0" borderId="0" xfId="0" quotePrefix="1" applyNumberFormat="1" applyAlignment="1">
      <alignment horizontal="center"/>
    </xf>
    <xf numFmtId="0" fontId="0" fillId="0" borderId="9" xfId="0" quotePrefix="1" applyBorder="1"/>
    <xf numFmtId="10" fontId="0" fillId="0" borderId="10" xfId="0" applyNumberFormat="1" applyBorder="1"/>
    <xf numFmtId="10" fontId="0" fillId="0" borderId="56" xfId="0" applyNumberFormat="1" applyBorder="1"/>
    <xf numFmtId="4" fontId="0" fillId="0" borderId="10" xfId="0" applyNumberFormat="1" applyBorder="1"/>
    <xf numFmtId="178" fontId="0" fillId="0" borderId="56" xfId="0" applyNumberFormat="1" applyBorder="1"/>
    <xf numFmtId="179" fontId="35" fillId="0" borderId="0" xfId="0" applyNumberFormat="1" applyFont="1" applyAlignment="1">
      <alignment horizontal="left" vertical="center"/>
    </xf>
    <xf numFmtId="3" fontId="35" fillId="0" borderId="0" xfId="0" applyNumberFormat="1" applyFont="1" applyAlignment="1">
      <alignment horizontal="left" vertical="center"/>
    </xf>
    <xf numFmtId="0" fontId="0" fillId="0" borderId="60" xfId="0" applyBorder="1"/>
    <xf numFmtId="0" fontId="36" fillId="0" borderId="7" xfId="0" applyFont="1" applyBorder="1" applyAlignment="1">
      <alignment vertical="center"/>
    </xf>
    <xf numFmtId="0" fontId="0" fillId="0" borderId="9" xfId="0" applyBorder="1"/>
    <xf numFmtId="169" fontId="0" fillId="0" borderId="3" xfId="0" applyNumberFormat="1" applyBorder="1"/>
    <xf numFmtId="180" fontId="0" fillId="0" borderId="0" xfId="0" applyNumberFormat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7" fontId="0" fillId="0" borderId="0" xfId="0" applyNumberFormat="1"/>
    <xf numFmtId="0" fontId="0" fillId="0" borderId="0" xfId="0" applyAlignment="1">
      <alignment horizontal="center" vertical="center" wrapText="1"/>
    </xf>
    <xf numFmtId="4" fontId="37" fillId="0" borderId="0" xfId="0" applyNumberFormat="1" applyFont="1"/>
    <xf numFmtId="179" fontId="0" fillId="0" borderId="0" xfId="0" applyNumberFormat="1"/>
    <xf numFmtId="3" fontId="1" fillId="0" borderId="0" xfId="0" applyNumberFormat="1" applyFont="1" applyAlignment="1">
      <alignment horizontal="right"/>
    </xf>
    <xf numFmtId="3" fontId="1" fillId="0" borderId="11" xfId="0" quotePrefix="1" applyNumberFormat="1" applyFont="1" applyBorder="1" applyAlignment="1">
      <alignment horizontal="center" vertical="center"/>
    </xf>
    <xf numFmtId="0" fontId="4" fillId="0" borderId="11" xfId="0" applyFont="1" applyBorder="1"/>
    <xf numFmtId="4" fontId="0" fillId="0" borderId="0" xfId="0" quotePrefix="1" applyNumberFormat="1"/>
    <xf numFmtId="4" fontId="0" fillId="37" borderId="0" xfId="0" applyNumberFormat="1" applyFill="1"/>
    <xf numFmtId="178" fontId="0" fillId="37" borderId="0" xfId="0" applyNumberFormat="1" applyFill="1"/>
    <xf numFmtId="3" fontId="0" fillId="0" borderId="61" xfId="0" applyNumberFormat="1" applyBorder="1"/>
    <xf numFmtId="0" fontId="36" fillId="0" borderId="9" xfId="0" applyFont="1" applyBorder="1" applyAlignment="1">
      <alignment vertical="center"/>
    </xf>
    <xf numFmtId="3" fontId="1" fillId="0" borderId="10" xfId="0" applyNumberFormat="1" applyFont="1" applyBorder="1"/>
    <xf numFmtId="3" fontId="1" fillId="0" borderId="56" xfId="0" applyNumberFormat="1" applyFont="1" applyBorder="1"/>
    <xf numFmtId="3" fontId="1" fillId="0" borderId="61" xfId="0" quotePrefix="1" applyNumberFormat="1" applyFont="1" applyBorder="1" applyAlignment="1">
      <alignment horizontal="center"/>
    </xf>
    <xf numFmtId="0" fontId="0" fillId="0" borderId="59" xfId="0" applyBorder="1"/>
    <xf numFmtId="0" fontId="0" fillId="0" borderId="61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/>
    <xf numFmtId="0" fontId="40" fillId="38" borderId="0" xfId="0" applyFont="1" applyFill="1" applyAlignment="1">
      <alignment horizontal="center"/>
    </xf>
    <xf numFmtId="0" fontId="41" fillId="39" borderId="0" xfId="0" applyFont="1" applyFill="1"/>
    <xf numFmtId="0" fontId="1" fillId="0" borderId="0" xfId="0" applyFont="1"/>
    <xf numFmtId="0" fontId="1" fillId="40" borderId="0" xfId="0" applyFont="1" applyFill="1"/>
    <xf numFmtId="181" fontId="0" fillId="0" borderId="0" xfId="0" applyNumberFormat="1"/>
    <xf numFmtId="182" fontId="0" fillId="0" borderId="0" xfId="0" applyNumberFormat="1"/>
    <xf numFmtId="0" fontId="1" fillId="41" borderId="0" xfId="0" applyFont="1" applyFill="1"/>
    <xf numFmtId="3" fontId="1" fillId="41" borderId="0" xfId="0" applyNumberFormat="1" applyFont="1" applyFill="1"/>
    <xf numFmtId="181" fontId="1" fillId="41" borderId="0" xfId="0" applyNumberFormat="1" applyFont="1" applyFill="1"/>
    <xf numFmtId="182" fontId="1" fillId="41" borderId="0" xfId="0" applyNumberFormat="1" applyFont="1" applyFill="1"/>
    <xf numFmtId="0" fontId="0" fillId="42" borderId="0" xfId="0" applyFill="1" applyAlignment="1">
      <alignment vertical="center" wrapText="1"/>
    </xf>
    <xf numFmtId="0" fontId="0" fillId="43" borderId="0" xfId="0" applyFill="1" applyAlignment="1">
      <alignment vertical="center" wrapText="1"/>
    </xf>
    <xf numFmtId="0" fontId="0" fillId="44" borderId="0" xfId="0" applyFill="1" applyAlignment="1">
      <alignment vertical="center" wrapText="1"/>
    </xf>
    <xf numFmtId="0" fontId="0" fillId="41" borderId="0" xfId="0" applyFill="1" applyAlignment="1">
      <alignment vertical="center" wrapText="1"/>
    </xf>
    <xf numFmtId="0" fontId="41" fillId="39" borderId="0" xfId="0" applyFont="1" applyFill="1" applyAlignment="1">
      <alignment horizontal="center"/>
    </xf>
    <xf numFmtId="181" fontId="0" fillId="41" borderId="0" xfId="0" applyNumberFormat="1" applyFill="1"/>
    <xf numFmtId="0" fontId="0" fillId="41" borderId="0" xfId="0" applyFill="1"/>
    <xf numFmtId="182" fontId="0" fillId="41" borderId="0" xfId="0" applyNumberFormat="1" applyFill="1"/>
    <xf numFmtId="181" fontId="42" fillId="0" borderId="0" xfId="0" applyNumberFormat="1" applyFont="1"/>
    <xf numFmtId="17" fontId="1" fillId="40" borderId="0" xfId="0" applyNumberFormat="1" applyFont="1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43" fillId="48" borderId="0" xfId="0" applyFont="1" applyFill="1"/>
    <xf numFmtId="0" fontId="0" fillId="42" borderId="0" xfId="0" applyFill="1"/>
    <xf numFmtId="4" fontId="0" fillId="42" borderId="0" xfId="0" applyNumberFormat="1" applyFill="1"/>
    <xf numFmtId="181" fontId="0" fillId="42" borderId="0" xfId="0" applyNumberFormat="1" applyFill="1"/>
  </cellXfs>
  <cellStyles count="210">
    <cellStyle name="20% - Accent1" xfId="23" builtinId="30" customBuiltin="1"/>
    <cellStyle name="20% - Accent1 2" xfId="87" xr:uid="{00000000-0005-0000-0000-000001000000}"/>
    <cellStyle name="20% - Accent1 2 2" xfId="136" xr:uid="{00000000-0005-0000-0000-000002000000}"/>
    <cellStyle name="20% - Accent1 3" xfId="111" xr:uid="{00000000-0005-0000-0000-000003000000}"/>
    <cellStyle name="20% - Accent1 4" xfId="162" xr:uid="{00000000-0005-0000-0000-000004000000}"/>
    <cellStyle name="20% - Accent2" xfId="27" builtinId="34" customBuiltin="1"/>
    <cellStyle name="20% - Accent2 2" xfId="89" xr:uid="{00000000-0005-0000-0000-000006000000}"/>
    <cellStyle name="20% - Accent2 2 2" xfId="138" xr:uid="{00000000-0005-0000-0000-000007000000}"/>
    <cellStyle name="20% - Accent2 3" xfId="113" xr:uid="{00000000-0005-0000-0000-000008000000}"/>
    <cellStyle name="20% - Accent2 4" xfId="164" xr:uid="{00000000-0005-0000-0000-000009000000}"/>
    <cellStyle name="20% - Accent3" xfId="31" builtinId="38" customBuiltin="1"/>
    <cellStyle name="20% - Accent3 2" xfId="91" xr:uid="{00000000-0005-0000-0000-00000B000000}"/>
    <cellStyle name="20% - Accent3 2 2" xfId="140" xr:uid="{00000000-0005-0000-0000-00000C000000}"/>
    <cellStyle name="20% - Accent3 3" xfId="115" xr:uid="{00000000-0005-0000-0000-00000D000000}"/>
    <cellStyle name="20% - Accent3 4" xfId="166" xr:uid="{00000000-0005-0000-0000-00000E000000}"/>
    <cellStyle name="20% - Accent4" xfId="35" builtinId="42" customBuiltin="1"/>
    <cellStyle name="20% - Accent4 2" xfId="93" xr:uid="{00000000-0005-0000-0000-000010000000}"/>
    <cellStyle name="20% - Accent4 2 2" xfId="142" xr:uid="{00000000-0005-0000-0000-000011000000}"/>
    <cellStyle name="20% - Accent4 3" xfId="117" xr:uid="{00000000-0005-0000-0000-000012000000}"/>
    <cellStyle name="20% - Accent4 4" xfId="168" xr:uid="{00000000-0005-0000-0000-000013000000}"/>
    <cellStyle name="20% - Accent5" xfId="39" builtinId="46" customBuiltin="1"/>
    <cellStyle name="20% - Accent5 2" xfId="95" xr:uid="{00000000-0005-0000-0000-000015000000}"/>
    <cellStyle name="20% - Accent5 2 2" xfId="144" xr:uid="{00000000-0005-0000-0000-000016000000}"/>
    <cellStyle name="20% - Accent5 3" xfId="119" xr:uid="{00000000-0005-0000-0000-000017000000}"/>
    <cellStyle name="20% - Accent5 4" xfId="170" xr:uid="{00000000-0005-0000-0000-000018000000}"/>
    <cellStyle name="20% - Accent6" xfId="43" builtinId="50" customBuiltin="1"/>
    <cellStyle name="20% - Accent6 2" xfId="97" xr:uid="{00000000-0005-0000-0000-00001A000000}"/>
    <cellStyle name="20% - Accent6 2 2" xfId="146" xr:uid="{00000000-0005-0000-0000-00001B000000}"/>
    <cellStyle name="20% - Accent6 3" xfId="121" xr:uid="{00000000-0005-0000-0000-00001C000000}"/>
    <cellStyle name="20% - Accent6 4" xfId="172" xr:uid="{00000000-0005-0000-0000-00001D000000}"/>
    <cellStyle name="40% - Accent1" xfId="24" builtinId="31" customBuiltin="1"/>
    <cellStyle name="40% - Accent1 2" xfId="88" xr:uid="{00000000-0005-0000-0000-00001F000000}"/>
    <cellStyle name="40% - Accent1 2 2" xfId="137" xr:uid="{00000000-0005-0000-0000-000020000000}"/>
    <cellStyle name="40% - Accent1 3" xfId="112" xr:uid="{00000000-0005-0000-0000-000021000000}"/>
    <cellStyle name="40% - Accent1 4" xfId="163" xr:uid="{00000000-0005-0000-0000-000022000000}"/>
    <cellStyle name="40% - Accent2" xfId="28" builtinId="35" customBuiltin="1"/>
    <cellStyle name="40% - Accent2 2" xfId="90" xr:uid="{00000000-0005-0000-0000-000024000000}"/>
    <cellStyle name="40% - Accent2 2 2" xfId="139" xr:uid="{00000000-0005-0000-0000-000025000000}"/>
    <cellStyle name="40% - Accent2 3" xfId="114" xr:uid="{00000000-0005-0000-0000-000026000000}"/>
    <cellStyle name="40% - Accent2 4" xfId="165" xr:uid="{00000000-0005-0000-0000-000027000000}"/>
    <cellStyle name="40% - Accent3" xfId="32" builtinId="39" customBuiltin="1"/>
    <cellStyle name="40% - Accent3 2" xfId="92" xr:uid="{00000000-0005-0000-0000-000029000000}"/>
    <cellStyle name="40% - Accent3 2 2" xfId="141" xr:uid="{00000000-0005-0000-0000-00002A000000}"/>
    <cellStyle name="40% - Accent3 3" xfId="116" xr:uid="{00000000-0005-0000-0000-00002B000000}"/>
    <cellStyle name="40% - Accent3 4" xfId="167" xr:uid="{00000000-0005-0000-0000-00002C000000}"/>
    <cellStyle name="40% - Accent4" xfId="36" builtinId="43" customBuiltin="1"/>
    <cellStyle name="40% - Accent4 2" xfId="94" xr:uid="{00000000-0005-0000-0000-00002E000000}"/>
    <cellStyle name="40% - Accent4 2 2" xfId="143" xr:uid="{00000000-0005-0000-0000-00002F000000}"/>
    <cellStyle name="40% - Accent4 3" xfId="118" xr:uid="{00000000-0005-0000-0000-000030000000}"/>
    <cellStyle name="40% - Accent4 4" xfId="169" xr:uid="{00000000-0005-0000-0000-000031000000}"/>
    <cellStyle name="40% - Accent5" xfId="40" builtinId="47" customBuiltin="1"/>
    <cellStyle name="40% - Accent5 2" xfId="96" xr:uid="{00000000-0005-0000-0000-000033000000}"/>
    <cellStyle name="40% - Accent5 2 2" xfId="145" xr:uid="{00000000-0005-0000-0000-000034000000}"/>
    <cellStyle name="40% - Accent5 3" xfId="120" xr:uid="{00000000-0005-0000-0000-000035000000}"/>
    <cellStyle name="40% - Accent5 4" xfId="171" xr:uid="{00000000-0005-0000-0000-000036000000}"/>
    <cellStyle name="40% - Accent6" xfId="44" builtinId="51" customBuiltin="1"/>
    <cellStyle name="40% - Accent6 2" xfId="98" xr:uid="{00000000-0005-0000-0000-000038000000}"/>
    <cellStyle name="40% - Accent6 2 2" xfId="147" xr:uid="{00000000-0005-0000-0000-000039000000}"/>
    <cellStyle name="40% - Accent6 3" xfId="122" xr:uid="{00000000-0005-0000-0000-00003A000000}"/>
    <cellStyle name="40% - Accent6 4" xfId="173" xr:uid="{00000000-0005-0000-0000-00003B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6" xr:uid="{00000000-0005-0000-0000-00004B000000}"/>
    <cellStyle name="Comma 2 2" xfId="67" xr:uid="{00000000-0005-0000-0000-00004C000000}"/>
    <cellStyle name="Comma 2 3" xfId="63" xr:uid="{00000000-0005-0000-0000-00004D000000}"/>
    <cellStyle name="Comma 2 3 2" xfId="134" xr:uid="{00000000-0005-0000-0000-00004E000000}"/>
    <cellStyle name="Comma 2 4" xfId="160" xr:uid="{00000000-0005-0000-0000-00004F000000}"/>
    <cellStyle name="Comma 2 5" xfId="82" xr:uid="{00000000-0005-0000-0000-000050000000}"/>
    <cellStyle name="Comma 3" xfId="48" xr:uid="{00000000-0005-0000-0000-000051000000}"/>
    <cellStyle name="Comma 3 2" xfId="58" xr:uid="{00000000-0005-0000-0000-000052000000}"/>
    <cellStyle name="Comma 3 3" xfId="68" xr:uid="{00000000-0005-0000-0000-000053000000}"/>
    <cellStyle name="Comma 3 3 2" xfId="150" xr:uid="{00000000-0005-0000-0000-000054000000}"/>
    <cellStyle name="Comma 3 3 3" xfId="101" xr:uid="{00000000-0005-0000-0000-000055000000}"/>
    <cellStyle name="Comma 3 3 4" xfId="189" xr:uid="{00000000-0005-0000-0000-000056000000}"/>
    <cellStyle name="Comma 3 3 5" xfId="199" xr:uid="{00000000-0005-0000-0000-000057000000}"/>
    <cellStyle name="Comma 3 3 5 2" xfId="208" xr:uid="{00000000-0005-0000-0000-000058000000}"/>
    <cellStyle name="Comma 3 4" xfId="64" xr:uid="{00000000-0005-0000-0000-000059000000}"/>
    <cellStyle name="Comma 3 5" xfId="53" xr:uid="{00000000-0005-0000-0000-00005A000000}"/>
    <cellStyle name="Comma 3 5 2" xfId="192" xr:uid="{00000000-0005-0000-0000-00005B000000}"/>
    <cellStyle name="Comma 3 5 3" xfId="202" xr:uid="{00000000-0005-0000-0000-00005C000000}"/>
    <cellStyle name="Comma 3 5 4" xfId="195" xr:uid="{00000000-0005-0000-0000-00005D000000}"/>
    <cellStyle name="Comma 3 5 4 2" xfId="204" xr:uid="{00000000-0005-0000-0000-00005E000000}"/>
    <cellStyle name="Comma 3 5 5" xfId="183" xr:uid="{00000000-0005-0000-0000-00005F000000}"/>
    <cellStyle name="Comma 3 6" xfId="185" xr:uid="{00000000-0005-0000-0000-000060000000}"/>
    <cellStyle name="Comma 4" xfId="62" xr:uid="{00000000-0005-0000-0000-000061000000}"/>
    <cellStyle name="Comma 4 2" xfId="69" xr:uid="{00000000-0005-0000-0000-000062000000}"/>
    <cellStyle name="Comma 4 3" xfId="85" xr:uid="{00000000-0005-0000-0000-000063000000}"/>
    <cellStyle name="Comma 5" xfId="66" xr:uid="{00000000-0005-0000-0000-000064000000}"/>
    <cellStyle name="Comma 5 2" xfId="149" xr:uid="{00000000-0005-0000-0000-000065000000}"/>
    <cellStyle name="Comma 5 3" xfId="100" xr:uid="{00000000-0005-0000-0000-000066000000}"/>
    <cellStyle name="Comma 5 4" xfId="188" xr:uid="{00000000-0005-0000-0000-000067000000}"/>
    <cellStyle name="Comma 5 5" xfId="198" xr:uid="{00000000-0005-0000-0000-000068000000}"/>
    <cellStyle name="Comma 5 5 2" xfId="207" xr:uid="{00000000-0005-0000-0000-000069000000}"/>
    <cellStyle name="Comma 6" xfId="124" xr:uid="{00000000-0005-0000-0000-00006A000000}"/>
    <cellStyle name="Comma 7" xfId="81" xr:uid="{00000000-0005-0000-0000-00006B000000}"/>
    <cellStyle name="Comma 8" xfId="193" xr:uid="{00000000-0005-0000-0000-00006C000000}"/>
    <cellStyle name="Currency" xfId="2" builtinId="4"/>
    <cellStyle name="Currency 2" xfId="4" xr:uid="{00000000-0005-0000-0000-00006E000000}"/>
    <cellStyle name="Currency 2 2" xfId="102" xr:uid="{00000000-0005-0000-0000-00006F000000}"/>
    <cellStyle name="Currency 2 2 2" xfId="151" xr:uid="{00000000-0005-0000-0000-000070000000}"/>
    <cellStyle name="Currency 2 3" xfId="125" xr:uid="{00000000-0005-0000-0000-000071000000}"/>
    <cellStyle name="Currency 2 4" xfId="174" xr:uid="{00000000-0005-0000-0000-000072000000}"/>
    <cellStyle name="Currency 3" xfId="3" xr:uid="{00000000-0005-0000-0000-000073000000}"/>
    <cellStyle name="Currency 3 2" xfId="103" xr:uid="{00000000-0005-0000-0000-000074000000}"/>
    <cellStyle name="Currency 3 2 2" xfId="152" xr:uid="{00000000-0005-0000-0000-000075000000}"/>
    <cellStyle name="Currency 3 3" xfId="126" xr:uid="{00000000-0005-0000-0000-000076000000}"/>
    <cellStyle name="Currency 3 4" xfId="175" xr:uid="{00000000-0005-0000-0000-000077000000}"/>
    <cellStyle name="Currency 4" xfId="70" xr:uid="{00000000-0005-0000-0000-000078000000}"/>
    <cellStyle name="Currency 4 2" xfId="104" xr:uid="{00000000-0005-0000-0000-000079000000}"/>
    <cellStyle name="Currency 4 2 2" xfId="153" xr:uid="{00000000-0005-0000-0000-00007A000000}"/>
    <cellStyle name="Currency 4 3" xfId="127" xr:uid="{00000000-0005-0000-0000-00007B000000}"/>
    <cellStyle name="Currency 4 4" xfId="176" xr:uid="{00000000-0005-0000-0000-00007C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0" xfId="159" xr:uid="{00000000-0005-0000-0000-000087000000}"/>
    <cellStyle name="Normal 11" xfId="80" xr:uid="{00000000-0005-0000-0000-000088000000}"/>
    <cellStyle name="Normal 2" xfId="1" xr:uid="{00000000-0005-0000-0000-000089000000}"/>
    <cellStyle name="Normal 2 2" xfId="50" xr:uid="{00000000-0005-0000-0000-00008A000000}"/>
    <cellStyle name="Normal 2 3" xfId="49" xr:uid="{00000000-0005-0000-0000-00008B000000}"/>
    <cellStyle name="Normal 2 3 2" xfId="60" xr:uid="{00000000-0005-0000-0000-00008C000000}"/>
    <cellStyle name="Normal 2 3 3" xfId="54" xr:uid="{00000000-0005-0000-0000-00008D000000}"/>
    <cellStyle name="Normal 2 4" xfId="51" xr:uid="{00000000-0005-0000-0000-00008E000000}"/>
    <cellStyle name="Normal 2 4 2" xfId="105" xr:uid="{00000000-0005-0000-0000-00008F000000}"/>
    <cellStyle name="Normal 2 4 2 2" xfId="154" xr:uid="{00000000-0005-0000-0000-000090000000}"/>
    <cellStyle name="Normal 2 4 3" xfId="128" xr:uid="{00000000-0005-0000-0000-000091000000}"/>
    <cellStyle name="Normal 2 4 4" xfId="177" xr:uid="{00000000-0005-0000-0000-000092000000}"/>
    <cellStyle name="Normal 2 4 5" xfId="181" xr:uid="{00000000-0005-0000-0000-000093000000}"/>
    <cellStyle name="Normal 2 4 6" xfId="72" xr:uid="{00000000-0005-0000-0000-000094000000}"/>
    <cellStyle name="Normal 2 5" xfId="71" xr:uid="{00000000-0005-0000-0000-000095000000}"/>
    <cellStyle name="Normal 2 6" xfId="86" xr:uid="{00000000-0005-0000-0000-000096000000}"/>
    <cellStyle name="Normal 2 6 2" xfId="135" xr:uid="{00000000-0005-0000-0000-000097000000}"/>
    <cellStyle name="Normal 2 7" xfId="161" xr:uid="{00000000-0005-0000-0000-000098000000}"/>
    <cellStyle name="Normal 3" xfId="47" xr:uid="{00000000-0005-0000-0000-000099000000}"/>
    <cellStyle name="Normal 3 2" xfId="55" xr:uid="{00000000-0005-0000-0000-00009A000000}"/>
    <cellStyle name="Normal 3 2 2" xfId="74" xr:uid="{00000000-0005-0000-0000-00009B000000}"/>
    <cellStyle name="Normal 3 3" xfId="57" xr:uid="{00000000-0005-0000-0000-00009C000000}"/>
    <cellStyle name="Normal 3 3 2" xfId="73" xr:uid="{00000000-0005-0000-0000-00009D000000}"/>
    <cellStyle name="Normal 3 3 3" xfId="178" xr:uid="{00000000-0005-0000-0000-00009E000000}"/>
    <cellStyle name="Normal 3 4" xfId="61" xr:uid="{00000000-0005-0000-0000-00009F000000}"/>
    <cellStyle name="Normal 3 5" xfId="129" xr:uid="{00000000-0005-0000-0000-0000A0000000}"/>
    <cellStyle name="Normal 3 6" xfId="52" xr:uid="{00000000-0005-0000-0000-0000A1000000}"/>
    <cellStyle name="Normal 3 6 2" xfId="191" xr:uid="{00000000-0005-0000-0000-0000A2000000}"/>
    <cellStyle name="Normal 3 6 3" xfId="201" xr:uid="{00000000-0005-0000-0000-0000A3000000}"/>
    <cellStyle name="Normal 3 6 4" xfId="194" xr:uid="{00000000-0005-0000-0000-0000A4000000}"/>
    <cellStyle name="Normal 3 6 4 2" xfId="203" xr:uid="{00000000-0005-0000-0000-0000A5000000}"/>
    <cellStyle name="Normal 3 6 5" xfId="182" xr:uid="{00000000-0005-0000-0000-0000A6000000}"/>
    <cellStyle name="Normal 3 7" xfId="184" xr:uid="{00000000-0005-0000-0000-0000A7000000}"/>
    <cellStyle name="Normal 4" xfId="75" xr:uid="{00000000-0005-0000-0000-0000A8000000}"/>
    <cellStyle name="Normal 5" xfId="79" xr:uid="{00000000-0005-0000-0000-0000A9000000}"/>
    <cellStyle name="Normal 5 2" xfId="109" xr:uid="{00000000-0005-0000-0000-0000AA000000}"/>
    <cellStyle name="Normal 5 2 2" xfId="158" xr:uid="{00000000-0005-0000-0000-0000AB000000}"/>
    <cellStyle name="Normal 5 3" xfId="132" xr:uid="{00000000-0005-0000-0000-0000AC000000}"/>
    <cellStyle name="Normal 5 4" xfId="180" xr:uid="{00000000-0005-0000-0000-0000AD000000}"/>
    <cellStyle name="Normal 6" xfId="65" xr:uid="{00000000-0005-0000-0000-0000AE000000}"/>
    <cellStyle name="Normal 6 2" xfId="148" xr:uid="{00000000-0005-0000-0000-0000AF000000}"/>
    <cellStyle name="Normal 6 3" xfId="99" xr:uid="{00000000-0005-0000-0000-0000B0000000}"/>
    <cellStyle name="Normal 6 4" xfId="187" xr:uid="{00000000-0005-0000-0000-0000B1000000}"/>
    <cellStyle name="Normal 6 5" xfId="197" xr:uid="{00000000-0005-0000-0000-0000B2000000}"/>
    <cellStyle name="Normal 6 5 2" xfId="206" xr:uid="{00000000-0005-0000-0000-0000B3000000}"/>
    <cellStyle name="Normal 7" xfId="84" xr:uid="{00000000-0005-0000-0000-0000B4000000}"/>
    <cellStyle name="Normal 7 2" xfId="133" xr:uid="{00000000-0005-0000-0000-0000B5000000}"/>
    <cellStyle name="Normal 8" xfId="123" xr:uid="{00000000-0005-0000-0000-0000B6000000}"/>
    <cellStyle name="Normal 9" xfId="110" xr:uid="{00000000-0005-0000-0000-0000B7000000}"/>
    <cellStyle name="Note" xfId="19" builtinId="10" customBuiltin="1"/>
    <cellStyle name="Note 2" xfId="76" xr:uid="{00000000-0005-0000-0000-0000B9000000}"/>
    <cellStyle name="Note 2 2" xfId="106" xr:uid="{00000000-0005-0000-0000-0000BA000000}"/>
    <cellStyle name="Note 2 2 2" xfId="155" xr:uid="{00000000-0005-0000-0000-0000BB000000}"/>
    <cellStyle name="Note 2 3" xfId="130" xr:uid="{00000000-0005-0000-0000-0000BC000000}"/>
    <cellStyle name="Note 2 4" xfId="179" xr:uid="{00000000-0005-0000-0000-0000BD000000}"/>
    <cellStyle name="Output" xfId="14" builtinId="21" customBuiltin="1"/>
    <cellStyle name="Percent 2" xfId="56" xr:uid="{00000000-0005-0000-0000-0000BF000000}"/>
    <cellStyle name="Percent 2 2" xfId="59" xr:uid="{00000000-0005-0000-0000-0000C0000000}"/>
    <cellStyle name="Percent 2 3" xfId="108" xr:uid="{00000000-0005-0000-0000-0000C1000000}"/>
    <cellStyle name="Percent 2 3 2" xfId="157" xr:uid="{00000000-0005-0000-0000-0000C2000000}"/>
    <cellStyle name="Percent 2 4" xfId="186" xr:uid="{00000000-0005-0000-0000-0000C3000000}"/>
    <cellStyle name="Percent 2 5" xfId="196" xr:uid="{00000000-0005-0000-0000-0000C4000000}"/>
    <cellStyle name="Percent 2 5 2" xfId="205" xr:uid="{00000000-0005-0000-0000-0000C5000000}"/>
    <cellStyle name="Percent 3" xfId="78" xr:uid="{00000000-0005-0000-0000-0000C6000000}"/>
    <cellStyle name="Percent 4" xfId="77" xr:uid="{00000000-0005-0000-0000-0000C7000000}"/>
    <cellStyle name="Percent 4 2" xfId="156" xr:uid="{00000000-0005-0000-0000-0000C8000000}"/>
    <cellStyle name="Percent 4 3" xfId="107" xr:uid="{00000000-0005-0000-0000-0000C9000000}"/>
    <cellStyle name="Percent 4 4" xfId="190" xr:uid="{00000000-0005-0000-0000-0000CA000000}"/>
    <cellStyle name="Percent 4 5" xfId="200" xr:uid="{00000000-0005-0000-0000-0000CB000000}"/>
    <cellStyle name="Percent 4 5 2" xfId="209" xr:uid="{00000000-0005-0000-0000-0000CC000000}"/>
    <cellStyle name="Percent 5" xfId="131" xr:uid="{00000000-0005-0000-0000-0000CD000000}"/>
    <cellStyle name="Percent 6" xfId="83" xr:uid="{00000000-0005-0000-0000-0000CE000000}"/>
    <cellStyle name="Title" xfId="5" builtinId="15" customBuiltin="1"/>
    <cellStyle name="Total" xfId="21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Branch (M²) - June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Dashboard'!$F$16:$F$18</c:f>
              <c:strCache>
                <c:ptCount val="3"/>
                <c:pt idx="0">
                  <c:v>Durban</c:v>
                </c:pt>
                <c:pt idx="1">
                  <c:v>JHB</c:v>
                </c:pt>
                <c:pt idx="2">
                  <c:v>Cape Town</c:v>
                </c:pt>
              </c:strCache>
            </c:strRef>
          </c:cat>
          <c:val>
            <c:numRef>
              <c:f>'Analysis Dashboard'!$G$16:$G$18</c:f>
              <c:numCache>
                <c:formatCode>General</c:formatCode>
                <c:ptCount val="3"/>
                <c:pt idx="0">
                  <c:v>2362</c:v>
                </c:pt>
                <c:pt idx="1">
                  <c:v>9987</c:v>
                </c:pt>
                <c:pt idx="2">
                  <c:v>15762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6-493D-8569-69CDF9A53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836655"/>
        <c:axId val="1290526031"/>
      </c:barChart>
      <c:catAx>
        <c:axId val="133783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26031"/>
        <c:crosses val="autoZero"/>
        <c:auto val="1"/>
        <c:lblAlgn val="ctr"/>
        <c:lblOffset val="100"/>
        <c:noMultiLvlLbl val="0"/>
      </c:catAx>
      <c:valAx>
        <c:axId val="129052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83665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'Analysis Dashboard'!$G$23:$G$26</c:f>
              <c:numCache>
                <c:formatCode>"R"#,##0.00</c:formatCode>
                <c:ptCount val="4"/>
                <c:pt idx="0">
                  <c:v>5750509.4800000004</c:v>
                </c:pt>
                <c:pt idx="1">
                  <c:v>2659650.17</c:v>
                </c:pt>
                <c:pt idx="2">
                  <c:v>339704.74</c:v>
                </c:pt>
                <c:pt idx="3">
                  <c:v>750466.57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B-4BBB-BAB7-5FBCE7026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Debtors Aging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'Analysis Dashboard'!$G$22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Dashboard'!$F$23:$F$26</c:f>
              <c:strCache>
                <c:ptCount val="4"/>
                <c:pt idx="0">
                  <c:v>Current</c:v>
                </c:pt>
                <c:pt idx="1">
                  <c:v>30 Days</c:v>
                </c:pt>
                <c:pt idx="2">
                  <c:v>60 Days</c:v>
                </c:pt>
                <c:pt idx="3">
                  <c:v>90+ Days</c:v>
                </c:pt>
              </c:strCache>
            </c:strRef>
          </c:cat>
          <c:val>
            <c:numRef>
              <c:f>'Analysis Dashboard'!$G$23:$G$26</c:f>
              <c:numCache>
                <c:formatCode>"R"#,##0.00</c:formatCode>
                <c:ptCount val="4"/>
                <c:pt idx="0">
                  <c:v>5750509.4800000004</c:v>
                </c:pt>
                <c:pt idx="1">
                  <c:v>2659650.17</c:v>
                </c:pt>
                <c:pt idx="2">
                  <c:v>339704.74</c:v>
                </c:pt>
                <c:pt idx="3">
                  <c:v>750466.57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6-4BA0-9B33-12146DA7D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Value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'Analysis Dashboard'!$G$30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Dashboard'!$F$31:$F$33</c:f>
              <c:strCache>
                <c:ptCount val="3"/>
                <c:pt idx="0">
                  <c:v>Cape Town</c:v>
                </c:pt>
                <c:pt idx="1">
                  <c:v>JHB</c:v>
                </c:pt>
                <c:pt idx="2">
                  <c:v>Durban</c:v>
                </c:pt>
              </c:strCache>
            </c:strRef>
          </c:cat>
          <c:val>
            <c:numRef>
              <c:f>'Analysis Dashboard'!$G$31:$G$33</c:f>
              <c:numCache>
                <c:formatCode>\R\ #,##0.00</c:formatCode>
                <c:ptCount val="3"/>
                <c:pt idx="0">
                  <c:v>20103816</c:v>
                </c:pt>
                <c:pt idx="1">
                  <c:v>6028419</c:v>
                </c:pt>
                <c:pt idx="2">
                  <c:v>999058.3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E-476F-AC33-BA1642CD5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 Value 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'Analysis Dashboard'!$F$38:$F$47</c:f>
              <c:strCache>
                <c:ptCount val="10"/>
                <c:pt idx="0">
                  <c:v>INSPIRE RENTALS</c:v>
                </c:pt>
                <c:pt idx="1">
                  <c:v>GH LEATHERS</c:v>
                </c:pt>
                <c:pt idx="2">
                  <c:v>JULIANA DESIGNS</c:v>
                </c:pt>
                <c:pt idx="3">
                  <c:v>COUCH POTATO</c:v>
                </c:pt>
                <c:pt idx="4">
                  <c:v>INYATHI LOUNGE</c:v>
                </c:pt>
                <c:pt idx="5">
                  <c:v>ALWAYS AROUND</c:v>
                </c:pt>
                <c:pt idx="6">
                  <c:v>LEATHER DIRECT</c:v>
                </c:pt>
                <c:pt idx="7">
                  <c:v>ROWDY INTL</c:v>
                </c:pt>
                <c:pt idx="8">
                  <c:v>LEATHER DIRECT 2</c:v>
                </c:pt>
                <c:pt idx="9">
                  <c:v>FF CLOTHING</c:v>
                </c:pt>
              </c:strCache>
            </c:strRef>
          </c:cat>
          <c:val>
            <c:numRef>
              <c:f>'Analysis Dashboard'!$G$38:$G$47</c:f>
              <c:numCache>
                <c:formatCode>\R\ #,##0.00</c:formatCode>
                <c:ptCount val="10"/>
                <c:pt idx="0">
                  <c:v>400521.1</c:v>
                </c:pt>
                <c:pt idx="1">
                  <c:v>677878.46</c:v>
                </c:pt>
                <c:pt idx="2">
                  <c:v>329879.95</c:v>
                </c:pt>
                <c:pt idx="3">
                  <c:v>213084.55</c:v>
                </c:pt>
                <c:pt idx="4">
                  <c:v>202000.95</c:v>
                </c:pt>
                <c:pt idx="5">
                  <c:v>221597.55</c:v>
                </c:pt>
                <c:pt idx="6">
                  <c:v>181422</c:v>
                </c:pt>
                <c:pt idx="7">
                  <c:v>215960.95</c:v>
                </c:pt>
                <c:pt idx="8">
                  <c:v>148022.79999999999</c:v>
                </c:pt>
                <c:pt idx="9">
                  <c:v>232642.6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A-4C99-87CB-065C2AE23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9667823"/>
        <c:axId val="1290560111"/>
      </c:barChart>
      <c:catAx>
        <c:axId val="137966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560111"/>
        <c:crosses val="autoZero"/>
        <c:auto val="1"/>
        <c:lblAlgn val="ctr"/>
        <c:lblOffset val="100"/>
        <c:noMultiLvlLbl val="0"/>
      </c:catAx>
      <c:valAx>
        <c:axId val="129056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66782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14</xdr:col>
      <xdr:colOff>589790</xdr:colOff>
      <xdr:row>63</xdr:row>
      <xdr:rowOff>113940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8E180-42EE-4537-6DAF-3E2C48EB3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1400" y="920750"/>
          <a:ext cx="6076190" cy="28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82550</xdr:rowOff>
    </xdr:from>
    <xdr:to>
      <xdr:col>2</xdr:col>
      <xdr:colOff>330325</xdr:colOff>
      <xdr:row>12</xdr:row>
      <xdr:rowOff>127138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392E9-8249-D2FB-949D-3A348FA7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82550"/>
          <a:ext cx="2425825" cy="2692538"/>
        </a:xfrm>
        <a:prstGeom prst="rect">
          <a:avLst/>
        </a:prstGeom>
      </xdr:spPr>
    </xdr:pic>
    <xdr:clientData/>
  </xdr:twoCellAnchor>
  <xdr:twoCellAnchor editAs="oneCell">
    <xdr:from>
      <xdr:col>2</xdr:col>
      <xdr:colOff>387350</xdr:colOff>
      <xdr:row>0</xdr:row>
      <xdr:rowOff>107950</xdr:rowOff>
    </xdr:from>
    <xdr:to>
      <xdr:col>5</xdr:col>
      <xdr:colOff>450973</xdr:colOff>
      <xdr:row>12</xdr:row>
      <xdr:rowOff>127137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5DBF51-CA63-1F12-3CD6-994F2480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9700" y="107950"/>
          <a:ext cx="2387723" cy="26671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DD7FA-F0E6-4FAC-0FCC-5AE5EC939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406400</xdr:colOff>
      <xdr:row>6</xdr:row>
      <xdr:rowOff>15875</xdr:rowOff>
    </xdr:from>
    <xdr:to>
      <xdr:col>19</xdr:col>
      <xdr:colOff>390525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78BAC-9E11-0260-F81E-B0B653B94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272C1-6EBE-8B40-AE23-D38BDBA7B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E9AAD2-5A08-1816-6152-833D6D48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18</xdr:col>
      <xdr:colOff>0</xdr:colOff>
      <xdr:row>59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CF39A9-31B5-19BC-6FF9-C7BB955C0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sh%20flow/AGS%20Cash%20Flow%202026.xlsx" TargetMode="External"/><Relationship Id="rId2" Type="http://schemas.openxmlformats.org/officeDocument/2006/relationships/externalLinkPath" Target="file:///C:\Users\Sannette\Desktop\Work%20Folder\Companies\1.%20African%20Gameskin\Cash%20flow\AGS%20Cash%20Flow%202026.xlsx" TargetMode="External"/><Relationship Id="rId1" Type="http://schemas.openxmlformats.org/officeDocument/2006/relationships/externalLinkPath" Target="/Users/Sannette/Desktop/Work%20Folder/Companies/1.%20African%20Gameskin/Cash%20flow/AGS%20Cash%20Flow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AppData/Local/Microsoft/Windows/INetCache/Content.Outlook/0WNIXWEP/AGS%20Stock%20Sheet%2030%20June%202026%20(003).xlsx" TargetMode="External"/><Relationship Id="rId2" Type="http://schemas.openxmlformats.org/officeDocument/2006/relationships/externalLinkPath" Target="file:///C:\Users\Sannette\AppData\Local\Microsoft\Windows\INetCache\Content.Outlook\0WNIXWEP\AGS%20Stock%20Sheet%2030%20June%202026%20(003).xlsx" TargetMode="External"/><Relationship Id="rId1" Type="http://schemas.openxmlformats.org/officeDocument/2006/relationships/externalLinkPath" Target="/Users/Sannette/AppData/Local/Microsoft/Windows/INetCache/Content.Outlook/0WNIXWEP/AGS%20Stock%20Sheet%2030%20June%20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Flow"/>
      <sheetName val="Cash Flow as at 24 June 2026"/>
      <sheetName val="Comparison "/>
      <sheetName val="Imports"/>
      <sheetName val="Income Statement Y2D"/>
      <sheetName val="Tax Calculation"/>
      <sheetName val="Sheet10"/>
      <sheetName val="Sheet4"/>
      <sheetName val="Sheet3"/>
      <sheetName val="USD account"/>
      <sheetName val="Petty Cash July"/>
      <sheetName val="Petty cash"/>
      <sheetName val="Petty Cash Aug"/>
      <sheetName val="Safe Dec"/>
      <sheetName val="Nov Safe "/>
      <sheetName val="Safe "/>
      <sheetName val="Safe cash Sep"/>
      <sheetName val="Cash in safe"/>
      <sheetName val="Sheet8"/>
      <sheetName val="Safe Cash"/>
      <sheetName val="Current Year per month"/>
      <sheetName val="Sales per month"/>
      <sheetName val="Sales per Branch"/>
      <sheetName val="Sales Rep per month"/>
      <sheetName val="Sheet7"/>
      <sheetName val="Sheet2"/>
      <sheetName val="Sheet1"/>
      <sheetName val="Stock"/>
      <sheetName val="m2 summary"/>
      <sheetName val="Income summary"/>
      <sheetName val="Year to date Income Statement"/>
      <sheetName val="Summary Year to date"/>
      <sheetName val="Budget 2026-2027"/>
      <sheetName val="Sales 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3">
          <cell r="D73">
            <v>9157384.2199999988</v>
          </cell>
        </row>
      </sheetData>
      <sheetData sheetId="22">
        <row r="6">
          <cell r="R6">
            <v>15762</v>
          </cell>
          <cell r="S6">
            <v>9987</v>
          </cell>
          <cell r="T6">
            <v>2362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 Board"/>
      <sheetName val="Side Leathers "/>
      <sheetName val="Sheet19"/>
      <sheetName val="Sheet15"/>
      <sheetName val="Sheet16"/>
      <sheetName val="Sides Requirments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Leather Requirements"/>
      <sheetName val="JHB Orders"/>
      <sheetName val="Gameskin"/>
      <sheetName val="End of Range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3">
          <cell r="F53">
            <v>1121468.5779995448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3"/>
  <sheetViews>
    <sheetView showGridLines="0" zoomScale="90" zoomScaleNormal="90" workbookViewId="0">
      <selection sqref="A1:XFD1048576"/>
    </sheetView>
  </sheetViews>
  <sheetFormatPr defaultRowHeight="14.5" x14ac:dyDescent="0.35"/>
  <cols>
    <col min="1" max="1" width="4.26953125" customWidth="1"/>
    <col min="2" max="2" width="33.1796875" customWidth="1"/>
    <col min="3" max="3" width="14.26953125" customWidth="1"/>
    <col min="4" max="4" width="15.453125" bestFit="1" customWidth="1"/>
    <col min="5" max="5" width="3" customWidth="1"/>
    <col min="6" max="6" width="2.7265625" customWidth="1"/>
    <col min="7" max="7" width="23.81640625" customWidth="1"/>
    <col min="8" max="8" width="16.453125" customWidth="1"/>
    <col min="9" max="9" width="2.81640625" customWidth="1"/>
    <col min="10" max="10" width="2.7265625" hidden="1" customWidth="1"/>
    <col min="11" max="11" width="14.81640625" customWidth="1"/>
    <col min="12" max="12" width="16.26953125" customWidth="1"/>
    <col min="13" max="13" width="14.26953125" bestFit="1" customWidth="1"/>
    <col min="14" max="14" width="2.54296875" customWidth="1"/>
    <col min="15" max="15" width="20.453125" customWidth="1"/>
    <col min="16" max="16" width="15.453125" bestFit="1" customWidth="1"/>
  </cols>
  <sheetData>
    <row r="1" spans="2:15" x14ac:dyDescent="0.35">
      <c r="B1" s="83" t="s">
        <v>4</v>
      </c>
    </row>
    <row r="2" spans="2:15" x14ac:dyDescent="0.35">
      <c r="B2" s="84" t="s">
        <v>57</v>
      </c>
    </row>
    <row r="3" spans="2:15" ht="15" thickBot="1" x14ac:dyDescent="0.4"/>
    <row r="4" spans="2:15" ht="15" thickBot="1" x14ac:dyDescent="0.4">
      <c r="B4" s="243" t="s">
        <v>0</v>
      </c>
      <c r="C4" s="244"/>
      <c r="D4" s="245"/>
      <c r="E4" s="85"/>
      <c r="G4" s="249" t="s">
        <v>5</v>
      </c>
      <c r="H4" s="250"/>
      <c r="I4" s="86"/>
      <c r="J4" s="86"/>
      <c r="K4" s="87" t="s">
        <v>6</v>
      </c>
      <c r="L4" s="88"/>
      <c r="M4" s="89"/>
    </row>
    <row r="5" spans="2:15" x14ac:dyDescent="0.35">
      <c r="B5" s="90"/>
      <c r="C5" s="91"/>
      <c r="D5" s="92"/>
      <c r="E5" s="92"/>
      <c r="G5" s="93"/>
      <c r="H5" s="94"/>
      <c r="K5" s="95"/>
      <c r="L5" s="96"/>
      <c r="M5" s="97"/>
    </row>
    <row r="6" spans="2:15" x14ac:dyDescent="0.35">
      <c r="B6" s="98" t="s">
        <v>7</v>
      </c>
      <c r="C6" s="99"/>
      <c r="D6" s="153">
        <f>+'Income Statement '!C4+'Income Statement '!C5</f>
        <v>8846029.8900000006</v>
      </c>
      <c r="E6" s="100"/>
      <c r="G6" s="101" t="s">
        <v>8</v>
      </c>
      <c r="H6" s="102"/>
      <c r="K6" s="103" t="s">
        <v>10</v>
      </c>
      <c r="L6" s="104">
        <f>+'Balance sheet '!C39</f>
        <v>2256051.75</v>
      </c>
      <c r="M6" s="105"/>
    </row>
    <row r="7" spans="2:15" x14ac:dyDescent="0.35">
      <c r="B7" s="106" t="s">
        <v>11</v>
      </c>
      <c r="C7" s="99"/>
      <c r="D7" s="153">
        <f>+'Income Statement '!C6</f>
        <v>759904.9</v>
      </c>
      <c r="E7" s="100"/>
      <c r="G7" s="107">
        <f>+Hannitan!B44</f>
        <v>27484.3</v>
      </c>
      <c r="H7" s="108" t="s">
        <v>9</v>
      </c>
      <c r="I7" s="109"/>
      <c r="J7" s="110"/>
      <c r="K7" s="103" t="s">
        <v>13</v>
      </c>
      <c r="L7" s="104">
        <f>+'Balance sheet '!C40</f>
        <v>7388251.25</v>
      </c>
      <c r="M7" s="111"/>
    </row>
    <row r="8" spans="2:15" ht="15" thickBot="1" x14ac:dyDescent="0.4">
      <c r="B8" s="80"/>
      <c r="C8" s="99"/>
      <c r="D8" s="153"/>
      <c r="E8" s="100"/>
      <c r="G8" s="107">
        <f>+Hannitan!D44</f>
        <v>6103468.1000000015</v>
      </c>
      <c r="H8" s="112" t="s">
        <v>12</v>
      </c>
      <c r="I8" s="109"/>
      <c r="J8" s="110"/>
      <c r="K8" s="113"/>
      <c r="L8" s="114"/>
      <c r="M8" s="115"/>
      <c r="O8" s="116"/>
    </row>
    <row r="9" spans="2:15" x14ac:dyDescent="0.35">
      <c r="B9" s="217"/>
      <c r="C9" s="193"/>
      <c r="D9" s="194">
        <f>SUM(D6:D8)</f>
        <v>9605934.790000001</v>
      </c>
      <c r="E9" s="100"/>
      <c r="G9" s="117">
        <f>+'Income Statement '!C13</f>
        <v>296994.03999999998</v>
      </c>
      <c r="H9" s="112" t="s">
        <v>39</v>
      </c>
      <c r="I9" s="109"/>
      <c r="J9" s="110"/>
      <c r="L9" s="14"/>
      <c r="M9" s="14"/>
    </row>
    <row r="10" spans="2:15" ht="15" thickBot="1" x14ac:dyDescent="0.4">
      <c r="B10" s="186"/>
      <c r="C10" s="181" t="s">
        <v>9</v>
      </c>
      <c r="D10" s="189"/>
      <c r="E10" s="100"/>
      <c r="G10" s="117">
        <f>+G8-G9</f>
        <v>5806474.0600000015</v>
      </c>
      <c r="H10" s="118" t="s">
        <v>47</v>
      </c>
      <c r="I10" s="109"/>
      <c r="J10" s="110"/>
      <c r="M10" s="119"/>
    </row>
    <row r="11" spans="2:15" ht="15" thickBot="1" x14ac:dyDescent="0.4">
      <c r="B11" s="187" t="s">
        <v>14</v>
      </c>
      <c r="C11" s="197">
        <f>+'Sales '!B39</f>
        <v>28111.710000000003</v>
      </c>
      <c r="D11" s="150">
        <f>+'Sales '!C39</f>
        <v>9157383.5800000019</v>
      </c>
      <c r="E11" s="100"/>
      <c r="G11" s="120">
        <f>+G10/G7</f>
        <v>211.26512445286951</v>
      </c>
      <c r="H11" s="121" t="s">
        <v>46</v>
      </c>
      <c r="I11" s="109"/>
      <c r="J11" s="110"/>
      <c r="K11" s="87" t="s">
        <v>45</v>
      </c>
      <c r="L11" s="122"/>
      <c r="M11" s="94"/>
      <c r="O11" s="179"/>
    </row>
    <row r="12" spans="2:15" ht="15" thickBot="1" x14ac:dyDescent="0.4">
      <c r="B12" s="187" t="s">
        <v>15</v>
      </c>
      <c r="C12" s="123">
        <f>+D11/C11</f>
        <v>325.74978825549925</v>
      </c>
      <c r="D12" s="151"/>
      <c r="E12" s="100"/>
      <c r="J12" s="110"/>
      <c r="K12" s="124"/>
      <c r="L12" s="99"/>
      <c r="M12" s="125"/>
    </row>
    <row r="13" spans="2:15" x14ac:dyDescent="0.35">
      <c r="B13" s="187" t="s">
        <v>37</v>
      </c>
      <c r="C13" s="171">
        <f>+G7+G15</f>
        <v>34761.64</v>
      </c>
      <c r="D13" s="150">
        <f>+G10+G16</f>
        <v>8319791.9600000009</v>
      </c>
      <c r="E13" s="100"/>
      <c r="G13" s="87" t="s">
        <v>42</v>
      </c>
      <c r="H13" s="94"/>
      <c r="J13" s="110"/>
      <c r="K13" s="124" t="s">
        <v>55</v>
      </c>
      <c r="L13" s="99">
        <v>0</v>
      </c>
      <c r="M13" s="125"/>
    </row>
    <row r="14" spans="2:15" ht="15" thickBot="1" x14ac:dyDescent="0.4">
      <c r="B14" s="190" t="s">
        <v>36</v>
      </c>
      <c r="C14" s="191">
        <f>D13/C13</f>
        <v>239.33830394653421</v>
      </c>
      <c r="D14" s="192"/>
      <c r="E14" s="100"/>
      <c r="G14" s="127"/>
      <c r="H14" s="108"/>
      <c r="I14" s="128"/>
      <c r="J14" s="129"/>
      <c r="K14" s="130" t="s">
        <v>53</v>
      </c>
      <c r="L14" s="99">
        <f>+'Balance sheet '!C37</f>
        <v>1526847.65</v>
      </c>
      <c r="M14" s="125"/>
    </row>
    <row r="15" spans="2:15" ht="15" thickBot="1" x14ac:dyDescent="0.4">
      <c r="B15" s="80"/>
      <c r="D15" s="99"/>
      <c r="E15" s="100"/>
      <c r="G15" s="131">
        <f>+FLW!B37</f>
        <v>7277.3399999999983</v>
      </c>
      <c r="H15" s="108" t="s">
        <v>9</v>
      </c>
      <c r="I15" s="128"/>
      <c r="K15" s="113"/>
      <c r="L15" s="132">
        <f>SUM(L12:L14)</f>
        <v>1526847.65</v>
      </c>
      <c r="M15" s="115"/>
    </row>
    <row r="16" spans="2:15" x14ac:dyDescent="0.35">
      <c r="B16" s="251" t="s">
        <v>43</v>
      </c>
      <c r="C16" s="252"/>
      <c r="D16" s="253"/>
      <c r="E16" s="100"/>
      <c r="G16" s="133">
        <f>+FLW!D37</f>
        <v>2513317.9</v>
      </c>
      <c r="H16" s="118" t="s">
        <v>12</v>
      </c>
      <c r="I16" s="128"/>
      <c r="J16" s="134"/>
    </row>
    <row r="17" spans="2:16" ht="16" thickBot="1" x14ac:dyDescent="0.4">
      <c r="B17" s="198"/>
      <c r="C17" s="229" t="s">
        <v>58</v>
      </c>
      <c r="D17" s="238" t="s">
        <v>56</v>
      </c>
      <c r="E17" s="100"/>
      <c r="G17" s="120">
        <f>+G16/G15</f>
        <v>345.36216529666063</v>
      </c>
      <c r="H17" s="135" t="s">
        <v>22</v>
      </c>
      <c r="I17" s="128"/>
      <c r="J17" s="136"/>
      <c r="O17" s="179"/>
    </row>
    <row r="18" spans="2:16" ht="15" thickBot="1" x14ac:dyDescent="0.4">
      <c r="B18" s="199" t="s">
        <v>50</v>
      </c>
      <c r="C18" s="202">
        <f>+'[1]Sales per Branch'!$T$6</f>
        <v>2362</v>
      </c>
      <c r="D18" s="234">
        <v>2702</v>
      </c>
      <c r="E18" s="100"/>
      <c r="G18" s="110"/>
      <c r="H18" s="99"/>
      <c r="I18" s="81"/>
      <c r="K18" s="84" t="s">
        <v>60</v>
      </c>
      <c r="O18" s="126"/>
    </row>
    <row r="19" spans="2:16" x14ac:dyDescent="0.35">
      <c r="B19" s="199" t="s">
        <v>49</v>
      </c>
      <c r="C19" s="202">
        <f>+'[1]Sales per Branch'!$S$6</f>
        <v>9987</v>
      </c>
      <c r="D19" s="234">
        <v>9663</v>
      </c>
      <c r="E19" s="100"/>
      <c r="G19" s="137" t="s">
        <v>27</v>
      </c>
      <c r="H19" s="138"/>
      <c r="I19" s="81"/>
      <c r="K19" s="1" t="s">
        <v>16</v>
      </c>
      <c r="L19" s="139">
        <v>9592256.4900000002</v>
      </c>
      <c r="M19" s="1"/>
      <c r="O19" s="179"/>
    </row>
    <row r="20" spans="2:16" x14ac:dyDescent="0.35">
      <c r="B20" s="199" t="s">
        <v>51</v>
      </c>
      <c r="C20" s="202">
        <f>+'[1]Sales per Branch'!$R$6</f>
        <v>15762</v>
      </c>
      <c r="D20" s="234">
        <v>14573</v>
      </c>
      <c r="E20" s="100"/>
      <c r="G20" s="140" t="s">
        <v>24</v>
      </c>
      <c r="H20" s="141">
        <f>+'Debtors '!F254</f>
        <v>5750509.4800000004</v>
      </c>
      <c r="I20" s="81"/>
      <c r="K20" s="1" t="s">
        <v>1</v>
      </c>
      <c r="L20" s="139">
        <f>+'Income Statement '!D10</f>
        <v>9049304.0399999991</v>
      </c>
      <c r="M20" s="230"/>
      <c r="P20" s="179"/>
    </row>
    <row r="21" spans="2:16" x14ac:dyDescent="0.35">
      <c r="B21" s="239"/>
      <c r="C21" s="1"/>
      <c r="D21" s="240"/>
      <c r="E21" s="100"/>
      <c r="G21" s="140" t="s">
        <v>25</v>
      </c>
      <c r="H21" s="141">
        <f>+'Debtors '!E254</f>
        <v>2659650.17</v>
      </c>
      <c r="I21" s="81"/>
      <c r="K21" s="1" t="s">
        <v>17</v>
      </c>
      <c r="L21" s="139">
        <f>+L19-L20</f>
        <v>542952.45000000112</v>
      </c>
      <c r="M21" s="142">
        <f>+L21/L19</f>
        <v>5.6603203903693895E-2</v>
      </c>
    </row>
    <row r="22" spans="2:16" ht="15" thickBot="1" x14ac:dyDescent="0.4">
      <c r="B22" s="235" t="s">
        <v>44</v>
      </c>
      <c r="C22" s="236">
        <f>SUM(C18:C21)</f>
        <v>28111</v>
      </c>
      <c r="D22" s="237">
        <f>SUM(D18:D20)</f>
        <v>26938</v>
      </c>
      <c r="E22" s="100"/>
      <c r="G22" s="140" t="s">
        <v>26</v>
      </c>
      <c r="H22" s="141">
        <f>+'Debtors '!D254</f>
        <v>339704.74</v>
      </c>
      <c r="I22" s="81"/>
      <c r="K22" s="1" t="s">
        <v>2</v>
      </c>
      <c r="L22" s="139">
        <v>397357.21</v>
      </c>
      <c r="M22" s="1"/>
    </row>
    <row r="23" spans="2:16" ht="15" thickBot="1" x14ac:dyDescent="0.4">
      <c r="B23" s="218"/>
      <c r="E23" s="100"/>
      <c r="G23" s="140" t="s">
        <v>30</v>
      </c>
      <c r="H23" s="141">
        <f>+'Debtors '!C254</f>
        <v>517460.73</v>
      </c>
      <c r="I23" s="81"/>
      <c r="K23" s="1" t="s">
        <v>3</v>
      </c>
      <c r="L23" s="143">
        <v>952854.61</v>
      </c>
      <c r="M23" s="142">
        <f>L23/L19</f>
        <v>9.9335814361652869E-2</v>
      </c>
    </row>
    <row r="24" spans="2:16" x14ac:dyDescent="0.35">
      <c r="B24" s="182" t="s">
        <v>19</v>
      </c>
      <c r="C24" s="183" t="s">
        <v>20</v>
      </c>
      <c r="D24" s="184" t="s">
        <v>21</v>
      </c>
      <c r="E24" s="100"/>
      <c r="G24" s="140" t="s">
        <v>32</v>
      </c>
      <c r="H24" s="141">
        <f>+'Debtors '!B254</f>
        <v>233005.84</v>
      </c>
      <c r="I24" s="81"/>
      <c r="K24" s="1" t="s">
        <v>18</v>
      </c>
      <c r="L24" s="143">
        <f>L21+L22-L23</f>
        <v>-12544.949999998906</v>
      </c>
      <c r="M24" s="142">
        <f>+L24/L19</f>
        <v>-1.3078205334768843E-3</v>
      </c>
    </row>
    <row r="25" spans="2:16" ht="15" thickBot="1" x14ac:dyDescent="0.4">
      <c r="B25" s="185" t="s">
        <v>3330</v>
      </c>
      <c r="C25" s="126">
        <v>1648.56</v>
      </c>
      <c r="D25" s="200">
        <v>400521.1</v>
      </c>
      <c r="E25" s="100"/>
      <c r="G25" s="144"/>
      <c r="H25" s="145">
        <f>SUM(H20:H24)</f>
        <v>9500330.9600000009</v>
      </c>
      <c r="J25" s="134"/>
      <c r="O25" s="171"/>
    </row>
    <row r="26" spans="2:16" ht="18" customHeight="1" thickBot="1" x14ac:dyDescent="0.4">
      <c r="B26" s="185" t="s">
        <v>3331</v>
      </c>
      <c r="C26" s="126">
        <v>1464.08</v>
      </c>
      <c r="D26" s="200">
        <v>677878.46</v>
      </c>
      <c r="E26" s="100"/>
      <c r="K26" s="84" t="s">
        <v>38</v>
      </c>
    </row>
    <row r="27" spans="2:16" x14ac:dyDescent="0.35">
      <c r="B27" s="185" t="s">
        <v>3332</v>
      </c>
      <c r="C27" s="126">
        <v>1244.83</v>
      </c>
      <c r="D27" s="200">
        <v>329879.95</v>
      </c>
      <c r="E27" s="100"/>
      <c r="G27" s="146" t="s">
        <v>23</v>
      </c>
      <c r="H27" s="138"/>
      <c r="I27" s="147"/>
      <c r="K27" s="1" t="s">
        <v>16</v>
      </c>
      <c r="L27" s="139">
        <v>35799257.82</v>
      </c>
      <c r="M27" s="1"/>
      <c r="O27" s="99"/>
    </row>
    <row r="28" spans="2:16" x14ac:dyDescent="0.35">
      <c r="B28" s="185" t="s">
        <v>3333</v>
      </c>
      <c r="C28" s="126">
        <v>856.94</v>
      </c>
      <c r="D28" s="200">
        <v>213084.55</v>
      </c>
      <c r="E28" s="100"/>
      <c r="G28" s="140" t="s">
        <v>24</v>
      </c>
      <c r="H28" s="141">
        <f>+'Suppliers '!G22</f>
        <v>3246489.66</v>
      </c>
      <c r="K28" s="1" t="s">
        <v>1</v>
      </c>
      <c r="L28" s="139">
        <f>+'Year to date'!D10</f>
        <v>32069257.32</v>
      </c>
      <c r="M28" s="1"/>
      <c r="O28" s="99"/>
    </row>
    <row r="29" spans="2:16" x14ac:dyDescent="0.35">
      <c r="B29" s="185" t="s">
        <v>3334</v>
      </c>
      <c r="C29" s="126">
        <v>834.04</v>
      </c>
      <c r="D29" s="200">
        <v>202000.95</v>
      </c>
      <c r="E29" s="100"/>
      <c r="G29" s="140" t="s">
        <v>25</v>
      </c>
      <c r="H29" s="141">
        <v>0</v>
      </c>
      <c r="K29" s="1" t="s">
        <v>17</v>
      </c>
      <c r="L29" s="139">
        <f>L27-L28</f>
        <v>3730000.5</v>
      </c>
      <c r="M29" s="142">
        <f>+L29/L27</f>
        <v>0.10419211813704578</v>
      </c>
      <c r="O29" s="99"/>
    </row>
    <row r="30" spans="2:16" x14ac:dyDescent="0.35">
      <c r="B30" s="185" t="s">
        <v>3335</v>
      </c>
      <c r="C30" s="126">
        <v>787.17</v>
      </c>
      <c r="D30" s="200">
        <v>221597.55</v>
      </c>
      <c r="E30" s="100"/>
      <c r="G30" s="140" t="s">
        <v>26</v>
      </c>
      <c r="H30" s="141">
        <v>0</v>
      </c>
      <c r="K30" s="1" t="s">
        <v>2</v>
      </c>
      <c r="L30" s="139">
        <v>1275686.57</v>
      </c>
      <c r="M30" s="1"/>
      <c r="O30" s="99"/>
    </row>
    <row r="31" spans="2:16" ht="15" thickBot="1" x14ac:dyDescent="0.4">
      <c r="B31" s="185" t="s">
        <v>3336</v>
      </c>
      <c r="C31" s="126">
        <v>722.42</v>
      </c>
      <c r="D31" s="200">
        <v>181422</v>
      </c>
      <c r="E31" s="100"/>
      <c r="G31" s="148"/>
      <c r="H31" s="145">
        <f>SUM(H28:H30)</f>
        <v>3246489.66</v>
      </c>
      <c r="K31" s="1" t="s">
        <v>3</v>
      </c>
      <c r="L31" s="139">
        <v>3831402.19</v>
      </c>
      <c r="M31" s="142">
        <f>L31/L27</f>
        <v>0.10702462629992031</v>
      </c>
      <c r="O31" s="99"/>
    </row>
    <row r="32" spans="2:16" ht="15" thickBot="1" x14ac:dyDescent="0.4">
      <c r="B32" s="185" t="s">
        <v>3337</v>
      </c>
      <c r="C32" s="126">
        <v>707.48</v>
      </c>
      <c r="D32" s="200">
        <v>215960.95</v>
      </c>
      <c r="E32" s="100"/>
      <c r="K32" s="1" t="s">
        <v>18</v>
      </c>
      <c r="L32" s="139">
        <f>L29+L30-L31</f>
        <v>1174284.8800000004</v>
      </c>
      <c r="M32" s="142">
        <f>+L32/L27</f>
        <v>3.2801933657517379E-2</v>
      </c>
    </row>
    <row r="33" spans="2:16" ht="15" thickBot="1" x14ac:dyDescent="0.4">
      <c r="B33" s="185" t="s">
        <v>3338</v>
      </c>
      <c r="C33" s="126">
        <v>597.6</v>
      </c>
      <c r="D33" s="200">
        <v>148022.79999999999</v>
      </c>
      <c r="E33" s="100"/>
      <c r="G33" s="90" t="s">
        <v>28</v>
      </c>
      <c r="H33" s="82">
        <f>+M40</f>
        <v>28252761.877999544</v>
      </c>
      <c r="L33" s="99"/>
      <c r="M33" s="149"/>
    </row>
    <row r="34" spans="2:16" ht="15" thickBot="1" x14ac:dyDescent="0.4">
      <c r="B34" s="185" t="s">
        <v>3339</v>
      </c>
      <c r="C34" s="126">
        <v>583.21</v>
      </c>
      <c r="D34" s="200">
        <v>232642.6</v>
      </c>
      <c r="E34" s="100"/>
      <c r="G34" s="80" t="s">
        <v>29</v>
      </c>
      <c r="H34" s="150">
        <f>+H25</f>
        <v>9500330.9600000009</v>
      </c>
      <c r="K34" s="246" t="s">
        <v>59</v>
      </c>
      <c r="L34" s="247"/>
      <c r="M34" s="248"/>
      <c r="O34" s="204"/>
    </row>
    <row r="35" spans="2:16" ht="15" thickBot="1" x14ac:dyDescent="0.4">
      <c r="B35" s="210"/>
      <c r="C35" s="213"/>
      <c r="D35" s="214"/>
      <c r="E35" s="100"/>
      <c r="G35" s="80"/>
      <c r="H35" s="151"/>
      <c r="K35" s="90"/>
      <c r="L35" s="152" t="s">
        <v>9</v>
      </c>
      <c r="M35" s="152" t="s">
        <v>21</v>
      </c>
      <c r="O35" s="197"/>
      <c r="P35" s="81"/>
    </row>
    <row r="36" spans="2:16" ht="15" thickBot="1" x14ac:dyDescent="0.4">
      <c r="B36" s="210" t="s">
        <v>52</v>
      </c>
      <c r="C36" s="211">
        <f>+C48</f>
        <v>0.33602829568176396</v>
      </c>
      <c r="D36" s="212"/>
      <c r="E36" s="100"/>
      <c r="G36" s="80" t="s">
        <v>31</v>
      </c>
      <c r="H36" s="153">
        <f>+L7+L6</f>
        <v>9644303</v>
      </c>
      <c r="K36" s="80" t="s">
        <v>48</v>
      </c>
      <c r="L36" s="154">
        <f>53708+18709</f>
        <v>72417</v>
      </c>
      <c r="M36" s="155">
        <f>13573047+6530769</f>
        <v>20103816</v>
      </c>
      <c r="O36" s="171"/>
      <c r="P36" s="205"/>
    </row>
    <row r="37" spans="2:16" ht="15" thickBot="1" x14ac:dyDescent="0.4">
      <c r="B37" s="196" t="s">
        <v>3343</v>
      </c>
      <c r="C37" s="195" t="s">
        <v>3344</v>
      </c>
      <c r="D37" s="220">
        <v>512349.12</v>
      </c>
      <c r="E37" s="100"/>
      <c r="G37" s="80" t="s">
        <v>33</v>
      </c>
      <c r="H37" s="150">
        <f>-H31</f>
        <v>-3246489.66</v>
      </c>
      <c r="K37" s="156" t="s">
        <v>40</v>
      </c>
      <c r="L37" s="157">
        <f>2632+23332+630</f>
        <v>26594</v>
      </c>
      <c r="M37" s="201">
        <f>920425+5013494+94500</f>
        <v>6028419</v>
      </c>
      <c r="O37" s="171"/>
      <c r="P37" s="81"/>
    </row>
    <row r="38" spans="2:16" x14ac:dyDescent="0.35">
      <c r="B38" s="80"/>
      <c r="E38" s="100"/>
      <c r="G38" s="80"/>
      <c r="H38" s="150"/>
      <c r="K38" s="80" t="s">
        <v>41</v>
      </c>
      <c r="L38" s="157">
        <v>3891.47</v>
      </c>
      <c r="M38" s="155">
        <v>999058.3</v>
      </c>
      <c r="O38" s="171"/>
      <c r="P38" s="81"/>
    </row>
    <row r="39" spans="2:16" x14ac:dyDescent="0.35">
      <c r="B39" s="80"/>
      <c r="E39" s="100"/>
      <c r="G39" s="80"/>
      <c r="H39" s="150"/>
      <c r="K39" s="156" t="s">
        <v>54</v>
      </c>
      <c r="L39" s="158"/>
      <c r="M39" s="159">
        <f>+[2]Gameskin!$F$53</f>
        <v>1121468.5779995448</v>
      </c>
      <c r="O39" s="171"/>
      <c r="P39" s="81"/>
    </row>
    <row r="40" spans="2:16" ht="15" thickBot="1" x14ac:dyDescent="0.4">
      <c r="B40" s="219"/>
      <c r="C40" s="166"/>
      <c r="D40" s="166"/>
      <c r="E40" s="192"/>
      <c r="G40" s="160" t="s">
        <v>35</v>
      </c>
      <c r="H40" s="161">
        <f>SUM(H33:H39)</f>
        <v>44150906.177999541</v>
      </c>
      <c r="K40" s="80"/>
      <c r="L40" s="162" t="s">
        <v>34</v>
      </c>
      <c r="M40" s="163">
        <f>SUM(M36:M39)</f>
        <v>28252761.877999544</v>
      </c>
      <c r="N40" s="164"/>
      <c r="O40" s="14"/>
    </row>
    <row r="41" spans="2:16" ht="15" thickBot="1" x14ac:dyDescent="0.4">
      <c r="K41" s="165"/>
      <c r="L41" s="166"/>
      <c r="M41" s="167"/>
      <c r="N41" s="81"/>
      <c r="O41" s="188"/>
    </row>
    <row r="42" spans="2:16" x14ac:dyDescent="0.35">
      <c r="D42" s="204">
        <f>+D37/D9</f>
        <v>5.3336726846549824E-2</v>
      </c>
      <c r="G42" t="s">
        <v>3346</v>
      </c>
      <c r="O42" s="168"/>
    </row>
    <row r="43" spans="2:16" ht="3.75" customHeight="1" x14ac:dyDescent="0.35">
      <c r="L43" s="197"/>
      <c r="M43" s="81"/>
    </row>
    <row r="44" spans="2:16" ht="16" x14ac:dyDescent="0.4">
      <c r="D44" s="81"/>
      <c r="G44" t="s">
        <v>3347</v>
      </c>
      <c r="L44" s="197"/>
      <c r="M44" s="81"/>
      <c r="O44" s="226"/>
    </row>
    <row r="45" spans="2:16" x14ac:dyDescent="0.35">
      <c r="D45" s="179"/>
      <c r="E45" s="149"/>
      <c r="L45" s="197"/>
      <c r="M45" s="81"/>
      <c r="O45" s="171"/>
    </row>
    <row r="46" spans="2:16" ht="23.25" customHeight="1" x14ac:dyDescent="0.35">
      <c r="C46" s="179"/>
      <c r="D46" s="179">
        <f>+D37/D9</f>
        <v>5.3336726846549824E-2</v>
      </c>
      <c r="J46" s="169"/>
      <c r="K46" s="171"/>
      <c r="L46" s="171"/>
      <c r="M46" s="205"/>
      <c r="O46" s="227"/>
    </row>
    <row r="47" spans="2:16" ht="15" customHeight="1" x14ac:dyDescent="0.35">
      <c r="C47" s="126">
        <f>+C25+C26+C27+C28+C29+C30+C32+C31+C33+C34</f>
        <v>9446.3300000000017</v>
      </c>
      <c r="D47" s="179">
        <f>+D25+D26+D27+D28+D29+D30+D31+D32+D33+D34</f>
        <v>2823010.91</v>
      </c>
      <c r="I47" s="170"/>
      <c r="J47" s="169"/>
      <c r="L47" s="171"/>
      <c r="M47" s="81"/>
      <c r="O47" s="126"/>
    </row>
    <row r="48" spans="2:16" ht="15" customHeight="1" x14ac:dyDescent="0.35">
      <c r="C48">
        <f>+C47/C11</f>
        <v>0.33602829568176396</v>
      </c>
      <c r="D48" s="179">
        <f>+D47/D11</f>
        <v>0.30827701879448843</v>
      </c>
      <c r="I48" s="170"/>
      <c r="J48" s="169"/>
      <c r="L48" s="228"/>
      <c r="M48" s="123"/>
      <c r="N48" s="81"/>
      <c r="P48" s="81"/>
    </row>
    <row r="49" spans="2:17" ht="15" customHeight="1" x14ac:dyDescent="0.35">
      <c r="D49" s="179">
        <f>+D37/D9</f>
        <v>5.3336726846549824E-2</v>
      </c>
      <c r="I49" s="170"/>
      <c r="J49" s="169"/>
      <c r="K49" s="126"/>
      <c r="L49" s="171"/>
      <c r="M49" s="81"/>
      <c r="N49" s="81"/>
      <c r="O49" s="179"/>
      <c r="P49" s="81"/>
    </row>
    <row r="50" spans="2:17" x14ac:dyDescent="0.35">
      <c r="B50" s="171"/>
      <c r="C50" s="171"/>
      <c r="D50" s="171"/>
      <c r="E50" s="149"/>
      <c r="J50" s="126"/>
      <c r="L50" s="197"/>
      <c r="M50" s="81"/>
      <c r="N50" s="99"/>
      <c r="O50" s="179"/>
    </row>
    <row r="51" spans="2:17" x14ac:dyDescent="0.35">
      <c r="G51" s="172"/>
      <c r="I51" s="83"/>
      <c r="K51" s="171"/>
      <c r="L51" s="171"/>
      <c r="M51" s="205"/>
      <c r="O51" s="179"/>
    </row>
    <row r="52" spans="2:17" x14ac:dyDescent="0.35">
      <c r="G52" s="172"/>
      <c r="H52" s="99"/>
      <c r="I52" s="173"/>
      <c r="L52" s="171"/>
      <c r="M52" s="81"/>
      <c r="O52" s="179"/>
    </row>
    <row r="53" spans="2:17" x14ac:dyDescent="0.35">
      <c r="G53" s="172"/>
      <c r="H53" s="99"/>
      <c r="I53" s="3"/>
      <c r="K53" s="171"/>
      <c r="L53" s="171"/>
      <c r="M53" s="81"/>
      <c r="O53" s="179"/>
    </row>
    <row r="54" spans="2:17" x14ac:dyDescent="0.35">
      <c r="D54" s="179"/>
      <c r="G54" s="172"/>
      <c r="H54" s="99"/>
      <c r="I54" s="173"/>
      <c r="L54" s="228"/>
      <c r="M54" s="123"/>
    </row>
    <row r="55" spans="2:17" x14ac:dyDescent="0.35">
      <c r="G55" s="172"/>
      <c r="H55" s="123"/>
      <c r="I55" s="147"/>
      <c r="L55" s="171"/>
      <c r="M55" s="81"/>
    </row>
    <row r="56" spans="2:17" x14ac:dyDescent="0.35">
      <c r="G56" s="172"/>
      <c r="H56" s="174"/>
      <c r="I56" s="147"/>
      <c r="L56" s="171"/>
      <c r="O56" s="241"/>
      <c r="P56" s="242"/>
      <c r="Q56" s="242"/>
    </row>
    <row r="57" spans="2:17" x14ac:dyDescent="0.35">
      <c r="G57" s="175"/>
      <c r="H57" s="176"/>
      <c r="L57" s="171"/>
      <c r="P57" s="86"/>
      <c r="Q57" s="86"/>
    </row>
    <row r="58" spans="2:17" ht="15.5" x14ac:dyDescent="0.35">
      <c r="G58" s="175"/>
      <c r="H58" s="177"/>
      <c r="L58" s="126"/>
      <c r="M58" s="171"/>
      <c r="O58" s="215"/>
      <c r="P58" s="197"/>
      <c r="Q58" s="81"/>
    </row>
    <row r="59" spans="2:17" ht="15.5" x14ac:dyDescent="0.35">
      <c r="D59" s="179"/>
      <c r="O59" s="216"/>
      <c r="P59" s="171"/>
      <c r="Q59" s="81"/>
    </row>
    <row r="60" spans="2:17" x14ac:dyDescent="0.35">
      <c r="L60" s="126"/>
      <c r="O60" s="171"/>
      <c r="P60" s="171"/>
      <c r="Q60" s="81"/>
    </row>
    <row r="61" spans="2:17" x14ac:dyDescent="0.35">
      <c r="O61" s="171"/>
      <c r="P61" s="171"/>
      <c r="Q61" s="81"/>
    </row>
    <row r="62" spans="2:17" x14ac:dyDescent="0.35">
      <c r="P62" s="203"/>
      <c r="Q62" s="123"/>
    </row>
    <row r="63" spans="2:17" x14ac:dyDescent="0.35">
      <c r="L63" s="126"/>
      <c r="O63" s="171"/>
      <c r="Q63" s="99"/>
    </row>
  </sheetData>
  <mergeCells count="5">
    <mergeCell ref="O56:Q56"/>
    <mergeCell ref="B4:D4"/>
    <mergeCell ref="K34:M34"/>
    <mergeCell ref="G4:H4"/>
    <mergeCell ref="B16:D16"/>
  </mergeCells>
  <pageMargins left="0.51181102362204722" right="0.31496062992125984" top="0.35433070866141736" bottom="0.15748031496062992" header="0" footer="0"/>
  <pageSetup paperSize="9" scale="6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9FCD-D773-4A01-88F4-1E46D6CF6AB5}">
  <dimension ref="A1:D20"/>
  <sheetViews>
    <sheetView workbookViewId="0">
      <selection activeCell="E3" sqref="E3"/>
    </sheetView>
  </sheetViews>
  <sheetFormatPr defaultRowHeight="14.5" x14ac:dyDescent="0.35"/>
  <cols>
    <col min="1" max="1" width="48.1796875" bestFit="1" customWidth="1"/>
    <col min="4" max="4" width="12.36328125" bestFit="1" customWidth="1"/>
  </cols>
  <sheetData>
    <row r="1" spans="1:4" x14ac:dyDescent="0.35">
      <c r="A1" s="178" t="s">
        <v>2947</v>
      </c>
    </row>
    <row r="2" spans="1:4" x14ac:dyDescent="0.35">
      <c r="A2" s="178" t="s">
        <v>63</v>
      </c>
      <c r="B2" s="178" t="s">
        <v>2879</v>
      </c>
      <c r="C2" s="178" t="s">
        <v>2948</v>
      </c>
      <c r="D2" s="180" t="s">
        <v>2949</v>
      </c>
    </row>
    <row r="3" spans="1:4" x14ac:dyDescent="0.35">
      <c r="A3" s="178" t="s">
        <v>2979</v>
      </c>
    </row>
    <row r="4" spans="1:4" x14ac:dyDescent="0.35">
      <c r="A4" s="178" t="s">
        <v>2981</v>
      </c>
      <c r="B4" s="126">
        <v>1703.95</v>
      </c>
      <c r="C4">
        <v>207</v>
      </c>
      <c r="D4" s="179">
        <v>352717.65</v>
      </c>
    </row>
    <row r="5" spans="1:4" x14ac:dyDescent="0.35">
      <c r="A5" s="178" t="s">
        <v>2982</v>
      </c>
      <c r="B5" s="126">
        <v>2485.4499999999998</v>
      </c>
      <c r="C5">
        <v>207</v>
      </c>
      <c r="D5" s="179">
        <v>514488.15</v>
      </c>
    </row>
    <row r="6" spans="1:4" x14ac:dyDescent="0.35">
      <c r="A6" s="178" t="s">
        <v>2984</v>
      </c>
      <c r="B6" s="126">
        <v>330.06</v>
      </c>
      <c r="C6">
        <v>274</v>
      </c>
      <c r="D6" s="179">
        <v>90436.44</v>
      </c>
    </row>
    <row r="7" spans="1:4" x14ac:dyDescent="0.35">
      <c r="A7" s="178" t="s">
        <v>2989</v>
      </c>
      <c r="B7" s="126">
        <v>424.17</v>
      </c>
      <c r="C7">
        <v>292</v>
      </c>
      <c r="D7" s="179">
        <v>123857.64</v>
      </c>
    </row>
    <row r="8" spans="1:4" x14ac:dyDescent="0.35">
      <c r="A8" s="178" t="s">
        <v>2996</v>
      </c>
      <c r="B8" s="126">
        <v>600.25</v>
      </c>
      <c r="C8">
        <v>207</v>
      </c>
      <c r="D8" s="179">
        <v>124251.75</v>
      </c>
    </row>
    <row r="9" spans="1:4" x14ac:dyDescent="0.35">
      <c r="A9" s="178" t="s">
        <v>2997</v>
      </c>
      <c r="B9" s="126">
        <v>622.79999999999995</v>
      </c>
      <c r="C9">
        <v>207</v>
      </c>
      <c r="D9" s="179">
        <v>128919.6</v>
      </c>
    </row>
    <row r="10" spans="1:4" x14ac:dyDescent="0.35">
      <c r="A10" s="178" t="s">
        <v>3001</v>
      </c>
      <c r="B10" s="126">
        <v>573.96</v>
      </c>
      <c r="C10">
        <v>189</v>
      </c>
      <c r="D10" s="179">
        <v>108478.44</v>
      </c>
    </row>
    <row r="11" spans="1:4" x14ac:dyDescent="0.35">
      <c r="A11" s="178" t="s">
        <v>3010</v>
      </c>
      <c r="B11" s="126">
        <v>1296.02</v>
      </c>
      <c r="C11">
        <v>178</v>
      </c>
      <c r="D11" s="179">
        <v>230691.56</v>
      </c>
    </row>
    <row r="12" spans="1:4" x14ac:dyDescent="0.35">
      <c r="A12" s="178" t="s">
        <v>3011</v>
      </c>
      <c r="B12" s="126">
        <v>963.65</v>
      </c>
      <c r="C12">
        <v>178</v>
      </c>
      <c r="D12" s="179">
        <v>171529.7</v>
      </c>
    </row>
    <row r="13" spans="1:4" x14ac:dyDescent="0.35">
      <c r="A13" s="178" t="s">
        <v>3012</v>
      </c>
      <c r="B13" s="126">
        <v>617.25</v>
      </c>
      <c r="C13">
        <v>178</v>
      </c>
      <c r="D13" s="179">
        <v>109870.5</v>
      </c>
    </row>
    <row r="14" spans="1:4" x14ac:dyDescent="0.35">
      <c r="A14" s="178" t="s">
        <v>3013</v>
      </c>
      <c r="B14" s="126">
        <v>1272.1400000000001</v>
      </c>
      <c r="C14">
        <v>178</v>
      </c>
      <c r="D14" s="179">
        <v>226440.92</v>
      </c>
    </row>
    <row r="15" spans="1:4" x14ac:dyDescent="0.35">
      <c r="A15" s="178" t="s">
        <v>3016</v>
      </c>
      <c r="B15" s="126">
        <v>1183.46</v>
      </c>
      <c r="C15">
        <v>207</v>
      </c>
      <c r="D15" s="179">
        <v>244976.22</v>
      </c>
    </row>
    <row r="16" spans="1:4" x14ac:dyDescent="0.35">
      <c r="A16" s="178" t="s">
        <v>3017</v>
      </c>
      <c r="B16" s="126">
        <v>1215.01</v>
      </c>
      <c r="C16">
        <v>207</v>
      </c>
      <c r="D16" s="179">
        <v>251507.07</v>
      </c>
    </row>
    <row r="17" spans="1:4" x14ac:dyDescent="0.35">
      <c r="A17" s="178" t="s">
        <v>3018</v>
      </c>
      <c r="B17" s="126">
        <v>615.30999999999995</v>
      </c>
      <c r="C17">
        <v>207</v>
      </c>
      <c r="D17" s="179">
        <v>127369.17</v>
      </c>
    </row>
    <row r="18" spans="1:4" x14ac:dyDescent="0.35">
      <c r="A18" s="178" t="s">
        <v>3019</v>
      </c>
      <c r="B18" s="126">
        <v>13903.48</v>
      </c>
    </row>
    <row r="19" spans="1:4" x14ac:dyDescent="0.35">
      <c r="A19" s="178" t="s">
        <v>2877</v>
      </c>
      <c r="B19" s="178" t="s">
        <v>63</v>
      </c>
      <c r="C19" s="178" t="s">
        <v>63</v>
      </c>
      <c r="D19" s="179">
        <v>2805534.81</v>
      </c>
    </row>
    <row r="20" spans="1:4" x14ac:dyDescent="0.35">
      <c r="D20" s="179">
        <v>201.7865174762002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sqref="A1:E46"/>
    </sheetView>
  </sheetViews>
  <sheetFormatPr defaultRowHeight="14.5" x14ac:dyDescent="0.35"/>
  <cols>
    <col min="1" max="1" width="34.90625" customWidth="1"/>
    <col min="2" max="2" width="33.08984375" bestFit="1" customWidth="1"/>
    <col min="3" max="5" width="13.453125" style="179" bestFit="1" customWidth="1"/>
  </cols>
  <sheetData>
    <row r="1" spans="1:5" x14ac:dyDescent="0.35">
      <c r="A1" s="178" t="s">
        <v>61</v>
      </c>
      <c r="C1"/>
      <c r="D1"/>
      <c r="E1"/>
    </row>
    <row r="2" spans="1:5" x14ac:dyDescent="0.35">
      <c r="A2" s="178" t="s">
        <v>62</v>
      </c>
      <c r="C2"/>
      <c r="D2"/>
      <c r="E2"/>
    </row>
    <row r="3" spans="1:5" x14ac:dyDescent="0.35">
      <c r="A3" s="178" t="s">
        <v>63</v>
      </c>
      <c r="B3" s="178" t="s">
        <v>63</v>
      </c>
      <c r="C3" s="178" t="s">
        <v>63</v>
      </c>
      <c r="D3"/>
      <c r="E3"/>
    </row>
    <row r="4" spans="1:5" x14ac:dyDescent="0.35">
      <c r="A4" s="178" t="s">
        <v>64</v>
      </c>
      <c r="B4" s="178" t="s">
        <v>63</v>
      </c>
      <c r="C4" s="178" t="s">
        <v>63</v>
      </c>
      <c r="D4"/>
      <c r="E4"/>
    </row>
    <row r="5" spans="1:5" x14ac:dyDescent="0.35">
      <c r="A5" s="178" t="s">
        <v>65</v>
      </c>
      <c r="B5" s="178" t="s">
        <v>63</v>
      </c>
      <c r="C5" s="178" t="s">
        <v>63</v>
      </c>
      <c r="D5"/>
      <c r="E5"/>
    </row>
    <row r="6" spans="1:5" x14ac:dyDescent="0.35">
      <c r="A6" s="178" t="s">
        <v>63</v>
      </c>
      <c r="B6" s="178" t="s">
        <v>63</v>
      </c>
      <c r="C6" s="178" t="s">
        <v>63</v>
      </c>
      <c r="D6"/>
      <c r="E6"/>
    </row>
    <row r="7" spans="1:5" x14ac:dyDescent="0.35">
      <c r="A7" s="178" t="s">
        <v>66</v>
      </c>
      <c r="B7" s="178" t="s">
        <v>63</v>
      </c>
      <c r="C7" s="178" t="s">
        <v>63</v>
      </c>
      <c r="D7"/>
      <c r="E7"/>
    </row>
    <row r="8" spans="1:5" x14ac:dyDescent="0.35">
      <c r="A8" s="178" t="s">
        <v>63</v>
      </c>
      <c r="B8" s="178" t="s">
        <v>67</v>
      </c>
      <c r="C8">
        <v>100</v>
      </c>
      <c r="D8">
        <v>100</v>
      </c>
      <c r="E8"/>
    </row>
    <row r="9" spans="1:5" x14ac:dyDescent="0.35">
      <c r="A9" s="178" t="s">
        <v>68</v>
      </c>
      <c r="B9" s="178" t="s">
        <v>63</v>
      </c>
      <c r="C9" s="178" t="s">
        <v>63</v>
      </c>
      <c r="D9"/>
      <c r="E9"/>
    </row>
    <row r="10" spans="1:5" x14ac:dyDescent="0.35">
      <c r="A10" s="178" t="s">
        <v>63</v>
      </c>
      <c r="B10" s="178" t="s">
        <v>69</v>
      </c>
      <c r="C10">
        <v>33130566.18</v>
      </c>
      <c r="D10" s="178" t="s">
        <v>63</v>
      </c>
      <c r="E10"/>
    </row>
    <row r="11" spans="1:5" x14ac:dyDescent="0.35">
      <c r="A11" s="178" t="s">
        <v>63</v>
      </c>
      <c r="B11" s="178" t="s">
        <v>70</v>
      </c>
      <c r="C11">
        <v>1056454.4099999999</v>
      </c>
      <c r="D11">
        <v>34187020.590000004</v>
      </c>
      <c r="E11">
        <v>34187120.590000004</v>
      </c>
    </row>
    <row r="12" spans="1:5" x14ac:dyDescent="0.35">
      <c r="A12" s="178" t="s">
        <v>71</v>
      </c>
      <c r="B12" s="178" t="s">
        <v>63</v>
      </c>
      <c r="C12" s="178" t="s">
        <v>63</v>
      </c>
      <c r="D12"/>
      <c r="E12"/>
    </row>
    <row r="13" spans="1:5" x14ac:dyDescent="0.35">
      <c r="A13" s="178" t="s">
        <v>63</v>
      </c>
      <c r="B13" s="178" t="s">
        <v>72</v>
      </c>
      <c r="C13">
        <v>-4072.66</v>
      </c>
      <c r="D13">
        <v>-4072.66</v>
      </c>
      <c r="E13"/>
    </row>
    <row r="14" spans="1:5" x14ac:dyDescent="0.35">
      <c r="A14" s="178" t="s">
        <v>63</v>
      </c>
      <c r="B14" s="178" t="s">
        <v>63</v>
      </c>
      <c r="C14" s="178" t="s">
        <v>63</v>
      </c>
      <c r="D14"/>
      <c r="E14"/>
    </row>
    <row r="15" spans="1:5" x14ac:dyDescent="0.35">
      <c r="A15" s="178" t="s">
        <v>73</v>
      </c>
      <c r="B15" s="178" t="s">
        <v>63</v>
      </c>
      <c r="C15" s="178" t="s">
        <v>63</v>
      </c>
      <c r="D15"/>
      <c r="E15"/>
    </row>
    <row r="16" spans="1:5" x14ac:dyDescent="0.35">
      <c r="A16" s="178" t="s">
        <v>74</v>
      </c>
      <c r="B16" s="178" t="s">
        <v>63</v>
      </c>
      <c r="C16" s="178" t="s">
        <v>63</v>
      </c>
      <c r="D16"/>
      <c r="E16"/>
    </row>
    <row r="17" spans="1:5" x14ac:dyDescent="0.35">
      <c r="A17" s="178" t="s">
        <v>63</v>
      </c>
      <c r="B17" s="178" t="s">
        <v>63</v>
      </c>
      <c r="C17" s="178" t="s">
        <v>63</v>
      </c>
      <c r="D17">
        <v>-4072.66</v>
      </c>
      <c r="E17"/>
    </row>
    <row r="18" spans="1:5" x14ac:dyDescent="0.35">
      <c r="A18" s="178" t="s">
        <v>63</v>
      </c>
      <c r="B18" s="178" t="s">
        <v>63</v>
      </c>
      <c r="C18" s="178" t="s">
        <v>63</v>
      </c>
      <c r="D18">
        <v>34183047.93</v>
      </c>
      <c r="E18"/>
    </row>
    <row r="19" spans="1:5" x14ac:dyDescent="0.35">
      <c r="A19" s="178" t="s">
        <v>75</v>
      </c>
      <c r="B19" s="178" t="s">
        <v>63</v>
      </c>
      <c r="C19" s="178" t="s">
        <v>63</v>
      </c>
      <c r="D19"/>
      <c r="E19"/>
    </row>
    <row r="20" spans="1:5" x14ac:dyDescent="0.35">
      <c r="A20" s="178" t="s">
        <v>63</v>
      </c>
      <c r="B20" s="178" t="s">
        <v>76</v>
      </c>
      <c r="C20">
        <v>8954.5</v>
      </c>
      <c r="D20" s="178" t="s">
        <v>63</v>
      </c>
      <c r="E20"/>
    </row>
    <row r="21" spans="1:5" x14ac:dyDescent="0.35">
      <c r="A21" s="178" t="s">
        <v>63</v>
      </c>
      <c r="B21" s="178" t="s">
        <v>3345</v>
      </c>
      <c r="C21">
        <v>55539.53</v>
      </c>
      <c r="D21" s="178" t="s">
        <v>63</v>
      </c>
      <c r="E21"/>
    </row>
    <row r="22" spans="1:5" x14ac:dyDescent="0.35">
      <c r="A22" s="178" t="s">
        <v>63</v>
      </c>
      <c r="B22" s="178" t="s">
        <v>77</v>
      </c>
      <c r="C22">
        <v>3246489.66</v>
      </c>
      <c r="D22" s="178" t="s">
        <v>63</v>
      </c>
      <c r="E22"/>
    </row>
    <row r="23" spans="1:5" x14ac:dyDescent="0.35">
      <c r="A23" s="178" t="s">
        <v>63</v>
      </c>
      <c r="B23" s="178" t="s">
        <v>78</v>
      </c>
      <c r="C23">
        <v>99554.51</v>
      </c>
      <c r="D23">
        <v>3410538.2</v>
      </c>
      <c r="E23">
        <v>3410538.2</v>
      </c>
    </row>
    <row r="24" spans="1:5" x14ac:dyDescent="0.35">
      <c r="A24" s="178" t="s">
        <v>79</v>
      </c>
      <c r="B24" s="178" t="s">
        <v>63</v>
      </c>
      <c r="C24" s="178" t="s">
        <v>63</v>
      </c>
      <c r="D24">
        <v>37593586.130000003</v>
      </c>
      <c r="E24"/>
    </row>
    <row r="25" spans="1:5" x14ac:dyDescent="0.35">
      <c r="A25" s="178" t="s">
        <v>63</v>
      </c>
      <c r="B25" s="178" t="s">
        <v>63</v>
      </c>
      <c r="C25" s="178" t="s">
        <v>63</v>
      </c>
      <c r="D25"/>
      <c r="E25"/>
    </row>
    <row r="26" spans="1:5" x14ac:dyDescent="0.35">
      <c r="A26" s="178" t="s">
        <v>80</v>
      </c>
      <c r="B26" s="178" t="s">
        <v>63</v>
      </c>
      <c r="C26" s="178" t="s">
        <v>63</v>
      </c>
      <c r="D26"/>
      <c r="E26"/>
    </row>
    <row r="27" spans="1:5" x14ac:dyDescent="0.35">
      <c r="A27" s="178" t="s">
        <v>81</v>
      </c>
      <c r="B27" s="178" t="s">
        <v>63</v>
      </c>
      <c r="C27" s="178" t="s">
        <v>63</v>
      </c>
      <c r="D27"/>
      <c r="E27"/>
    </row>
    <row r="28" spans="1:5" x14ac:dyDescent="0.35">
      <c r="A28" s="178" t="s">
        <v>63</v>
      </c>
      <c r="B28" s="178" t="s">
        <v>63</v>
      </c>
      <c r="C28" s="178" t="s">
        <v>63</v>
      </c>
      <c r="D28"/>
      <c r="E28"/>
    </row>
    <row r="29" spans="1:5" x14ac:dyDescent="0.35">
      <c r="A29" s="178" t="s">
        <v>82</v>
      </c>
      <c r="B29" s="178" t="s">
        <v>63</v>
      </c>
      <c r="C29" s="178" t="s">
        <v>63</v>
      </c>
      <c r="D29"/>
      <c r="E29"/>
    </row>
    <row r="30" spans="1:5" x14ac:dyDescent="0.35">
      <c r="A30" s="178" t="s">
        <v>63</v>
      </c>
      <c r="B30" s="178" t="s">
        <v>83</v>
      </c>
      <c r="C30">
        <v>1438086.08</v>
      </c>
      <c r="D30" s="178" t="s">
        <v>63</v>
      </c>
      <c r="E30"/>
    </row>
    <row r="31" spans="1:5" x14ac:dyDescent="0.35">
      <c r="A31" s="178" t="s">
        <v>63</v>
      </c>
      <c r="B31" s="178" t="s">
        <v>84</v>
      </c>
      <c r="C31">
        <v>49169.98</v>
      </c>
      <c r="D31" s="178" t="s">
        <v>63</v>
      </c>
      <c r="E31"/>
    </row>
    <row r="32" spans="1:5" x14ac:dyDescent="0.35">
      <c r="A32" s="178" t="s">
        <v>63</v>
      </c>
      <c r="B32" s="178" t="s">
        <v>85</v>
      </c>
      <c r="C32">
        <v>16195.62</v>
      </c>
      <c r="D32">
        <v>1503451.68</v>
      </c>
      <c r="E32">
        <v>1503451.68</v>
      </c>
    </row>
    <row r="33" spans="1:5" x14ac:dyDescent="0.35">
      <c r="A33" s="178" t="s">
        <v>86</v>
      </c>
      <c r="B33" s="178" t="s">
        <v>63</v>
      </c>
      <c r="C33" s="178" t="s">
        <v>63</v>
      </c>
      <c r="D33"/>
      <c r="E33"/>
    </row>
    <row r="34" spans="1:5" x14ac:dyDescent="0.35">
      <c r="A34" s="178" t="s">
        <v>63</v>
      </c>
      <c r="B34" s="178" t="s">
        <v>87</v>
      </c>
      <c r="C34" s="178" t="s">
        <v>63</v>
      </c>
      <c r="D34" s="178" t="s">
        <v>63</v>
      </c>
      <c r="E34"/>
    </row>
    <row r="35" spans="1:5" x14ac:dyDescent="0.35">
      <c r="A35" s="178" t="s">
        <v>63</v>
      </c>
      <c r="B35" s="178" t="s">
        <v>63</v>
      </c>
      <c r="C35" s="178" t="s">
        <v>87</v>
      </c>
      <c r="D35">
        <v>12760583.699999999</v>
      </c>
      <c r="E35" s="178" t="s">
        <v>63</v>
      </c>
    </row>
    <row r="36" spans="1:5" x14ac:dyDescent="0.35">
      <c r="A36" s="178" t="s">
        <v>63</v>
      </c>
      <c r="B36" s="178" t="s">
        <v>88</v>
      </c>
      <c r="C36">
        <v>26632.2</v>
      </c>
      <c r="D36" s="178" t="s">
        <v>63</v>
      </c>
      <c r="E36"/>
    </row>
    <row r="37" spans="1:5" x14ac:dyDescent="0.35">
      <c r="A37" s="178" t="s">
        <v>63</v>
      </c>
      <c r="B37" s="178" t="s">
        <v>89</v>
      </c>
      <c r="C37">
        <v>1526847.65</v>
      </c>
      <c r="D37" s="178" t="s">
        <v>63</v>
      </c>
      <c r="E37"/>
    </row>
    <row r="38" spans="1:5" x14ac:dyDescent="0.35">
      <c r="A38" s="178" t="s">
        <v>63</v>
      </c>
      <c r="B38" s="178" t="s">
        <v>90</v>
      </c>
      <c r="C38">
        <v>9499994.1999999993</v>
      </c>
      <c r="D38" s="178" t="s">
        <v>63</v>
      </c>
      <c r="E38"/>
    </row>
    <row r="39" spans="1:5" x14ac:dyDescent="0.35">
      <c r="A39" s="178" t="s">
        <v>63</v>
      </c>
      <c r="B39" s="178" t="s">
        <v>91</v>
      </c>
      <c r="C39">
        <v>2256051.75</v>
      </c>
      <c r="D39" s="178" t="s">
        <v>63</v>
      </c>
      <c r="E39"/>
    </row>
    <row r="40" spans="1:5" x14ac:dyDescent="0.35">
      <c r="A40" s="178" t="s">
        <v>63</v>
      </c>
      <c r="B40" s="178" t="s">
        <v>92</v>
      </c>
      <c r="C40">
        <v>7388251.25</v>
      </c>
      <c r="D40" s="178" t="s">
        <v>63</v>
      </c>
      <c r="E40"/>
    </row>
    <row r="41" spans="1:5" x14ac:dyDescent="0.35">
      <c r="A41" s="178" t="s">
        <v>63</v>
      </c>
      <c r="B41" s="178" t="s">
        <v>93</v>
      </c>
      <c r="C41">
        <v>8836.34</v>
      </c>
      <c r="D41" s="178" t="s">
        <v>63</v>
      </c>
      <c r="E41"/>
    </row>
    <row r="42" spans="1:5" x14ac:dyDescent="0.35">
      <c r="A42" s="178" t="s">
        <v>63</v>
      </c>
      <c r="B42" s="178" t="s">
        <v>94</v>
      </c>
      <c r="C42">
        <v>64927.839999999997</v>
      </c>
      <c r="D42" s="178" t="s">
        <v>63</v>
      </c>
      <c r="E42"/>
    </row>
    <row r="43" spans="1:5" x14ac:dyDescent="0.35">
      <c r="A43" s="178" t="s">
        <v>63</v>
      </c>
      <c r="B43" s="178" t="s">
        <v>95</v>
      </c>
      <c r="C43">
        <v>79748.41</v>
      </c>
      <c r="D43" s="178" t="s">
        <v>63</v>
      </c>
      <c r="E43"/>
    </row>
    <row r="44" spans="1:5" x14ac:dyDescent="0.35">
      <c r="A44" s="178" t="s">
        <v>63</v>
      </c>
      <c r="B44" s="178" t="s">
        <v>96</v>
      </c>
      <c r="C44">
        <v>2450142.8199999998</v>
      </c>
      <c r="D44" s="178" t="s">
        <v>63</v>
      </c>
      <c r="E44"/>
    </row>
    <row r="45" spans="1:5" x14ac:dyDescent="0.35">
      <c r="A45" s="178" t="s">
        <v>63</v>
      </c>
      <c r="B45" s="178" t="s">
        <v>97</v>
      </c>
      <c r="C45">
        <v>28118.29</v>
      </c>
      <c r="D45">
        <v>36090134.450000003</v>
      </c>
      <c r="E45">
        <v>36090134.450000003</v>
      </c>
    </row>
    <row r="46" spans="1:5" x14ac:dyDescent="0.35">
      <c r="A46" s="178" t="s">
        <v>98</v>
      </c>
      <c r="B46" s="178" t="s">
        <v>63</v>
      </c>
      <c r="C46" s="178" t="s">
        <v>63</v>
      </c>
      <c r="D46">
        <v>37593586.130000003</v>
      </c>
      <c r="E4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7"/>
  <sheetViews>
    <sheetView topLeftCell="A4" workbookViewId="0">
      <selection activeCell="I11" sqref="I11"/>
    </sheetView>
  </sheetViews>
  <sheetFormatPr defaultRowHeight="14.5" x14ac:dyDescent="0.35"/>
  <cols>
    <col min="1" max="1" width="15.7265625" customWidth="1"/>
    <col min="2" max="2" width="25.1796875" bestFit="1" customWidth="1"/>
    <col min="3" max="4" width="12.36328125" style="179" bestFit="1" customWidth="1"/>
  </cols>
  <sheetData>
    <row r="1" spans="1:4" x14ac:dyDescent="0.35">
      <c r="A1" s="178" t="s">
        <v>61</v>
      </c>
    </row>
    <row r="2" spans="1:4" x14ac:dyDescent="0.35">
      <c r="A2" s="178" t="s">
        <v>99</v>
      </c>
    </row>
    <row r="3" spans="1:4" x14ac:dyDescent="0.35">
      <c r="A3" s="178" t="s">
        <v>0</v>
      </c>
    </row>
    <row r="4" spans="1:4" x14ac:dyDescent="0.35">
      <c r="A4" s="178" t="s">
        <v>63</v>
      </c>
      <c r="B4" s="178" t="s">
        <v>100</v>
      </c>
      <c r="C4" s="179">
        <v>8793186.9600000009</v>
      </c>
    </row>
    <row r="5" spans="1:4" x14ac:dyDescent="0.35">
      <c r="A5" s="178" t="s">
        <v>63</v>
      </c>
      <c r="B5" s="178" t="s">
        <v>101</v>
      </c>
      <c r="C5" s="179">
        <v>52842.93</v>
      </c>
    </row>
    <row r="6" spans="1:4" x14ac:dyDescent="0.35">
      <c r="A6" s="178" t="s">
        <v>63</v>
      </c>
      <c r="B6" s="178" t="s">
        <v>102</v>
      </c>
      <c r="C6" s="179">
        <v>759904.9</v>
      </c>
      <c r="D6" s="179">
        <v>9605934.7899999991</v>
      </c>
    </row>
    <row r="7" spans="1:4" x14ac:dyDescent="0.35">
      <c r="A7" s="178" t="s">
        <v>1</v>
      </c>
    </row>
    <row r="8" spans="1:4" x14ac:dyDescent="0.35">
      <c r="A8" s="178" t="s">
        <v>63</v>
      </c>
      <c r="B8" s="178" t="s">
        <v>103</v>
      </c>
      <c r="C8" s="179">
        <v>8837529.0199999996</v>
      </c>
    </row>
    <row r="9" spans="1:4" x14ac:dyDescent="0.35">
      <c r="A9" s="178" t="s">
        <v>63</v>
      </c>
      <c r="B9" s="178" t="s">
        <v>104</v>
      </c>
      <c r="C9" s="179">
        <v>28103.919999999998</v>
      </c>
    </row>
    <row r="10" spans="1:4" x14ac:dyDescent="0.35">
      <c r="A10" s="178" t="s">
        <v>63</v>
      </c>
      <c r="B10" s="178" t="s">
        <v>105</v>
      </c>
      <c r="C10" s="179">
        <v>183671.1</v>
      </c>
      <c r="D10" s="179">
        <v>9049304.0399999991</v>
      </c>
    </row>
    <row r="11" spans="1:4" x14ac:dyDescent="0.35">
      <c r="A11" s="178" t="s">
        <v>106</v>
      </c>
      <c r="B11" s="178" t="s">
        <v>63</v>
      </c>
      <c r="C11" s="179">
        <v>556630.75000000198</v>
      </c>
    </row>
    <row r="12" spans="1:4" x14ac:dyDescent="0.35">
      <c r="A12" s="178" t="s">
        <v>2</v>
      </c>
    </row>
    <row r="13" spans="1:4" x14ac:dyDescent="0.35">
      <c r="A13" s="178" t="s">
        <v>63</v>
      </c>
      <c r="B13" s="178" t="s">
        <v>107</v>
      </c>
      <c r="C13" s="179">
        <v>296994.03999999998</v>
      </c>
    </row>
    <row r="14" spans="1:4" x14ac:dyDescent="0.35">
      <c r="A14" s="178" t="s">
        <v>63</v>
      </c>
      <c r="B14" s="178" t="s">
        <v>108</v>
      </c>
      <c r="C14" s="179">
        <v>12748.33</v>
      </c>
    </row>
    <row r="15" spans="1:4" x14ac:dyDescent="0.35">
      <c r="A15" s="178" t="s">
        <v>63</v>
      </c>
      <c r="B15" s="178" t="s">
        <v>109</v>
      </c>
      <c r="C15" s="179">
        <v>2977.76</v>
      </c>
    </row>
    <row r="16" spans="1:4" x14ac:dyDescent="0.35">
      <c r="A16" s="178" t="s">
        <v>63</v>
      </c>
      <c r="B16" s="178" t="s">
        <v>110</v>
      </c>
      <c r="C16" s="179">
        <v>-2464.2600000000002</v>
      </c>
      <c r="D16" s="179">
        <v>310255.87</v>
      </c>
    </row>
    <row r="17" spans="1:3" x14ac:dyDescent="0.35">
      <c r="A17" s="178" t="s">
        <v>63</v>
      </c>
      <c r="B17" s="178" t="s">
        <v>63</v>
      </c>
      <c r="C17" s="179">
        <v>866886.62000000197</v>
      </c>
    </row>
    <row r="18" spans="1:3" x14ac:dyDescent="0.35">
      <c r="A18" s="178" t="s">
        <v>3</v>
      </c>
    </row>
    <row r="19" spans="1:3" x14ac:dyDescent="0.35">
      <c r="A19" s="178" t="s">
        <v>63</v>
      </c>
      <c r="B19" s="178" t="s">
        <v>111</v>
      </c>
      <c r="C19" s="179">
        <v>40125</v>
      </c>
    </row>
    <row r="20" spans="1:3" x14ac:dyDescent="0.35">
      <c r="A20" s="178" t="s">
        <v>63</v>
      </c>
      <c r="B20" s="178" t="s">
        <v>112</v>
      </c>
      <c r="C20" s="179">
        <v>4620</v>
      </c>
    </row>
    <row r="21" spans="1:3" x14ac:dyDescent="0.35">
      <c r="A21" s="178" t="s">
        <v>63</v>
      </c>
      <c r="B21" s="178" t="s">
        <v>113</v>
      </c>
      <c r="C21" s="179">
        <v>2174.4899999999998</v>
      </c>
    </row>
    <row r="22" spans="1:3" x14ac:dyDescent="0.35">
      <c r="A22" s="178" t="s">
        <v>63</v>
      </c>
      <c r="B22" s="178" t="s">
        <v>114</v>
      </c>
      <c r="C22" s="179">
        <v>4336.58</v>
      </c>
    </row>
    <row r="23" spans="1:3" x14ac:dyDescent="0.35">
      <c r="A23" s="178" t="s">
        <v>63</v>
      </c>
      <c r="B23" s="178" t="s">
        <v>115</v>
      </c>
      <c r="C23" s="179">
        <v>1050.58</v>
      </c>
    </row>
    <row r="24" spans="1:3" x14ac:dyDescent="0.35">
      <c r="A24" s="178" t="s">
        <v>63</v>
      </c>
      <c r="B24" s="178" t="s">
        <v>116</v>
      </c>
      <c r="C24" s="179">
        <v>10494.2</v>
      </c>
    </row>
    <row r="25" spans="1:3" x14ac:dyDescent="0.35">
      <c r="A25" s="178" t="s">
        <v>63</v>
      </c>
      <c r="B25" s="178" t="s">
        <v>117</v>
      </c>
      <c r="C25" s="179">
        <v>10081.969999999999</v>
      </c>
    </row>
    <row r="26" spans="1:3" x14ac:dyDescent="0.35">
      <c r="A26" s="178" t="s">
        <v>63</v>
      </c>
      <c r="B26" s="178" t="s">
        <v>118</v>
      </c>
      <c r="C26" s="179">
        <v>779.7</v>
      </c>
    </row>
    <row r="27" spans="1:3" x14ac:dyDescent="0.35">
      <c r="A27" s="178" t="s">
        <v>63</v>
      </c>
      <c r="B27" s="178" t="s">
        <v>119</v>
      </c>
      <c r="C27" s="179">
        <v>21886.74</v>
      </c>
    </row>
    <row r="28" spans="1:3" x14ac:dyDescent="0.35">
      <c r="A28" s="178" t="s">
        <v>63</v>
      </c>
      <c r="B28" s="178" t="s">
        <v>120</v>
      </c>
      <c r="C28" s="179">
        <v>29383.11</v>
      </c>
    </row>
    <row r="29" spans="1:3" x14ac:dyDescent="0.35">
      <c r="A29" s="178" t="s">
        <v>63</v>
      </c>
      <c r="B29" s="178" t="s">
        <v>142</v>
      </c>
      <c r="C29" s="179">
        <v>463.98</v>
      </c>
    </row>
    <row r="30" spans="1:3" x14ac:dyDescent="0.35">
      <c r="A30" s="178" t="s">
        <v>63</v>
      </c>
      <c r="B30" s="178" t="s">
        <v>121</v>
      </c>
      <c r="C30" s="179">
        <v>400</v>
      </c>
    </row>
    <row r="31" spans="1:3" x14ac:dyDescent="0.35">
      <c r="A31" s="178" t="s">
        <v>63</v>
      </c>
      <c r="B31" s="178" t="s">
        <v>122</v>
      </c>
      <c r="C31" s="179">
        <v>48365.57</v>
      </c>
    </row>
    <row r="32" spans="1:3" x14ac:dyDescent="0.35">
      <c r="A32" s="178" t="s">
        <v>63</v>
      </c>
      <c r="B32" s="178" t="s">
        <v>123</v>
      </c>
      <c r="C32" s="179">
        <v>7216.12</v>
      </c>
    </row>
    <row r="33" spans="1:4" x14ac:dyDescent="0.35">
      <c r="A33" s="178" t="s">
        <v>63</v>
      </c>
      <c r="B33" s="178" t="s">
        <v>124</v>
      </c>
      <c r="C33" s="179">
        <v>131914.43</v>
      </c>
    </row>
    <row r="34" spans="1:4" x14ac:dyDescent="0.35">
      <c r="A34" s="178" t="s">
        <v>63</v>
      </c>
      <c r="B34" s="178" t="s">
        <v>125</v>
      </c>
      <c r="C34" s="179">
        <v>1500.12</v>
      </c>
    </row>
    <row r="35" spans="1:4" x14ac:dyDescent="0.35">
      <c r="A35" s="178" t="s">
        <v>63</v>
      </c>
      <c r="B35" s="178" t="s">
        <v>126</v>
      </c>
      <c r="C35" s="179">
        <v>24513.16</v>
      </c>
    </row>
    <row r="36" spans="1:4" x14ac:dyDescent="0.35">
      <c r="A36" s="178" t="s">
        <v>63</v>
      </c>
      <c r="B36" s="178" t="s">
        <v>127</v>
      </c>
      <c r="C36" s="179">
        <v>455034.55</v>
      </c>
    </row>
    <row r="37" spans="1:4" x14ac:dyDescent="0.35">
      <c r="A37" s="178" t="s">
        <v>63</v>
      </c>
      <c r="B37" s="178" t="s">
        <v>128</v>
      </c>
      <c r="C37" s="179">
        <v>99554.51</v>
      </c>
    </row>
    <row r="38" spans="1:4" x14ac:dyDescent="0.35">
      <c r="A38" s="178" t="s">
        <v>63</v>
      </c>
      <c r="B38" s="178" t="s">
        <v>129</v>
      </c>
      <c r="C38" s="179">
        <v>48829.760000000002</v>
      </c>
    </row>
    <row r="39" spans="1:4" x14ac:dyDescent="0.35">
      <c r="A39" s="178" t="s">
        <v>63</v>
      </c>
      <c r="B39" s="178" t="s">
        <v>130</v>
      </c>
      <c r="C39" s="179">
        <v>3119.6</v>
      </c>
    </row>
    <row r="40" spans="1:4" x14ac:dyDescent="0.35">
      <c r="A40" s="178" t="s">
        <v>63</v>
      </c>
      <c r="B40" s="178" t="s">
        <v>131</v>
      </c>
      <c r="C40" s="179">
        <v>14153.19</v>
      </c>
    </row>
    <row r="41" spans="1:4" x14ac:dyDescent="0.35">
      <c r="A41" s="178" t="s">
        <v>63</v>
      </c>
      <c r="B41" s="178" t="s">
        <v>132</v>
      </c>
      <c r="C41" s="179">
        <v>3925.88</v>
      </c>
    </row>
    <row r="42" spans="1:4" x14ac:dyDescent="0.35">
      <c r="A42" s="178" t="s">
        <v>63</v>
      </c>
      <c r="B42" s="178" t="s">
        <v>133</v>
      </c>
      <c r="C42" s="179">
        <v>14934.43</v>
      </c>
    </row>
    <row r="43" spans="1:4" x14ac:dyDescent="0.35">
      <c r="A43" s="178" t="s">
        <v>63</v>
      </c>
      <c r="B43" s="178" t="s">
        <v>134</v>
      </c>
      <c r="C43" s="179">
        <v>18404.37</v>
      </c>
      <c r="D43" s="179">
        <v>997262.04</v>
      </c>
    </row>
    <row r="44" spans="1:4" x14ac:dyDescent="0.35">
      <c r="A44" s="178" t="s">
        <v>135</v>
      </c>
      <c r="B44" s="178" t="s">
        <v>63</v>
      </c>
      <c r="C44" s="179">
        <v>-130375.419999998</v>
      </c>
    </row>
    <row r="45" spans="1:4" x14ac:dyDescent="0.35">
      <c r="A45" s="178" t="s">
        <v>136</v>
      </c>
    </row>
    <row r="46" spans="1:4" x14ac:dyDescent="0.35">
      <c r="A46" s="178" t="s">
        <v>137</v>
      </c>
    </row>
    <row r="47" spans="1:4" x14ac:dyDescent="0.35">
      <c r="A47" s="178" t="s">
        <v>138</v>
      </c>
      <c r="B47" s="178" t="s">
        <v>63</v>
      </c>
      <c r="C47" s="179">
        <v>-130375.419999998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opLeftCell="A31" workbookViewId="0">
      <selection activeCell="B51" sqref="B51"/>
    </sheetView>
  </sheetViews>
  <sheetFormatPr defaultRowHeight="14.5" x14ac:dyDescent="0.35"/>
  <cols>
    <col min="1" max="1" width="21.453125" customWidth="1"/>
    <col min="2" max="2" width="25.1796875" bestFit="1" customWidth="1"/>
    <col min="3" max="4" width="13.453125" style="179" bestFit="1" customWidth="1"/>
  </cols>
  <sheetData>
    <row r="1" spans="1:4" x14ac:dyDescent="0.35">
      <c r="A1" s="178" t="s">
        <v>61</v>
      </c>
    </row>
    <row r="2" spans="1:4" x14ac:dyDescent="0.35">
      <c r="A2" s="178" t="s">
        <v>139</v>
      </c>
    </row>
    <row r="3" spans="1:4" x14ac:dyDescent="0.35">
      <c r="A3" s="178" t="s">
        <v>0</v>
      </c>
    </row>
    <row r="4" spans="1:4" x14ac:dyDescent="0.35">
      <c r="A4" s="178" t="s">
        <v>63</v>
      </c>
      <c r="B4" s="178" t="s">
        <v>100</v>
      </c>
      <c r="C4" s="179">
        <v>34310958.560000002</v>
      </c>
    </row>
    <row r="5" spans="1:4" x14ac:dyDescent="0.35">
      <c r="A5" s="178" t="s">
        <v>63</v>
      </c>
      <c r="B5" s="178" t="s">
        <v>101</v>
      </c>
      <c r="C5" s="179">
        <v>63941.41</v>
      </c>
    </row>
    <row r="6" spans="1:4" x14ac:dyDescent="0.35">
      <c r="A6" s="178" t="s">
        <v>63</v>
      </c>
      <c r="B6" s="178" t="s">
        <v>102</v>
      </c>
      <c r="C6" s="179">
        <v>1438036.15</v>
      </c>
      <c r="D6" s="179">
        <v>35812936.119999997</v>
      </c>
    </row>
    <row r="7" spans="1:4" x14ac:dyDescent="0.35">
      <c r="A7" s="178" t="s">
        <v>1</v>
      </c>
    </row>
    <row r="8" spans="1:4" x14ac:dyDescent="0.35">
      <c r="A8" s="178" t="s">
        <v>63</v>
      </c>
      <c r="B8" s="178" t="s">
        <v>103</v>
      </c>
      <c r="C8" s="179">
        <v>31231842.260000002</v>
      </c>
    </row>
    <row r="9" spans="1:4" x14ac:dyDescent="0.35">
      <c r="A9" s="178" t="s">
        <v>63</v>
      </c>
      <c r="B9" s="178" t="s">
        <v>104</v>
      </c>
      <c r="C9" s="179">
        <v>182677.02</v>
      </c>
    </row>
    <row r="10" spans="1:4" x14ac:dyDescent="0.35">
      <c r="A10" s="178" t="s">
        <v>63</v>
      </c>
      <c r="B10" s="178" t="s">
        <v>105</v>
      </c>
      <c r="C10" s="179">
        <v>654738.04</v>
      </c>
      <c r="D10" s="179">
        <v>32069257.32</v>
      </c>
    </row>
    <row r="11" spans="1:4" x14ac:dyDescent="0.35">
      <c r="A11" s="178" t="s">
        <v>106</v>
      </c>
      <c r="B11" s="178" t="s">
        <v>63</v>
      </c>
      <c r="C11" s="179">
        <v>3743678.8</v>
      </c>
    </row>
    <row r="12" spans="1:4" x14ac:dyDescent="0.35">
      <c r="A12" s="178" t="s">
        <v>2</v>
      </c>
    </row>
    <row r="13" spans="1:4" x14ac:dyDescent="0.35">
      <c r="A13" s="178" t="s">
        <v>63</v>
      </c>
      <c r="B13" s="178" t="s">
        <v>107</v>
      </c>
      <c r="C13" s="179">
        <v>1039525.68</v>
      </c>
    </row>
    <row r="14" spans="1:4" x14ac:dyDescent="0.35">
      <c r="A14" s="178" t="s">
        <v>63</v>
      </c>
      <c r="B14" s="178" t="s">
        <v>108</v>
      </c>
      <c r="C14" s="179">
        <v>40601.379999999997</v>
      </c>
    </row>
    <row r="15" spans="1:4" x14ac:dyDescent="0.35">
      <c r="A15" s="178" t="s">
        <v>63</v>
      </c>
      <c r="B15" s="178" t="s">
        <v>109</v>
      </c>
      <c r="C15" s="179">
        <v>6271.17</v>
      </c>
    </row>
    <row r="16" spans="1:4" x14ac:dyDescent="0.35">
      <c r="A16" s="178" t="s">
        <v>63</v>
      </c>
      <c r="B16" s="178" t="s">
        <v>110</v>
      </c>
      <c r="C16" s="179">
        <v>102187</v>
      </c>
      <c r="D16" s="179">
        <v>1188585.23</v>
      </c>
    </row>
    <row r="17" spans="1:3" x14ac:dyDescent="0.35">
      <c r="A17" s="178" t="s">
        <v>63</v>
      </c>
      <c r="B17" s="178" t="s">
        <v>63</v>
      </c>
      <c r="C17" s="179">
        <v>4932264.03</v>
      </c>
    </row>
    <row r="18" spans="1:3" x14ac:dyDescent="0.35">
      <c r="A18" s="178" t="s">
        <v>3</v>
      </c>
    </row>
    <row r="19" spans="1:3" x14ac:dyDescent="0.35">
      <c r="A19" s="178" t="s">
        <v>63</v>
      </c>
      <c r="B19" s="178" t="s">
        <v>111</v>
      </c>
      <c r="C19" s="179">
        <v>46454</v>
      </c>
    </row>
    <row r="20" spans="1:3" x14ac:dyDescent="0.35">
      <c r="A20" s="178" t="s">
        <v>63</v>
      </c>
      <c r="B20" s="178" t="s">
        <v>112</v>
      </c>
      <c r="C20" s="179">
        <v>20245</v>
      </c>
    </row>
    <row r="21" spans="1:3" x14ac:dyDescent="0.35">
      <c r="A21" s="178" t="s">
        <v>63</v>
      </c>
      <c r="B21" s="178" t="s">
        <v>113</v>
      </c>
      <c r="C21" s="179">
        <v>42993.55</v>
      </c>
    </row>
    <row r="22" spans="1:3" x14ac:dyDescent="0.35">
      <c r="A22" s="178" t="s">
        <v>63</v>
      </c>
      <c r="B22" s="178" t="s">
        <v>114</v>
      </c>
      <c r="C22" s="179">
        <v>21356.880000000001</v>
      </c>
    </row>
    <row r="23" spans="1:3" x14ac:dyDescent="0.35">
      <c r="A23" s="178" t="s">
        <v>63</v>
      </c>
      <c r="B23" s="178" t="s">
        <v>115</v>
      </c>
      <c r="C23" s="179">
        <v>9031.1200000000008</v>
      </c>
    </row>
    <row r="24" spans="1:3" x14ac:dyDescent="0.35">
      <c r="A24" s="178" t="s">
        <v>63</v>
      </c>
      <c r="B24" s="178" t="s">
        <v>116</v>
      </c>
      <c r="C24" s="179">
        <v>63147.37</v>
      </c>
    </row>
    <row r="25" spans="1:3" x14ac:dyDescent="0.35">
      <c r="A25" s="178" t="s">
        <v>63</v>
      </c>
      <c r="B25" s="178" t="s">
        <v>140</v>
      </c>
      <c r="C25" s="179">
        <v>48961.29</v>
      </c>
    </row>
    <row r="26" spans="1:3" x14ac:dyDescent="0.35">
      <c r="A26" s="178" t="s">
        <v>63</v>
      </c>
      <c r="B26" s="178" t="s">
        <v>117</v>
      </c>
      <c r="C26" s="179">
        <v>46797.21</v>
      </c>
    </row>
    <row r="27" spans="1:3" x14ac:dyDescent="0.35">
      <c r="A27" s="178" t="s">
        <v>63</v>
      </c>
      <c r="B27" s="178" t="s">
        <v>118</v>
      </c>
      <c r="C27" s="179">
        <v>1122.3800000000001</v>
      </c>
    </row>
    <row r="28" spans="1:3" x14ac:dyDescent="0.35">
      <c r="A28" s="178" t="s">
        <v>63</v>
      </c>
      <c r="B28" s="178" t="s">
        <v>119</v>
      </c>
      <c r="C28" s="179">
        <v>84846.080000000002</v>
      </c>
    </row>
    <row r="29" spans="1:3" x14ac:dyDescent="0.35">
      <c r="A29" s="178" t="s">
        <v>63</v>
      </c>
      <c r="B29" s="178" t="s">
        <v>141</v>
      </c>
      <c r="C29" s="179">
        <v>9129</v>
      </c>
    </row>
    <row r="30" spans="1:3" x14ac:dyDescent="0.35">
      <c r="A30" s="178" t="s">
        <v>63</v>
      </c>
      <c r="B30" s="178" t="s">
        <v>120</v>
      </c>
      <c r="C30" s="179">
        <v>113925.59</v>
      </c>
    </row>
    <row r="31" spans="1:3" x14ac:dyDescent="0.35">
      <c r="A31" s="178" t="s">
        <v>63</v>
      </c>
      <c r="B31" s="178" t="s">
        <v>142</v>
      </c>
      <c r="C31" s="179">
        <v>1964.83</v>
      </c>
    </row>
    <row r="32" spans="1:3" x14ac:dyDescent="0.35">
      <c r="A32" s="178" t="s">
        <v>63</v>
      </c>
      <c r="B32" s="178" t="s">
        <v>121</v>
      </c>
      <c r="C32" s="179">
        <v>5785</v>
      </c>
    </row>
    <row r="33" spans="1:4" x14ac:dyDescent="0.35">
      <c r="A33" s="178" t="s">
        <v>63</v>
      </c>
      <c r="B33" s="178" t="s">
        <v>122</v>
      </c>
      <c r="C33" s="179">
        <v>191025.61</v>
      </c>
    </row>
    <row r="34" spans="1:4" x14ac:dyDescent="0.35">
      <c r="A34" s="178" t="s">
        <v>63</v>
      </c>
      <c r="B34" s="178" t="s">
        <v>123</v>
      </c>
      <c r="C34" s="179">
        <v>26861.91</v>
      </c>
    </row>
    <row r="35" spans="1:4" x14ac:dyDescent="0.35">
      <c r="A35" s="178" t="s">
        <v>63</v>
      </c>
      <c r="B35" s="178" t="s">
        <v>124</v>
      </c>
      <c r="C35" s="179">
        <v>557657.72</v>
      </c>
    </row>
    <row r="36" spans="1:4" x14ac:dyDescent="0.35">
      <c r="A36" s="178" t="s">
        <v>63</v>
      </c>
      <c r="B36" s="178" t="s">
        <v>125</v>
      </c>
      <c r="C36" s="179">
        <v>10624.97</v>
      </c>
    </row>
    <row r="37" spans="1:4" x14ac:dyDescent="0.35">
      <c r="A37" s="178" t="s">
        <v>63</v>
      </c>
      <c r="B37" s="178" t="s">
        <v>126</v>
      </c>
      <c r="C37" s="179">
        <v>54983.32</v>
      </c>
    </row>
    <row r="38" spans="1:4" x14ac:dyDescent="0.35">
      <c r="A38" s="178" t="s">
        <v>63</v>
      </c>
      <c r="B38" s="178" t="s">
        <v>127</v>
      </c>
      <c r="C38" s="179">
        <v>1821586.34</v>
      </c>
    </row>
    <row r="39" spans="1:4" x14ac:dyDescent="0.35">
      <c r="A39" s="178" t="s">
        <v>63</v>
      </c>
      <c r="B39" s="178" t="s">
        <v>128</v>
      </c>
      <c r="C39" s="179">
        <v>400649.33</v>
      </c>
    </row>
    <row r="40" spans="1:4" x14ac:dyDescent="0.35">
      <c r="A40" s="178" t="s">
        <v>63</v>
      </c>
      <c r="B40" s="178" t="s">
        <v>129</v>
      </c>
      <c r="C40" s="179">
        <v>48829.760000000002</v>
      </c>
    </row>
    <row r="41" spans="1:4" x14ac:dyDescent="0.35">
      <c r="A41" s="178" t="s">
        <v>63</v>
      </c>
      <c r="B41" s="178" t="s">
        <v>130</v>
      </c>
      <c r="C41" s="179">
        <v>14903.33</v>
      </c>
    </row>
    <row r="42" spans="1:4" x14ac:dyDescent="0.35">
      <c r="A42" s="178" t="s">
        <v>63</v>
      </c>
      <c r="B42" s="178" t="s">
        <v>131</v>
      </c>
      <c r="C42" s="179">
        <v>21592.29</v>
      </c>
    </row>
    <row r="43" spans="1:4" x14ac:dyDescent="0.35">
      <c r="A43" s="178" t="s">
        <v>63</v>
      </c>
      <c r="B43" s="178" t="s">
        <v>132</v>
      </c>
      <c r="C43" s="179">
        <v>31390.799999999999</v>
      </c>
    </row>
    <row r="44" spans="1:4" x14ac:dyDescent="0.35">
      <c r="A44" s="178" t="s">
        <v>63</v>
      </c>
      <c r="B44" s="178" t="s">
        <v>133</v>
      </c>
      <c r="C44" s="179">
        <v>57629.919999999998</v>
      </c>
    </row>
    <row r="45" spans="1:4" x14ac:dyDescent="0.35">
      <c r="A45" s="178" t="s">
        <v>63</v>
      </c>
      <c r="B45" s="178" t="s">
        <v>134</v>
      </c>
      <c r="C45" s="179">
        <v>122315.02</v>
      </c>
      <c r="D45" s="179">
        <v>3875809.62</v>
      </c>
    </row>
    <row r="46" spans="1:4" x14ac:dyDescent="0.35">
      <c r="A46" s="178" t="s">
        <v>135</v>
      </c>
      <c r="B46" s="178" t="s">
        <v>63</v>
      </c>
      <c r="C46" s="179">
        <v>1056454.4099999999</v>
      </c>
    </row>
    <row r="47" spans="1:4" x14ac:dyDescent="0.35">
      <c r="A47" s="178" t="s">
        <v>136</v>
      </c>
    </row>
    <row r="48" spans="1:4" x14ac:dyDescent="0.35">
      <c r="A48" s="178" t="s">
        <v>137</v>
      </c>
    </row>
    <row r="49" spans="1:3" x14ac:dyDescent="0.35">
      <c r="A49" s="178" t="s">
        <v>138</v>
      </c>
      <c r="B49" s="178" t="s">
        <v>63</v>
      </c>
      <c r="C49" s="179">
        <v>1056454.4099999999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6"/>
  <sheetViews>
    <sheetView topLeftCell="A247" workbookViewId="0">
      <selection activeCell="E262" sqref="E262"/>
    </sheetView>
  </sheetViews>
  <sheetFormatPr defaultRowHeight="14.5" x14ac:dyDescent="0.35"/>
  <cols>
    <col min="1" max="1" width="62.1796875" bestFit="1" customWidth="1"/>
    <col min="2" max="4" width="10.90625" style="179" bestFit="1" customWidth="1"/>
    <col min="5" max="7" width="12.36328125" style="179" bestFit="1" customWidth="1"/>
  </cols>
  <sheetData>
    <row r="1" spans="1:7" x14ac:dyDescent="0.35">
      <c r="A1" s="178" t="s">
        <v>61</v>
      </c>
    </row>
    <row r="2" spans="1:7" x14ac:dyDescent="0.35">
      <c r="A2" s="178" t="s">
        <v>143</v>
      </c>
    </row>
    <row r="3" spans="1:7" x14ac:dyDescent="0.35">
      <c r="A3" s="178" t="s">
        <v>144</v>
      </c>
      <c r="B3" s="180" t="s">
        <v>145</v>
      </c>
      <c r="C3" s="180" t="s">
        <v>146</v>
      </c>
      <c r="D3" s="180" t="s">
        <v>147</v>
      </c>
      <c r="E3" s="180" t="s">
        <v>148</v>
      </c>
      <c r="F3" s="180" t="s">
        <v>149</v>
      </c>
      <c r="G3" s="180" t="s">
        <v>150</v>
      </c>
    </row>
    <row r="4" spans="1:7" x14ac:dyDescent="0.35">
      <c r="A4" s="178" t="s">
        <v>151</v>
      </c>
      <c r="B4" s="179">
        <v>0</v>
      </c>
      <c r="C4" s="179">
        <v>0</v>
      </c>
      <c r="D4" s="179">
        <v>0</v>
      </c>
      <c r="E4" s="179">
        <v>0</v>
      </c>
      <c r="F4" s="179">
        <v>-403.65</v>
      </c>
      <c r="G4" s="179">
        <v>-403.65</v>
      </c>
    </row>
    <row r="5" spans="1:7" x14ac:dyDescent="0.35">
      <c r="A5" s="178" t="s">
        <v>152</v>
      </c>
      <c r="B5" s="179">
        <v>0</v>
      </c>
      <c r="C5" s="179">
        <v>282273.87</v>
      </c>
      <c r="D5" s="179">
        <v>7789.76</v>
      </c>
      <c r="E5" s="179">
        <v>128276.36</v>
      </c>
      <c r="F5" s="179">
        <v>211205.73</v>
      </c>
      <c r="G5" s="179">
        <v>629545.72</v>
      </c>
    </row>
    <row r="6" spans="1:7" x14ac:dyDescent="0.35">
      <c r="A6" s="178" t="s">
        <v>153</v>
      </c>
      <c r="B6" s="179">
        <v>0</v>
      </c>
      <c r="C6" s="179">
        <v>0</v>
      </c>
      <c r="D6" s="179">
        <v>0</v>
      </c>
      <c r="E6" s="179">
        <v>0</v>
      </c>
      <c r="F6" s="179">
        <v>-491.63</v>
      </c>
      <c r="G6" s="179">
        <v>-491.63</v>
      </c>
    </row>
    <row r="7" spans="1:7" x14ac:dyDescent="0.35">
      <c r="A7" s="178" t="s">
        <v>154</v>
      </c>
      <c r="B7" s="179">
        <v>0</v>
      </c>
      <c r="C7" s="179">
        <v>0</v>
      </c>
      <c r="D7" s="179">
        <v>0</v>
      </c>
      <c r="E7" s="179">
        <v>0</v>
      </c>
      <c r="F7" s="179">
        <v>2594.4</v>
      </c>
      <c r="G7" s="179">
        <v>2594.4</v>
      </c>
    </row>
    <row r="8" spans="1:7" x14ac:dyDescent="0.35">
      <c r="A8" s="178" t="s">
        <v>155</v>
      </c>
      <c r="B8" s="179">
        <v>558.9</v>
      </c>
      <c r="C8" s="179">
        <v>30209</v>
      </c>
      <c r="D8" s="179">
        <v>12919.91</v>
      </c>
      <c r="E8" s="179">
        <v>5986.9</v>
      </c>
      <c r="F8" s="179">
        <v>25069.02</v>
      </c>
      <c r="G8" s="179">
        <v>74743.73</v>
      </c>
    </row>
    <row r="9" spans="1:7" x14ac:dyDescent="0.35">
      <c r="A9" s="178" t="s">
        <v>156</v>
      </c>
      <c r="B9" s="179">
        <v>0</v>
      </c>
      <c r="C9" s="179">
        <v>0</v>
      </c>
      <c r="D9" s="179">
        <v>0</v>
      </c>
      <c r="E9" s="179">
        <v>0</v>
      </c>
      <c r="F9" s="179">
        <v>162693.95000000001</v>
      </c>
      <c r="G9" s="179">
        <v>162693.95000000001</v>
      </c>
    </row>
    <row r="10" spans="1:7" x14ac:dyDescent="0.35">
      <c r="A10" s="178" t="s">
        <v>157</v>
      </c>
      <c r="B10" s="179">
        <v>0</v>
      </c>
      <c r="C10" s="179">
        <v>30491.74</v>
      </c>
      <c r="D10" s="179">
        <v>0</v>
      </c>
      <c r="E10" s="179">
        <v>0</v>
      </c>
      <c r="F10" s="179">
        <v>0</v>
      </c>
      <c r="G10" s="179">
        <v>30491.74</v>
      </c>
    </row>
    <row r="11" spans="1:7" x14ac:dyDescent="0.35">
      <c r="A11" s="178" t="s">
        <v>158</v>
      </c>
      <c r="B11" s="179">
        <v>0</v>
      </c>
      <c r="C11" s="179">
        <v>0</v>
      </c>
      <c r="D11" s="179">
        <v>0</v>
      </c>
      <c r="E11" s="179">
        <v>0</v>
      </c>
      <c r="F11" s="179">
        <v>44.91</v>
      </c>
      <c r="G11" s="179">
        <v>44.91</v>
      </c>
    </row>
    <row r="12" spans="1:7" x14ac:dyDescent="0.35">
      <c r="A12" s="178" t="s">
        <v>159</v>
      </c>
      <c r="B12" s="179">
        <v>0</v>
      </c>
      <c r="C12" s="179">
        <v>0</v>
      </c>
      <c r="D12" s="179">
        <v>0</v>
      </c>
      <c r="E12" s="179">
        <v>-187.91</v>
      </c>
      <c r="F12" s="179">
        <v>0</v>
      </c>
      <c r="G12" s="179">
        <v>-187.91</v>
      </c>
    </row>
    <row r="13" spans="1:7" x14ac:dyDescent="0.35">
      <c r="A13" s="178" t="s">
        <v>160</v>
      </c>
      <c r="B13" s="179">
        <v>0</v>
      </c>
      <c r="C13" s="179">
        <v>0</v>
      </c>
      <c r="D13" s="179">
        <v>0</v>
      </c>
      <c r="E13" s="179">
        <v>0</v>
      </c>
      <c r="F13" s="179">
        <v>7769.04</v>
      </c>
      <c r="G13" s="179">
        <v>7769.04</v>
      </c>
    </row>
    <row r="14" spans="1:7" x14ac:dyDescent="0.35">
      <c r="A14" s="178" t="s">
        <v>161</v>
      </c>
      <c r="B14" s="179">
        <v>-2558</v>
      </c>
      <c r="C14" s="179">
        <v>0</v>
      </c>
      <c r="D14" s="179">
        <v>0</v>
      </c>
      <c r="E14" s="179">
        <v>0</v>
      </c>
      <c r="F14" s="179">
        <v>0</v>
      </c>
      <c r="G14" s="179">
        <v>-2558</v>
      </c>
    </row>
    <row r="15" spans="1:7" x14ac:dyDescent="0.35">
      <c r="A15" s="178" t="s">
        <v>162</v>
      </c>
      <c r="B15" s="179">
        <v>0</v>
      </c>
      <c r="C15" s="179">
        <v>0</v>
      </c>
      <c r="D15" s="179">
        <v>0</v>
      </c>
      <c r="E15" s="179">
        <v>0</v>
      </c>
      <c r="F15" s="179">
        <v>5083.34</v>
      </c>
      <c r="G15" s="179">
        <v>5083.34</v>
      </c>
    </row>
    <row r="16" spans="1:7" x14ac:dyDescent="0.35">
      <c r="A16" s="178" t="s">
        <v>163</v>
      </c>
      <c r="B16" s="179">
        <v>0</v>
      </c>
      <c r="C16" s="179">
        <v>0</v>
      </c>
      <c r="D16" s="179">
        <v>0</v>
      </c>
      <c r="E16" s="179">
        <v>3762.92</v>
      </c>
      <c r="F16" s="179">
        <v>82667.3</v>
      </c>
      <c r="G16" s="179">
        <v>86430.22</v>
      </c>
    </row>
    <row r="17" spans="1:7" x14ac:dyDescent="0.35">
      <c r="A17" s="178" t="s">
        <v>164</v>
      </c>
      <c r="B17" s="179">
        <v>0</v>
      </c>
      <c r="C17" s="179">
        <v>0</v>
      </c>
      <c r="D17" s="179">
        <v>0</v>
      </c>
      <c r="E17" s="179">
        <v>0</v>
      </c>
      <c r="F17" s="179">
        <v>8734.94</v>
      </c>
      <c r="G17" s="179">
        <v>8734.94</v>
      </c>
    </row>
    <row r="18" spans="1:7" x14ac:dyDescent="0.35">
      <c r="A18" s="178" t="s">
        <v>165</v>
      </c>
      <c r="B18" s="179">
        <v>0</v>
      </c>
      <c r="C18" s="179">
        <v>0</v>
      </c>
      <c r="D18" s="179">
        <v>0</v>
      </c>
      <c r="E18" s="179">
        <v>0</v>
      </c>
      <c r="F18" s="179">
        <v>8976.2099999999991</v>
      </c>
      <c r="G18" s="179">
        <v>8976.2099999999991</v>
      </c>
    </row>
    <row r="19" spans="1:7" x14ac:dyDescent="0.35">
      <c r="A19" s="178" t="s">
        <v>166</v>
      </c>
      <c r="B19" s="179">
        <v>0</v>
      </c>
      <c r="C19" s="179">
        <v>0</v>
      </c>
      <c r="D19" s="179">
        <v>0</v>
      </c>
      <c r="E19" s="179">
        <v>0</v>
      </c>
      <c r="F19" s="179">
        <v>-654.64</v>
      </c>
      <c r="G19" s="179">
        <v>-654.64</v>
      </c>
    </row>
    <row r="20" spans="1:7" x14ac:dyDescent="0.35">
      <c r="A20" s="178" t="s">
        <v>167</v>
      </c>
      <c r="B20" s="179">
        <v>0</v>
      </c>
      <c r="C20" s="179">
        <v>0</v>
      </c>
      <c r="D20" s="179">
        <v>0</v>
      </c>
      <c r="E20" s="179">
        <v>0</v>
      </c>
      <c r="F20" s="179">
        <v>24.44</v>
      </c>
      <c r="G20" s="179">
        <v>24.44</v>
      </c>
    </row>
    <row r="21" spans="1:7" x14ac:dyDescent="0.35">
      <c r="A21" s="178" t="s">
        <v>168</v>
      </c>
      <c r="B21" s="179">
        <v>0</v>
      </c>
      <c r="C21" s="179">
        <v>0</v>
      </c>
      <c r="D21" s="179">
        <v>0</v>
      </c>
      <c r="E21" s="179">
        <v>-2584.29</v>
      </c>
      <c r="F21" s="179">
        <v>0</v>
      </c>
      <c r="G21" s="179">
        <v>-2584.29</v>
      </c>
    </row>
    <row r="22" spans="1:7" x14ac:dyDescent="0.35">
      <c r="A22" s="178" t="s">
        <v>169</v>
      </c>
      <c r="B22" s="179">
        <v>0</v>
      </c>
      <c r="C22" s="179">
        <v>0</v>
      </c>
      <c r="D22" s="179">
        <v>0</v>
      </c>
      <c r="E22" s="179">
        <v>0</v>
      </c>
      <c r="F22" s="179">
        <v>23793.21</v>
      </c>
      <c r="G22" s="179">
        <v>23793.21</v>
      </c>
    </row>
    <row r="23" spans="1:7" x14ac:dyDescent="0.35">
      <c r="A23" s="178" t="s">
        <v>170</v>
      </c>
      <c r="B23" s="179">
        <v>0</v>
      </c>
      <c r="C23" s="179">
        <v>0</v>
      </c>
      <c r="D23" s="179">
        <v>0</v>
      </c>
      <c r="E23" s="179">
        <v>0</v>
      </c>
      <c r="F23" s="179">
        <v>-1310.54</v>
      </c>
      <c r="G23" s="179">
        <v>-1310.54</v>
      </c>
    </row>
    <row r="24" spans="1:7" x14ac:dyDescent="0.35">
      <c r="A24" s="178" t="s">
        <v>171</v>
      </c>
      <c r="B24" s="179">
        <v>0</v>
      </c>
      <c r="C24" s="179">
        <v>0</v>
      </c>
      <c r="D24" s="179">
        <v>0</v>
      </c>
      <c r="E24" s="179">
        <v>0</v>
      </c>
      <c r="F24" s="179">
        <v>-968.19</v>
      </c>
      <c r="G24" s="179">
        <v>-968.19</v>
      </c>
    </row>
    <row r="25" spans="1:7" x14ac:dyDescent="0.35">
      <c r="A25" s="178" t="s">
        <v>172</v>
      </c>
      <c r="B25" s="179">
        <v>0</v>
      </c>
      <c r="C25" s="179">
        <v>0</v>
      </c>
      <c r="D25" s="179">
        <v>0</v>
      </c>
      <c r="E25" s="179">
        <v>19618.03</v>
      </c>
      <c r="F25" s="179">
        <v>16213.57</v>
      </c>
      <c r="G25" s="179">
        <v>35831.599999999999</v>
      </c>
    </row>
    <row r="26" spans="1:7" x14ac:dyDescent="0.35">
      <c r="A26" s="178" t="s">
        <v>173</v>
      </c>
      <c r="B26" s="179">
        <v>-4089.28</v>
      </c>
      <c r="C26" s="179">
        <v>0</v>
      </c>
      <c r="D26" s="179">
        <v>0</v>
      </c>
      <c r="E26" s="179">
        <v>0</v>
      </c>
      <c r="F26" s="179">
        <v>0</v>
      </c>
      <c r="G26" s="179">
        <v>-4089.28</v>
      </c>
    </row>
    <row r="27" spans="1:7" x14ac:dyDescent="0.35">
      <c r="A27" s="178" t="s">
        <v>174</v>
      </c>
      <c r="B27" s="179">
        <v>0</v>
      </c>
      <c r="C27" s="179">
        <v>0</v>
      </c>
      <c r="D27" s="179">
        <v>0</v>
      </c>
      <c r="E27" s="179">
        <v>3431.95</v>
      </c>
      <c r="F27" s="179">
        <v>1980.99</v>
      </c>
      <c r="G27" s="179">
        <v>5412.94</v>
      </c>
    </row>
    <row r="28" spans="1:7" x14ac:dyDescent="0.35">
      <c r="A28" s="178" t="s">
        <v>175</v>
      </c>
      <c r="B28" s="179">
        <v>0</v>
      </c>
      <c r="C28" s="179">
        <v>0</v>
      </c>
      <c r="D28" s="179">
        <v>0</v>
      </c>
      <c r="E28" s="179">
        <v>0</v>
      </c>
      <c r="F28" s="179">
        <v>7774.41</v>
      </c>
      <c r="G28" s="179">
        <v>7774.41</v>
      </c>
    </row>
    <row r="29" spans="1:7" x14ac:dyDescent="0.35">
      <c r="A29" s="178" t="s">
        <v>176</v>
      </c>
      <c r="B29" s="179">
        <v>0</v>
      </c>
      <c r="C29" s="179">
        <v>0</v>
      </c>
      <c r="D29" s="179">
        <v>0</v>
      </c>
      <c r="E29" s="179">
        <v>-563.38</v>
      </c>
      <c r="F29" s="179">
        <v>0</v>
      </c>
      <c r="G29" s="179">
        <v>-563.38</v>
      </c>
    </row>
    <row r="30" spans="1:7" x14ac:dyDescent="0.35">
      <c r="A30" s="178" t="s">
        <v>177</v>
      </c>
      <c r="B30" s="179">
        <v>0</v>
      </c>
      <c r="C30" s="179">
        <v>0</v>
      </c>
      <c r="D30" s="179">
        <v>0</v>
      </c>
      <c r="E30" s="179">
        <v>-1127</v>
      </c>
      <c r="F30" s="179">
        <v>0</v>
      </c>
      <c r="G30" s="179">
        <v>-1127</v>
      </c>
    </row>
    <row r="31" spans="1:7" x14ac:dyDescent="0.35">
      <c r="A31" s="178" t="s">
        <v>178</v>
      </c>
      <c r="B31" s="179">
        <v>0</v>
      </c>
      <c r="C31" s="179">
        <v>0</v>
      </c>
      <c r="D31" s="179">
        <v>50954.18</v>
      </c>
      <c r="E31" s="179">
        <v>387072.48</v>
      </c>
      <c r="F31" s="179">
        <v>219932.71</v>
      </c>
      <c r="G31" s="179">
        <v>657959.37</v>
      </c>
    </row>
    <row r="32" spans="1:7" x14ac:dyDescent="0.35">
      <c r="A32" s="178" t="s">
        <v>179</v>
      </c>
      <c r="B32" s="179">
        <v>0</v>
      </c>
      <c r="C32" s="179">
        <v>0</v>
      </c>
      <c r="D32" s="179">
        <v>0</v>
      </c>
      <c r="E32" s="179">
        <v>0</v>
      </c>
      <c r="F32" s="179">
        <v>-1430.37</v>
      </c>
      <c r="G32" s="179">
        <v>-1430.37</v>
      </c>
    </row>
    <row r="33" spans="1:7" x14ac:dyDescent="0.35">
      <c r="A33" s="178" t="s">
        <v>180</v>
      </c>
      <c r="B33" s="179">
        <v>0</v>
      </c>
      <c r="C33" s="179">
        <v>0</v>
      </c>
      <c r="D33" s="179">
        <v>0</v>
      </c>
      <c r="E33" s="179">
        <v>3513.8</v>
      </c>
      <c r="F33" s="179">
        <v>27076.47</v>
      </c>
      <c r="G33" s="179">
        <v>30590.27</v>
      </c>
    </row>
    <row r="34" spans="1:7" x14ac:dyDescent="0.35">
      <c r="A34" s="178" t="s">
        <v>181</v>
      </c>
      <c r="B34" s="179">
        <v>0</v>
      </c>
      <c r="C34" s="179">
        <v>697.3</v>
      </c>
      <c r="D34" s="179">
        <v>8246.3700000000008</v>
      </c>
      <c r="E34" s="179">
        <v>6757.86</v>
      </c>
      <c r="F34" s="179">
        <v>0</v>
      </c>
      <c r="G34" s="179">
        <v>15701.53</v>
      </c>
    </row>
    <row r="35" spans="1:7" x14ac:dyDescent="0.35">
      <c r="A35" s="178" t="s">
        <v>182</v>
      </c>
      <c r="B35" s="179">
        <v>0</v>
      </c>
      <c r="C35" s="179">
        <v>0</v>
      </c>
      <c r="D35" s="179">
        <v>0</v>
      </c>
      <c r="E35" s="179">
        <v>0</v>
      </c>
      <c r="F35" s="179">
        <v>-75.27</v>
      </c>
      <c r="G35" s="179">
        <v>-75.27</v>
      </c>
    </row>
    <row r="36" spans="1:7" x14ac:dyDescent="0.35">
      <c r="A36" s="178" t="s">
        <v>183</v>
      </c>
      <c r="B36" s="179">
        <v>0</v>
      </c>
      <c r="C36" s="179">
        <v>0</v>
      </c>
      <c r="D36" s="179">
        <v>0.02</v>
      </c>
      <c r="E36" s="179">
        <v>26304.07</v>
      </c>
      <c r="F36" s="179">
        <v>34931.25</v>
      </c>
      <c r="G36" s="179">
        <v>61235.34</v>
      </c>
    </row>
    <row r="37" spans="1:7" x14ac:dyDescent="0.35">
      <c r="A37" s="178" t="s">
        <v>184</v>
      </c>
      <c r="B37" s="179">
        <v>0</v>
      </c>
      <c r="C37" s="179">
        <v>0</v>
      </c>
      <c r="D37" s="179">
        <v>0</v>
      </c>
      <c r="E37" s="179">
        <v>0</v>
      </c>
      <c r="F37" s="179">
        <v>1666.35</v>
      </c>
      <c r="G37" s="179">
        <v>1666.35</v>
      </c>
    </row>
    <row r="38" spans="1:7" x14ac:dyDescent="0.35">
      <c r="A38" s="178" t="s">
        <v>185</v>
      </c>
      <c r="B38" s="179">
        <v>0</v>
      </c>
      <c r="C38" s="179">
        <v>0</v>
      </c>
      <c r="D38" s="179">
        <v>0</v>
      </c>
      <c r="E38" s="179">
        <v>0</v>
      </c>
      <c r="F38" s="179">
        <v>55045.65</v>
      </c>
      <c r="G38" s="179">
        <v>55045.65</v>
      </c>
    </row>
    <row r="39" spans="1:7" x14ac:dyDescent="0.35">
      <c r="A39" s="178" t="s">
        <v>186</v>
      </c>
      <c r="B39" s="179">
        <v>0</v>
      </c>
      <c r="C39" s="179">
        <v>0</v>
      </c>
      <c r="D39" s="179">
        <v>3821.91</v>
      </c>
      <c r="E39" s="179">
        <v>185107.41</v>
      </c>
      <c r="F39" s="179">
        <v>37333.46</v>
      </c>
      <c r="G39" s="179">
        <v>226262.78</v>
      </c>
    </row>
    <row r="40" spans="1:7" x14ac:dyDescent="0.35">
      <c r="A40" s="178" t="s">
        <v>187</v>
      </c>
      <c r="B40" s="179">
        <v>0</v>
      </c>
      <c r="C40" s="179">
        <v>0</v>
      </c>
      <c r="D40" s="179">
        <v>13313.78</v>
      </c>
      <c r="E40" s="179">
        <v>23891.26</v>
      </c>
      <c r="F40" s="179">
        <v>11183.23</v>
      </c>
      <c r="G40" s="179">
        <v>48388.27</v>
      </c>
    </row>
    <row r="41" spans="1:7" x14ac:dyDescent="0.35">
      <c r="A41" s="178" t="s">
        <v>188</v>
      </c>
      <c r="B41" s="179">
        <v>0</v>
      </c>
      <c r="C41" s="179">
        <v>0</v>
      </c>
      <c r="D41" s="179">
        <v>0</v>
      </c>
      <c r="E41" s="179">
        <v>0</v>
      </c>
      <c r="F41" s="179">
        <v>2644.08</v>
      </c>
      <c r="G41" s="179">
        <v>2644.08</v>
      </c>
    </row>
    <row r="42" spans="1:7" x14ac:dyDescent="0.35">
      <c r="A42" s="178" t="s">
        <v>189</v>
      </c>
      <c r="B42" s="179">
        <v>0</v>
      </c>
      <c r="C42" s="179">
        <v>0</v>
      </c>
      <c r="D42" s="179">
        <v>0</v>
      </c>
      <c r="E42" s="179">
        <v>0</v>
      </c>
      <c r="F42" s="179">
        <v>-499.63</v>
      </c>
      <c r="G42" s="179">
        <v>-499.63</v>
      </c>
    </row>
    <row r="43" spans="1:7" x14ac:dyDescent="0.35">
      <c r="A43" s="178" t="s">
        <v>190</v>
      </c>
      <c r="B43" s="179">
        <v>0</v>
      </c>
      <c r="C43" s="179">
        <v>0</v>
      </c>
      <c r="D43" s="179">
        <v>2348.08</v>
      </c>
      <c r="E43" s="179">
        <v>4543.1400000000003</v>
      </c>
      <c r="F43" s="179">
        <v>1513.52</v>
      </c>
      <c r="G43" s="179">
        <v>8404.74</v>
      </c>
    </row>
    <row r="44" spans="1:7" x14ac:dyDescent="0.35">
      <c r="A44" s="178" t="s">
        <v>191</v>
      </c>
      <c r="B44" s="179">
        <v>0</v>
      </c>
      <c r="C44" s="179">
        <v>0</v>
      </c>
      <c r="D44" s="179">
        <v>0</v>
      </c>
      <c r="E44" s="179">
        <v>7607.25</v>
      </c>
      <c r="F44" s="179">
        <v>0</v>
      </c>
      <c r="G44" s="179">
        <v>7607.25</v>
      </c>
    </row>
    <row r="45" spans="1:7" x14ac:dyDescent="0.35">
      <c r="A45" s="178" t="s">
        <v>192</v>
      </c>
      <c r="B45" s="179">
        <v>0</v>
      </c>
      <c r="C45" s="179">
        <v>0</v>
      </c>
      <c r="D45" s="179">
        <v>0</v>
      </c>
      <c r="E45" s="179">
        <v>0</v>
      </c>
      <c r="F45" s="179">
        <v>-1460.08</v>
      </c>
      <c r="G45" s="179">
        <v>-1460.08</v>
      </c>
    </row>
    <row r="46" spans="1:7" x14ac:dyDescent="0.35">
      <c r="A46" s="178" t="s">
        <v>193</v>
      </c>
      <c r="B46" s="179">
        <v>0</v>
      </c>
      <c r="C46" s="179">
        <v>0</v>
      </c>
      <c r="D46" s="179">
        <v>-2023.43</v>
      </c>
      <c r="E46" s="179">
        <v>0</v>
      </c>
      <c r="F46" s="179">
        <v>0</v>
      </c>
      <c r="G46" s="179">
        <v>-2023.43</v>
      </c>
    </row>
    <row r="47" spans="1:7" x14ac:dyDescent="0.35">
      <c r="A47" s="178" t="s">
        <v>194</v>
      </c>
      <c r="B47" s="179">
        <v>0</v>
      </c>
      <c r="C47" s="179">
        <v>0</v>
      </c>
      <c r="D47" s="179">
        <v>0</v>
      </c>
      <c r="E47" s="179">
        <v>19567.02</v>
      </c>
      <c r="F47" s="179">
        <v>20458.86</v>
      </c>
      <c r="G47" s="179">
        <v>40025.879999999997</v>
      </c>
    </row>
    <row r="48" spans="1:7" x14ac:dyDescent="0.35">
      <c r="A48" s="178" t="s">
        <v>195</v>
      </c>
      <c r="B48" s="179">
        <v>0</v>
      </c>
      <c r="C48" s="179">
        <v>0</v>
      </c>
      <c r="D48" s="179">
        <v>0</v>
      </c>
      <c r="E48" s="179">
        <v>0</v>
      </c>
      <c r="F48" s="179">
        <v>-6085.8</v>
      </c>
      <c r="G48" s="179">
        <v>-6085.8</v>
      </c>
    </row>
    <row r="49" spans="1:7" x14ac:dyDescent="0.35">
      <c r="A49" s="178" t="s">
        <v>196</v>
      </c>
      <c r="B49" s="179">
        <v>11468.45</v>
      </c>
      <c r="C49" s="179">
        <v>28702.52</v>
      </c>
      <c r="D49" s="179">
        <v>0</v>
      </c>
      <c r="E49" s="179">
        <v>0</v>
      </c>
      <c r="F49" s="179">
        <v>0</v>
      </c>
      <c r="G49" s="179">
        <v>40170.97</v>
      </c>
    </row>
    <row r="50" spans="1:7" x14ac:dyDescent="0.35">
      <c r="A50" s="178" t="s">
        <v>197</v>
      </c>
      <c r="B50" s="179">
        <v>0</v>
      </c>
      <c r="C50" s="179">
        <v>0</v>
      </c>
      <c r="D50" s="179">
        <v>0</v>
      </c>
      <c r="E50" s="179">
        <v>0</v>
      </c>
      <c r="F50" s="179">
        <v>82986.09</v>
      </c>
      <c r="G50" s="179">
        <v>82986.09</v>
      </c>
    </row>
    <row r="51" spans="1:7" x14ac:dyDescent="0.35">
      <c r="A51" s="178" t="s">
        <v>198</v>
      </c>
      <c r="B51" s="179">
        <v>0</v>
      </c>
      <c r="C51" s="179">
        <v>26987.5</v>
      </c>
      <c r="D51" s="179">
        <v>0</v>
      </c>
      <c r="E51" s="179">
        <v>0</v>
      </c>
      <c r="F51" s="179">
        <v>0</v>
      </c>
      <c r="G51" s="179">
        <v>26987.5</v>
      </c>
    </row>
    <row r="52" spans="1:7" x14ac:dyDescent="0.35">
      <c r="A52" s="178" t="s">
        <v>199</v>
      </c>
      <c r="B52" s="179">
        <v>0</v>
      </c>
      <c r="C52" s="179">
        <v>0</v>
      </c>
      <c r="D52" s="179">
        <v>0</v>
      </c>
      <c r="E52" s="179">
        <v>-147.72</v>
      </c>
      <c r="F52" s="179">
        <v>0</v>
      </c>
      <c r="G52" s="179">
        <v>-147.72</v>
      </c>
    </row>
    <row r="53" spans="1:7" x14ac:dyDescent="0.35">
      <c r="A53" s="178" t="s">
        <v>200</v>
      </c>
      <c r="B53" s="179">
        <v>0</v>
      </c>
      <c r="C53" s="179">
        <v>0</v>
      </c>
      <c r="D53" s="179">
        <v>0</v>
      </c>
      <c r="E53" s="179">
        <v>0</v>
      </c>
      <c r="F53" s="179">
        <v>7548.49</v>
      </c>
      <c r="G53" s="179">
        <v>7548.49</v>
      </c>
    </row>
    <row r="54" spans="1:7" x14ac:dyDescent="0.35">
      <c r="A54" s="178" t="s">
        <v>201</v>
      </c>
      <c r="B54" s="179">
        <v>0</v>
      </c>
      <c r="C54" s="179">
        <v>0</v>
      </c>
      <c r="D54" s="179">
        <v>0</v>
      </c>
      <c r="E54" s="179">
        <v>0</v>
      </c>
      <c r="F54" s="179">
        <v>-376.9</v>
      </c>
      <c r="G54" s="179">
        <v>-376.9</v>
      </c>
    </row>
    <row r="55" spans="1:7" x14ac:dyDescent="0.35">
      <c r="A55" s="178" t="s">
        <v>202</v>
      </c>
      <c r="B55" s="179">
        <v>0</v>
      </c>
      <c r="C55" s="179">
        <v>0</v>
      </c>
      <c r="D55" s="179">
        <v>0</v>
      </c>
      <c r="E55" s="179">
        <v>0</v>
      </c>
      <c r="F55" s="179">
        <v>32552.93</v>
      </c>
      <c r="G55" s="179">
        <v>32552.93</v>
      </c>
    </row>
    <row r="56" spans="1:7" x14ac:dyDescent="0.35">
      <c r="A56" s="178" t="s">
        <v>203</v>
      </c>
      <c r="B56" s="179">
        <v>0</v>
      </c>
      <c r="C56" s="179">
        <v>0</v>
      </c>
      <c r="D56" s="179">
        <v>0</v>
      </c>
      <c r="E56" s="179">
        <v>0</v>
      </c>
      <c r="F56" s="179">
        <v>5404.43</v>
      </c>
      <c r="G56" s="179">
        <v>5404.43</v>
      </c>
    </row>
    <row r="57" spans="1:7" x14ac:dyDescent="0.35">
      <c r="A57" s="178" t="s">
        <v>204</v>
      </c>
      <c r="B57" s="179">
        <v>0</v>
      </c>
      <c r="C57" s="179">
        <v>0</v>
      </c>
      <c r="D57" s="179">
        <v>0</v>
      </c>
      <c r="E57" s="179">
        <v>0</v>
      </c>
      <c r="F57" s="179">
        <v>12000</v>
      </c>
      <c r="G57" s="179">
        <v>12000</v>
      </c>
    </row>
    <row r="58" spans="1:7" x14ac:dyDescent="0.35">
      <c r="A58" s="178" t="s">
        <v>205</v>
      </c>
      <c r="B58" s="179">
        <v>0</v>
      </c>
      <c r="C58" s="179">
        <v>0</v>
      </c>
      <c r="D58" s="179">
        <v>0</v>
      </c>
      <c r="E58" s="179">
        <v>0</v>
      </c>
      <c r="F58" s="179">
        <v>-27.14</v>
      </c>
      <c r="G58" s="179">
        <v>-27.14</v>
      </c>
    </row>
    <row r="59" spans="1:7" x14ac:dyDescent="0.35">
      <c r="A59" s="178" t="s">
        <v>206</v>
      </c>
      <c r="B59" s="179">
        <v>0</v>
      </c>
      <c r="C59" s="179">
        <v>0</v>
      </c>
      <c r="D59" s="179">
        <v>0</v>
      </c>
      <c r="E59" s="179">
        <v>0</v>
      </c>
      <c r="F59" s="179">
        <v>91.26</v>
      </c>
      <c r="G59" s="179">
        <v>91.26</v>
      </c>
    </row>
    <row r="60" spans="1:7" x14ac:dyDescent="0.35">
      <c r="A60" s="178" t="s">
        <v>207</v>
      </c>
      <c r="B60" s="179">
        <v>0</v>
      </c>
      <c r="C60" s="179">
        <v>0</v>
      </c>
      <c r="D60" s="179">
        <v>0</v>
      </c>
      <c r="E60" s="179">
        <v>16169.25</v>
      </c>
      <c r="F60" s="179">
        <v>0</v>
      </c>
      <c r="G60" s="179">
        <v>16169.25</v>
      </c>
    </row>
    <row r="61" spans="1:7" x14ac:dyDescent="0.35">
      <c r="A61" s="178" t="s">
        <v>208</v>
      </c>
      <c r="B61" s="179">
        <v>2907.63</v>
      </c>
      <c r="C61" s="179">
        <v>0</v>
      </c>
      <c r="D61" s="179">
        <v>0</v>
      </c>
      <c r="E61" s="179">
        <v>0</v>
      </c>
      <c r="F61" s="179">
        <v>0</v>
      </c>
      <c r="G61" s="179">
        <v>2907.63</v>
      </c>
    </row>
    <row r="62" spans="1:7" x14ac:dyDescent="0.35">
      <c r="A62" s="178" t="s">
        <v>209</v>
      </c>
      <c r="B62" s="179">
        <v>0</v>
      </c>
      <c r="C62" s="179">
        <v>0</v>
      </c>
      <c r="D62" s="179">
        <v>0</v>
      </c>
      <c r="E62" s="179">
        <v>-482.71</v>
      </c>
      <c r="F62" s="179">
        <v>0</v>
      </c>
      <c r="G62" s="179">
        <v>-482.71</v>
      </c>
    </row>
    <row r="63" spans="1:7" x14ac:dyDescent="0.35">
      <c r="A63" s="178" t="s">
        <v>210</v>
      </c>
      <c r="B63" s="179">
        <v>0</v>
      </c>
      <c r="C63" s="179">
        <v>0</v>
      </c>
      <c r="D63" s="179">
        <v>0</v>
      </c>
      <c r="E63" s="179">
        <v>0</v>
      </c>
      <c r="F63" s="179">
        <v>3980.73</v>
      </c>
      <c r="G63" s="179">
        <v>3980.73</v>
      </c>
    </row>
    <row r="64" spans="1:7" x14ac:dyDescent="0.35">
      <c r="A64" s="178" t="s">
        <v>211</v>
      </c>
      <c r="B64" s="179">
        <v>0</v>
      </c>
      <c r="C64" s="179">
        <v>-95.45</v>
      </c>
      <c r="D64" s="179">
        <v>0</v>
      </c>
      <c r="E64" s="179">
        <v>0</v>
      </c>
      <c r="F64" s="179">
        <v>0</v>
      </c>
      <c r="G64" s="179">
        <v>-95.45</v>
      </c>
    </row>
    <row r="65" spans="1:7" x14ac:dyDescent="0.35">
      <c r="A65" s="178" t="s">
        <v>212</v>
      </c>
      <c r="B65" s="179">
        <v>0</v>
      </c>
      <c r="C65" s="179">
        <v>0</v>
      </c>
      <c r="D65" s="179">
        <v>0</v>
      </c>
      <c r="E65" s="179">
        <v>0</v>
      </c>
      <c r="F65" s="179">
        <v>-3688.05</v>
      </c>
      <c r="G65" s="179">
        <v>-3688.05</v>
      </c>
    </row>
    <row r="66" spans="1:7" x14ac:dyDescent="0.35">
      <c r="A66" s="178" t="s">
        <v>213</v>
      </c>
      <c r="B66" s="179">
        <v>0</v>
      </c>
      <c r="C66" s="179">
        <v>0</v>
      </c>
      <c r="D66" s="179">
        <v>932.85</v>
      </c>
      <c r="E66" s="179">
        <v>17332.98</v>
      </c>
      <c r="F66" s="179">
        <v>17363.259999999998</v>
      </c>
      <c r="G66" s="179">
        <v>35629.089999999997</v>
      </c>
    </row>
    <row r="67" spans="1:7" x14ac:dyDescent="0.35">
      <c r="A67" s="178" t="s">
        <v>214</v>
      </c>
      <c r="B67" s="179">
        <v>0</v>
      </c>
      <c r="C67" s="179">
        <v>0</v>
      </c>
      <c r="D67" s="179">
        <v>0</v>
      </c>
      <c r="E67" s="179">
        <v>0</v>
      </c>
      <c r="F67" s="179">
        <v>3347.65</v>
      </c>
      <c r="G67" s="179">
        <v>3347.65</v>
      </c>
    </row>
    <row r="68" spans="1:7" x14ac:dyDescent="0.35">
      <c r="A68" s="178" t="s">
        <v>215</v>
      </c>
      <c r="B68" s="179">
        <v>0</v>
      </c>
      <c r="C68" s="179">
        <v>0</v>
      </c>
      <c r="D68" s="179">
        <v>0</v>
      </c>
      <c r="E68" s="179">
        <v>0</v>
      </c>
      <c r="F68" s="179">
        <v>-158.36000000000001</v>
      </c>
      <c r="G68" s="179">
        <v>-158.36000000000001</v>
      </c>
    </row>
    <row r="69" spans="1:7" x14ac:dyDescent="0.35">
      <c r="A69" s="178" t="s">
        <v>216</v>
      </c>
      <c r="B69" s="179">
        <v>0</v>
      </c>
      <c r="C69" s="179">
        <v>0</v>
      </c>
      <c r="D69" s="179">
        <v>0</v>
      </c>
      <c r="E69" s="179">
        <v>2717.53</v>
      </c>
      <c r="F69" s="179">
        <v>0</v>
      </c>
      <c r="G69" s="179">
        <v>2717.53</v>
      </c>
    </row>
    <row r="70" spans="1:7" x14ac:dyDescent="0.35">
      <c r="A70" s="178" t="s">
        <v>217</v>
      </c>
      <c r="B70" s="179">
        <v>0</v>
      </c>
      <c r="C70" s="179">
        <v>0</v>
      </c>
      <c r="D70" s="179">
        <v>0</v>
      </c>
      <c r="E70" s="179">
        <v>0</v>
      </c>
      <c r="F70" s="179">
        <v>7522.47</v>
      </c>
      <c r="G70" s="179">
        <v>7522.47</v>
      </c>
    </row>
    <row r="71" spans="1:7" x14ac:dyDescent="0.35">
      <c r="A71" s="178" t="s">
        <v>218</v>
      </c>
      <c r="B71" s="179">
        <v>0</v>
      </c>
      <c r="C71" s="179">
        <v>0</v>
      </c>
      <c r="D71" s="179">
        <v>0</v>
      </c>
      <c r="E71" s="179">
        <v>0</v>
      </c>
      <c r="F71" s="179">
        <v>-1607.7</v>
      </c>
      <c r="G71" s="179">
        <v>-1607.7</v>
      </c>
    </row>
    <row r="72" spans="1:7" x14ac:dyDescent="0.35">
      <c r="A72" s="178" t="s">
        <v>219</v>
      </c>
      <c r="B72" s="179">
        <v>0</v>
      </c>
      <c r="C72" s="179">
        <v>0</v>
      </c>
      <c r="D72" s="179">
        <v>0</v>
      </c>
      <c r="E72" s="179">
        <v>0</v>
      </c>
      <c r="F72" s="179">
        <v>3920.47</v>
      </c>
      <c r="G72" s="179">
        <v>3920.47</v>
      </c>
    </row>
    <row r="73" spans="1:7" x14ac:dyDescent="0.35">
      <c r="A73" s="178" t="s">
        <v>220</v>
      </c>
      <c r="B73" s="179">
        <v>0</v>
      </c>
      <c r="C73" s="179">
        <v>0</v>
      </c>
      <c r="D73" s="179">
        <v>0</v>
      </c>
      <c r="E73" s="179">
        <v>-534.52</v>
      </c>
      <c r="F73" s="179">
        <v>0</v>
      </c>
      <c r="G73" s="179">
        <v>-534.52</v>
      </c>
    </row>
    <row r="74" spans="1:7" x14ac:dyDescent="0.35">
      <c r="A74" s="178" t="s">
        <v>221</v>
      </c>
      <c r="B74" s="179">
        <v>0</v>
      </c>
      <c r="C74" s="179">
        <v>-5055.5</v>
      </c>
      <c r="D74" s="179">
        <v>0</v>
      </c>
      <c r="E74" s="179">
        <v>0</v>
      </c>
      <c r="F74" s="179">
        <v>0</v>
      </c>
      <c r="G74" s="179">
        <v>-5055.5</v>
      </c>
    </row>
    <row r="75" spans="1:7" x14ac:dyDescent="0.35">
      <c r="A75" s="178" t="s">
        <v>222</v>
      </c>
      <c r="B75" s="179">
        <v>0</v>
      </c>
      <c r="C75" s="179">
        <v>0</v>
      </c>
      <c r="D75" s="179">
        <v>0</v>
      </c>
      <c r="E75" s="179">
        <v>0</v>
      </c>
      <c r="F75" s="179">
        <v>140954.29999999999</v>
      </c>
      <c r="G75" s="179">
        <v>140954.29999999999</v>
      </c>
    </row>
    <row r="76" spans="1:7" x14ac:dyDescent="0.35">
      <c r="A76" s="178" t="s">
        <v>223</v>
      </c>
      <c r="B76" s="179">
        <v>0</v>
      </c>
      <c r="C76" s="179">
        <v>0</v>
      </c>
      <c r="D76" s="179">
        <v>0</v>
      </c>
      <c r="E76" s="179">
        <v>0</v>
      </c>
      <c r="F76" s="179">
        <v>6152.5</v>
      </c>
      <c r="G76" s="179">
        <v>6152.5</v>
      </c>
    </row>
    <row r="77" spans="1:7" x14ac:dyDescent="0.35">
      <c r="A77" s="178" t="s">
        <v>224</v>
      </c>
      <c r="B77" s="179">
        <v>0</v>
      </c>
      <c r="C77" s="179">
        <v>0</v>
      </c>
      <c r="D77" s="179">
        <v>0</v>
      </c>
      <c r="E77" s="179">
        <v>0</v>
      </c>
      <c r="F77" s="179">
        <v>4410.8500000000004</v>
      </c>
      <c r="G77" s="179">
        <v>4410.8500000000004</v>
      </c>
    </row>
    <row r="78" spans="1:7" x14ac:dyDescent="0.35">
      <c r="A78" s="178" t="s">
        <v>225</v>
      </c>
      <c r="B78" s="179">
        <v>0</v>
      </c>
      <c r="C78" s="179">
        <v>0</v>
      </c>
      <c r="D78" s="179">
        <v>0</v>
      </c>
      <c r="E78" s="179">
        <v>0</v>
      </c>
      <c r="F78" s="179">
        <v>8256.43</v>
      </c>
      <c r="G78" s="179">
        <v>8256.43</v>
      </c>
    </row>
    <row r="79" spans="1:7" x14ac:dyDescent="0.35">
      <c r="A79" s="178" t="s">
        <v>226</v>
      </c>
      <c r="B79" s="179">
        <v>0</v>
      </c>
      <c r="C79" s="179">
        <v>0</v>
      </c>
      <c r="D79" s="179">
        <v>0</v>
      </c>
      <c r="E79" s="179">
        <v>66328.55</v>
      </c>
      <c r="F79" s="179">
        <v>35539.72</v>
      </c>
      <c r="G79" s="179">
        <v>101868.27</v>
      </c>
    </row>
    <row r="80" spans="1:7" x14ac:dyDescent="0.35">
      <c r="A80" s="178" t="s">
        <v>227</v>
      </c>
      <c r="B80" s="179">
        <v>0</v>
      </c>
      <c r="C80" s="179">
        <v>0</v>
      </c>
      <c r="D80" s="179">
        <v>0</v>
      </c>
      <c r="E80" s="179">
        <v>0</v>
      </c>
      <c r="F80" s="179">
        <v>677878.46</v>
      </c>
      <c r="G80" s="179">
        <v>677878.46</v>
      </c>
    </row>
    <row r="81" spans="1:7" x14ac:dyDescent="0.35">
      <c r="A81" s="178" t="s">
        <v>228</v>
      </c>
      <c r="B81" s="179">
        <v>0</v>
      </c>
      <c r="C81" s="179">
        <v>0</v>
      </c>
      <c r="D81" s="179">
        <v>0</v>
      </c>
      <c r="E81" s="179">
        <v>0</v>
      </c>
      <c r="F81" s="179">
        <v>2132.1</v>
      </c>
      <c r="G81" s="179">
        <v>2132.1</v>
      </c>
    </row>
    <row r="82" spans="1:7" x14ac:dyDescent="0.35">
      <c r="A82" s="178" t="s">
        <v>229</v>
      </c>
      <c r="B82" s="179">
        <v>0</v>
      </c>
      <c r="C82" s="179">
        <v>0</v>
      </c>
      <c r="D82" s="179">
        <v>0</v>
      </c>
      <c r="E82" s="179">
        <v>84874.38</v>
      </c>
      <c r="F82" s="179">
        <v>15213.36</v>
      </c>
      <c r="G82" s="179">
        <v>100087.74</v>
      </c>
    </row>
    <row r="83" spans="1:7" x14ac:dyDescent="0.35">
      <c r="A83" s="178" t="s">
        <v>230</v>
      </c>
      <c r="B83" s="179">
        <v>0</v>
      </c>
      <c r="C83" s="179">
        <v>0</v>
      </c>
      <c r="D83" s="179">
        <v>0</v>
      </c>
      <c r="E83" s="179">
        <v>0</v>
      </c>
      <c r="F83" s="179">
        <v>1381.15</v>
      </c>
      <c r="G83" s="179">
        <v>1381.15</v>
      </c>
    </row>
    <row r="84" spans="1:7" x14ac:dyDescent="0.35">
      <c r="A84" s="178" t="s">
        <v>231</v>
      </c>
      <c r="B84" s="179">
        <v>0</v>
      </c>
      <c r="C84" s="179">
        <v>0</v>
      </c>
      <c r="D84" s="179">
        <v>0</v>
      </c>
      <c r="E84" s="179">
        <v>0</v>
      </c>
      <c r="F84" s="179">
        <v>82935.47</v>
      </c>
      <c r="G84" s="179">
        <v>82935.47</v>
      </c>
    </row>
    <row r="85" spans="1:7" x14ac:dyDescent="0.35">
      <c r="A85" s="178" t="s">
        <v>232</v>
      </c>
      <c r="B85" s="179">
        <v>0</v>
      </c>
      <c r="C85" s="179">
        <v>0</v>
      </c>
      <c r="D85" s="179">
        <v>0</v>
      </c>
      <c r="E85" s="179">
        <v>0</v>
      </c>
      <c r="F85" s="179">
        <v>96686.09</v>
      </c>
      <c r="G85" s="179">
        <v>96686.09</v>
      </c>
    </row>
    <row r="86" spans="1:7" x14ac:dyDescent="0.35">
      <c r="A86" s="178" t="s">
        <v>233</v>
      </c>
      <c r="B86" s="179">
        <v>0</v>
      </c>
      <c r="C86" s="179">
        <v>0</v>
      </c>
      <c r="D86" s="179">
        <v>2927.32</v>
      </c>
      <c r="E86" s="179">
        <v>21563.22</v>
      </c>
      <c r="F86" s="179">
        <v>79432.28</v>
      </c>
      <c r="G86" s="179">
        <v>103922.82</v>
      </c>
    </row>
    <row r="87" spans="1:7" x14ac:dyDescent="0.35">
      <c r="A87" s="178" t="s">
        <v>234</v>
      </c>
      <c r="B87" s="179">
        <v>0</v>
      </c>
      <c r="C87" s="179">
        <v>0</v>
      </c>
      <c r="D87" s="179">
        <v>0</v>
      </c>
      <c r="E87" s="179">
        <v>2984.48</v>
      </c>
      <c r="F87" s="179">
        <v>0</v>
      </c>
      <c r="G87" s="179">
        <v>2984.48</v>
      </c>
    </row>
    <row r="88" spans="1:7" x14ac:dyDescent="0.35">
      <c r="A88" s="178" t="s">
        <v>235</v>
      </c>
      <c r="B88" s="179">
        <v>0</v>
      </c>
      <c r="C88" s="179">
        <v>0</v>
      </c>
      <c r="D88" s="179">
        <v>0</v>
      </c>
      <c r="E88" s="179">
        <v>0</v>
      </c>
      <c r="F88" s="179">
        <v>1552.5</v>
      </c>
      <c r="G88" s="179">
        <v>1552.5</v>
      </c>
    </row>
    <row r="89" spans="1:7" x14ac:dyDescent="0.35">
      <c r="A89" s="178" t="s">
        <v>236</v>
      </c>
      <c r="B89" s="179">
        <v>0</v>
      </c>
      <c r="C89" s="179">
        <v>0</v>
      </c>
      <c r="D89" s="179">
        <v>0</v>
      </c>
      <c r="E89" s="179">
        <v>0</v>
      </c>
      <c r="F89" s="179">
        <v>1006.83</v>
      </c>
      <c r="G89" s="179">
        <v>1006.83</v>
      </c>
    </row>
    <row r="90" spans="1:7" x14ac:dyDescent="0.35">
      <c r="A90" s="178" t="s">
        <v>237</v>
      </c>
      <c r="B90" s="179">
        <v>0</v>
      </c>
      <c r="C90" s="179">
        <v>0</v>
      </c>
      <c r="D90" s="179">
        <v>0</v>
      </c>
      <c r="E90" s="179">
        <v>0</v>
      </c>
      <c r="F90" s="179">
        <v>-23.92</v>
      </c>
      <c r="G90" s="179">
        <v>-23.92</v>
      </c>
    </row>
    <row r="91" spans="1:7" x14ac:dyDescent="0.35">
      <c r="A91" s="178" t="s">
        <v>238</v>
      </c>
      <c r="B91" s="179">
        <v>0</v>
      </c>
      <c r="C91" s="179">
        <v>0</v>
      </c>
      <c r="D91" s="179">
        <v>0</v>
      </c>
      <c r="E91" s="179">
        <v>0</v>
      </c>
      <c r="F91" s="179">
        <v>5788.63</v>
      </c>
      <c r="G91" s="179">
        <v>5788.63</v>
      </c>
    </row>
    <row r="92" spans="1:7" x14ac:dyDescent="0.35">
      <c r="A92" s="178" t="s">
        <v>239</v>
      </c>
      <c r="B92" s="179">
        <v>0</v>
      </c>
      <c r="C92" s="179">
        <v>0</v>
      </c>
      <c r="D92" s="179">
        <v>0</v>
      </c>
      <c r="E92" s="179">
        <v>0</v>
      </c>
      <c r="F92" s="179">
        <v>133349.79</v>
      </c>
      <c r="G92" s="179">
        <v>133349.79</v>
      </c>
    </row>
    <row r="93" spans="1:7" x14ac:dyDescent="0.35">
      <c r="A93" s="178" t="s">
        <v>240</v>
      </c>
      <c r="B93" s="179">
        <v>0</v>
      </c>
      <c r="C93" s="179">
        <v>0</v>
      </c>
      <c r="D93" s="179">
        <v>0</v>
      </c>
      <c r="E93" s="179">
        <v>0</v>
      </c>
      <c r="F93" s="179">
        <v>991.35</v>
      </c>
      <c r="G93" s="179">
        <v>991.35</v>
      </c>
    </row>
    <row r="94" spans="1:7" x14ac:dyDescent="0.35">
      <c r="A94" s="178" t="s">
        <v>241</v>
      </c>
      <c r="B94" s="179">
        <v>0</v>
      </c>
      <c r="C94" s="179">
        <v>0</v>
      </c>
      <c r="D94" s="179">
        <v>0</v>
      </c>
      <c r="E94" s="179">
        <v>0</v>
      </c>
      <c r="F94" s="179">
        <v>13530.44</v>
      </c>
      <c r="G94" s="179">
        <v>13530.44</v>
      </c>
    </row>
    <row r="95" spans="1:7" x14ac:dyDescent="0.35">
      <c r="A95" s="178" t="s">
        <v>242</v>
      </c>
      <c r="B95" s="179">
        <v>0</v>
      </c>
      <c r="C95" s="179">
        <v>0</v>
      </c>
      <c r="D95" s="179">
        <v>0</v>
      </c>
      <c r="E95" s="179">
        <v>21279.25</v>
      </c>
      <c r="F95" s="179">
        <v>39721.93</v>
      </c>
      <c r="G95" s="179">
        <v>61001.18</v>
      </c>
    </row>
    <row r="96" spans="1:7" x14ac:dyDescent="0.35">
      <c r="A96" s="178" t="s">
        <v>243</v>
      </c>
      <c r="B96" s="179">
        <v>0</v>
      </c>
      <c r="C96" s="179">
        <v>0</v>
      </c>
      <c r="D96" s="179">
        <v>0</v>
      </c>
      <c r="E96" s="179">
        <v>0</v>
      </c>
      <c r="F96" s="179">
        <v>-2116.46</v>
      </c>
      <c r="G96" s="179">
        <v>-2116.46</v>
      </c>
    </row>
    <row r="97" spans="1:7" x14ac:dyDescent="0.35">
      <c r="A97" s="178" t="s">
        <v>244</v>
      </c>
      <c r="B97" s="179">
        <v>0</v>
      </c>
      <c r="C97" s="179">
        <v>0</v>
      </c>
      <c r="D97" s="179">
        <v>-182.96</v>
      </c>
      <c r="E97" s="179">
        <v>0</v>
      </c>
      <c r="F97" s="179">
        <v>-3670.14</v>
      </c>
      <c r="G97" s="179">
        <v>-3853.1</v>
      </c>
    </row>
    <row r="98" spans="1:7" x14ac:dyDescent="0.35">
      <c r="A98" s="178" t="s">
        <v>245</v>
      </c>
      <c r="B98" s="179">
        <v>0</v>
      </c>
      <c r="C98" s="179">
        <v>0</v>
      </c>
      <c r="D98" s="179">
        <v>0</v>
      </c>
      <c r="E98" s="179">
        <v>98168.54</v>
      </c>
      <c r="F98" s="179">
        <v>5065.5200000000004</v>
      </c>
      <c r="G98" s="179">
        <v>103234.06</v>
      </c>
    </row>
    <row r="99" spans="1:7" x14ac:dyDescent="0.35">
      <c r="A99" s="178" t="s">
        <v>246</v>
      </c>
      <c r="B99" s="179">
        <v>2027</v>
      </c>
      <c r="C99" s="179">
        <v>0</v>
      </c>
      <c r="D99" s="179">
        <v>0</v>
      </c>
      <c r="E99" s="179">
        <v>0</v>
      </c>
      <c r="F99" s="179">
        <v>0</v>
      </c>
      <c r="G99" s="179">
        <v>2027</v>
      </c>
    </row>
    <row r="100" spans="1:7" x14ac:dyDescent="0.35">
      <c r="A100" s="178" t="s">
        <v>247</v>
      </c>
      <c r="B100" s="179">
        <v>0</v>
      </c>
      <c r="C100" s="179">
        <v>0</v>
      </c>
      <c r="D100" s="179">
        <v>10369.290000000001</v>
      </c>
      <c r="E100" s="179">
        <v>0</v>
      </c>
      <c r="F100" s="179">
        <v>7326.37</v>
      </c>
      <c r="G100" s="179">
        <v>17695.66</v>
      </c>
    </row>
    <row r="101" spans="1:7" x14ac:dyDescent="0.35">
      <c r="A101" s="178" t="s">
        <v>248</v>
      </c>
      <c r="B101" s="179">
        <v>0</v>
      </c>
      <c r="C101" s="179">
        <v>-280.86</v>
      </c>
      <c r="D101" s="179">
        <v>0</v>
      </c>
      <c r="E101" s="179">
        <v>0</v>
      </c>
      <c r="F101" s="179">
        <v>0</v>
      </c>
      <c r="G101" s="179">
        <v>-280.86</v>
      </c>
    </row>
    <row r="102" spans="1:7" x14ac:dyDescent="0.35">
      <c r="A102" s="178" t="s">
        <v>249</v>
      </c>
      <c r="B102" s="179">
        <v>0</v>
      </c>
      <c r="C102" s="179">
        <v>0</v>
      </c>
      <c r="D102" s="179">
        <v>0</v>
      </c>
      <c r="E102" s="179">
        <v>0</v>
      </c>
      <c r="F102" s="179">
        <v>460599.29</v>
      </c>
      <c r="G102" s="179">
        <v>460599.29</v>
      </c>
    </row>
    <row r="103" spans="1:7" x14ac:dyDescent="0.35">
      <c r="A103" s="178" t="s">
        <v>250</v>
      </c>
      <c r="B103" s="179">
        <v>0</v>
      </c>
      <c r="C103" s="179">
        <v>0</v>
      </c>
      <c r="D103" s="179">
        <v>0</v>
      </c>
      <c r="E103" s="179">
        <v>0</v>
      </c>
      <c r="F103" s="179">
        <v>-1418.64</v>
      </c>
      <c r="G103" s="179">
        <v>-1418.64</v>
      </c>
    </row>
    <row r="104" spans="1:7" x14ac:dyDescent="0.35">
      <c r="A104" s="178" t="s">
        <v>251</v>
      </c>
      <c r="B104" s="179">
        <v>0</v>
      </c>
      <c r="C104" s="179">
        <v>0</v>
      </c>
      <c r="D104" s="179">
        <v>0</v>
      </c>
      <c r="E104" s="179">
        <v>4125.28</v>
      </c>
      <c r="F104" s="179">
        <v>1475.74</v>
      </c>
      <c r="G104" s="179">
        <v>5601.02</v>
      </c>
    </row>
    <row r="105" spans="1:7" x14ac:dyDescent="0.35">
      <c r="A105" s="178" t="s">
        <v>252</v>
      </c>
      <c r="B105" s="179">
        <v>0</v>
      </c>
      <c r="C105" s="179">
        <v>0</v>
      </c>
      <c r="D105" s="179">
        <v>0</v>
      </c>
      <c r="E105" s="179">
        <v>0</v>
      </c>
      <c r="F105" s="179">
        <v>81962.23</v>
      </c>
      <c r="G105" s="179">
        <v>81962.23</v>
      </c>
    </row>
    <row r="106" spans="1:7" x14ac:dyDescent="0.35">
      <c r="A106" s="178" t="s">
        <v>253</v>
      </c>
      <c r="B106" s="179">
        <v>0</v>
      </c>
      <c r="C106" s="179">
        <v>0</v>
      </c>
      <c r="D106" s="179">
        <v>0</v>
      </c>
      <c r="E106" s="179">
        <v>589.83000000000004</v>
      </c>
      <c r="F106" s="179">
        <v>13094.59</v>
      </c>
      <c r="G106" s="179">
        <v>13684.42</v>
      </c>
    </row>
    <row r="107" spans="1:7" x14ac:dyDescent="0.35">
      <c r="A107" s="178" t="s">
        <v>254</v>
      </c>
      <c r="B107" s="179">
        <v>0</v>
      </c>
      <c r="C107" s="179">
        <v>0</v>
      </c>
      <c r="D107" s="179">
        <v>0</v>
      </c>
      <c r="E107" s="179">
        <v>0</v>
      </c>
      <c r="F107" s="179">
        <v>9804.9599999999991</v>
      </c>
      <c r="G107" s="179">
        <v>9804.9599999999991</v>
      </c>
    </row>
    <row r="108" spans="1:7" x14ac:dyDescent="0.35">
      <c r="A108" s="178" t="s">
        <v>255</v>
      </c>
      <c r="B108" s="179">
        <v>0</v>
      </c>
      <c r="C108" s="179">
        <v>0</v>
      </c>
      <c r="D108" s="179">
        <v>0</v>
      </c>
      <c r="E108" s="179">
        <v>0</v>
      </c>
      <c r="F108" s="179">
        <v>7661.48</v>
      </c>
      <c r="G108" s="179">
        <v>7661.48</v>
      </c>
    </row>
    <row r="109" spans="1:7" x14ac:dyDescent="0.35">
      <c r="A109" s="178" t="s">
        <v>256</v>
      </c>
      <c r="B109" s="179">
        <v>0</v>
      </c>
      <c r="C109" s="179">
        <v>0</v>
      </c>
      <c r="D109" s="179">
        <v>0</v>
      </c>
      <c r="E109" s="179">
        <v>308.76</v>
      </c>
      <c r="F109" s="179">
        <v>139037.25</v>
      </c>
      <c r="G109" s="179">
        <v>139346.01</v>
      </c>
    </row>
    <row r="110" spans="1:7" x14ac:dyDescent="0.35">
      <c r="A110" s="178" t="s">
        <v>257</v>
      </c>
      <c r="B110" s="179">
        <v>0</v>
      </c>
      <c r="C110" s="179">
        <v>0</v>
      </c>
      <c r="D110" s="179">
        <v>0</v>
      </c>
      <c r="E110" s="179">
        <v>48.35</v>
      </c>
      <c r="F110" s="179">
        <v>5868.45</v>
      </c>
      <c r="G110" s="179">
        <v>5916.8</v>
      </c>
    </row>
    <row r="111" spans="1:7" x14ac:dyDescent="0.35">
      <c r="A111" s="178" t="s">
        <v>258</v>
      </c>
      <c r="B111" s="179">
        <v>0</v>
      </c>
      <c r="C111" s="179">
        <v>0</v>
      </c>
      <c r="D111" s="179">
        <v>0</v>
      </c>
      <c r="E111" s="179">
        <v>6336.63</v>
      </c>
      <c r="F111" s="179">
        <v>55158.03</v>
      </c>
      <c r="G111" s="179">
        <v>61494.66</v>
      </c>
    </row>
    <row r="112" spans="1:7" x14ac:dyDescent="0.35">
      <c r="A112" s="178" t="s">
        <v>259</v>
      </c>
      <c r="B112" s="179">
        <v>0</v>
      </c>
      <c r="C112" s="179">
        <v>0</v>
      </c>
      <c r="D112" s="179">
        <v>0</v>
      </c>
      <c r="E112" s="179">
        <v>170526.62</v>
      </c>
      <c r="F112" s="179">
        <v>379361.98</v>
      </c>
      <c r="G112" s="179">
        <v>549888.6</v>
      </c>
    </row>
    <row r="113" spans="1:7" x14ac:dyDescent="0.35">
      <c r="A113" s="178" t="s">
        <v>260</v>
      </c>
      <c r="B113" s="179">
        <v>0</v>
      </c>
      <c r="C113" s="179">
        <v>0</v>
      </c>
      <c r="D113" s="179">
        <v>0</v>
      </c>
      <c r="E113" s="179">
        <v>51161.78</v>
      </c>
      <c r="F113" s="179">
        <v>0</v>
      </c>
      <c r="G113" s="179">
        <v>51161.78</v>
      </c>
    </row>
    <row r="114" spans="1:7" x14ac:dyDescent="0.35">
      <c r="A114" s="178" t="s">
        <v>261</v>
      </c>
      <c r="B114" s="179">
        <v>0</v>
      </c>
      <c r="C114" s="179">
        <v>0</v>
      </c>
      <c r="D114" s="179">
        <v>0</v>
      </c>
      <c r="E114" s="179">
        <v>0</v>
      </c>
      <c r="F114" s="179">
        <v>3988.58</v>
      </c>
      <c r="G114" s="179">
        <v>3988.58</v>
      </c>
    </row>
    <row r="115" spans="1:7" x14ac:dyDescent="0.35">
      <c r="A115" s="178" t="s">
        <v>262</v>
      </c>
      <c r="B115" s="179">
        <v>0</v>
      </c>
      <c r="C115" s="179">
        <v>0</v>
      </c>
      <c r="D115" s="179">
        <v>0</v>
      </c>
      <c r="E115" s="179">
        <v>21070.76</v>
      </c>
      <c r="F115" s="179">
        <v>0</v>
      </c>
      <c r="G115" s="179">
        <v>21070.76</v>
      </c>
    </row>
    <row r="116" spans="1:7" x14ac:dyDescent="0.35">
      <c r="A116" s="178" t="s">
        <v>263</v>
      </c>
      <c r="B116" s="179">
        <v>0</v>
      </c>
      <c r="C116" s="179">
        <v>0</v>
      </c>
      <c r="D116" s="179">
        <v>472.19</v>
      </c>
      <c r="E116" s="179">
        <v>23829.62</v>
      </c>
      <c r="F116" s="179">
        <v>37293.24</v>
      </c>
      <c r="G116" s="179">
        <v>61595.05</v>
      </c>
    </row>
    <row r="117" spans="1:7" x14ac:dyDescent="0.35">
      <c r="A117" s="178" t="s">
        <v>264</v>
      </c>
      <c r="B117" s="179">
        <v>0</v>
      </c>
      <c r="C117" s="179">
        <v>0</v>
      </c>
      <c r="D117" s="179">
        <v>0</v>
      </c>
      <c r="E117" s="179">
        <v>0</v>
      </c>
      <c r="F117" s="179">
        <v>85024.639999999999</v>
      </c>
      <c r="G117" s="179">
        <v>85024.639999999999</v>
      </c>
    </row>
    <row r="118" spans="1:7" x14ac:dyDescent="0.35">
      <c r="A118" s="178" t="s">
        <v>265</v>
      </c>
      <c r="B118" s="179">
        <v>0</v>
      </c>
      <c r="C118" s="179">
        <v>0</v>
      </c>
      <c r="D118" s="179">
        <v>0</v>
      </c>
      <c r="E118" s="179">
        <v>0</v>
      </c>
      <c r="F118" s="179">
        <v>1656</v>
      </c>
      <c r="G118" s="179">
        <v>1656</v>
      </c>
    </row>
    <row r="119" spans="1:7" x14ac:dyDescent="0.35">
      <c r="A119" s="178" t="s">
        <v>266</v>
      </c>
      <c r="B119" s="179">
        <v>0</v>
      </c>
      <c r="C119" s="179">
        <v>0</v>
      </c>
      <c r="D119" s="179">
        <v>0</v>
      </c>
      <c r="E119" s="179">
        <v>0</v>
      </c>
      <c r="F119" s="179">
        <v>1508.8</v>
      </c>
      <c r="G119" s="179">
        <v>1508.8</v>
      </c>
    </row>
    <row r="120" spans="1:7" x14ac:dyDescent="0.35">
      <c r="A120" s="178" t="s">
        <v>267</v>
      </c>
      <c r="B120" s="179">
        <v>0</v>
      </c>
      <c r="C120" s="179">
        <v>0</v>
      </c>
      <c r="D120" s="179">
        <v>0</v>
      </c>
      <c r="E120" s="179">
        <v>31740.19</v>
      </c>
      <c r="F120" s="179">
        <v>0</v>
      </c>
      <c r="G120" s="179">
        <v>31740.19</v>
      </c>
    </row>
    <row r="121" spans="1:7" x14ac:dyDescent="0.35">
      <c r="A121" s="178" t="s">
        <v>268</v>
      </c>
      <c r="B121" s="179">
        <v>0</v>
      </c>
      <c r="C121" s="179">
        <v>0</v>
      </c>
      <c r="D121" s="179">
        <v>0</v>
      </c>
      <c r="E121" s="179">
        <v>0</v>
      </c>
      <c r="F121" s="179">
        <v>58322.96</v>
      </c>
      <c r="G121" s="179">
        <v>58322.96</v>
      </c>
    </row>
    <row r="122" spans="1:7" x14ac:dyDescent="0.35">
      <c r="A122" s="178" t="s">
        <v>269</v>
      </c>
      <c r="B122" s="179">
        <v>0</v>
      </c>
      <c r="C122" s="179">
        <v>0</v>
      </c>
      <c r="D122" s="179">
        <v>0</v>
      </c>
      <c r="E122" s="179">
        <v>17514.560000000001</v>
      </c>
      <c r="F122" s="179">
        <v>1787.33</v>
      </c>
      <c r="G122" s="179">
        <v>19301.89</v>
      </c>
    </row>
    <row r="123" spans="1:7" x14ac:dyDescent="0.35">
      <c r="A123" s="178" t="s">
        <v>270</v>
      </c>
      <c r="B123" s="179">
        <v>0</v>
      </c>
      <c r="C123" s="179">
        <v>0</v>
      </c>
      <c r="D123" s="179">
        <v>0</v>
      </c>
      <c r="E123" s="179">
        <v>0</v>
      </c>
      <c r="F123" s="179">
        <v>133370.49</v>
      </c>
      <c r="G123" s="179">
        <v>133370.49</v>
      </c>
    </row>
    <row r="124" spans="1:7" x14ac:dyDescent="0.35">
      <c r="A124" s="178" t="s">
        <v>271</v>
      </c>
      <c r="B124" s="179">
        <v>-1737.77</v>
      </c>
      <c r="C124" s="179">
        <v>0</v>
      </c>
      <c r="D124" s="179">
        <v>0</v>
      </c>
      <c r="E124" s="179">
        <v>0</v>
      </c>
      <c r="F124" s="179">
        <v>0</v>
      </c>
      <c r="G124" s="179">
        <v>-1737.77</v>
      </c>
    </row>
    <row r="125" spans="1:7" x14ac:dyDescent="0.35">
      <c r="A125" s="178" t="s">
        <v>272</v>
      </c>
      <c r="B125" s="179">
        <v>0</v>
      </c>
      <c r="C125" s="179">
        <v>0</v>
      </c>
      <c r="D125" s="179">
        <v>0</v>
      </c>
      <c r="E125" s="179">
        <v>0</v>
      </c>
      <c r="F125" s="179">
        <v>28716.37</v>
      </c>
      <c r="G125" s="179">
        <v>28716.37</v>
      </c>
    </row>
    <row r="126" spans="1:7" x14ac:dyDescent="0.35">
      <c r="A126" s="178" t="s">
        <v>273</v>
      </c>
      <c r="B126" s="179">
        <v>0</v>
      </c>
      <c r="C126" s="179">
        <v>0</v>
      </c>
      <c r="D126" s="179">
        <v>0</v>
      </c>
      <c r="E126" s="179">
        <v>16179.42</v>
      </c>
      <c r="F126" s="179">
        <v>23700.52</v>
      </c>
      <c r="G126" s="179">
        <v>39879.94</v>
      </c>
    </row>
    <row r="127" spans="1:7" x14ac:dyDescent="0.35">
      <c r="A127" s="178" t="s">
        <v>274</v>
      </c>
      <c r="B127" s="179">
        <v>0</v>
      </c>
      <c r="C127" s="179">
        <v>0</v>
      </c>
      <c r="D127" s="179">
        <v>0</v>
      </c>
      <c r="E127" s="179">
        <v>1880.49</v>
      </c>
      <c r="F127" s="179">
        <v>0</v>
      </c>
      <c r="G127" s="179">
        <v>1880.49</v>
      </c>
    </row>
    <row r="128" spans="1:7" x14ac:dyDescent="0.35">
      <c r="A128" s="178" t="s">
        <v>275</v>
      </c>
      <c r="B128" s="179">
        <v>0</v>
      </c>
      <c r="C128" s="179">
        <v>0</v>
      </c>
      <c r="D128" s="179">
        <v>0</v>
      </c>
      <c r="E128" s="179">
        <v>0</v>
      </c>
      <c r="F128" s="179">
        <v>16298.49</v>
      </c>
      <c r="G128" s="179">
        <v>16298.49</v>
      </c>
    </row>
    <row r="129" spans="1:7" x14ac:dyDescent="0.35">
      <c r="A129" s="178" t="s">
        <v>276</v>
      </c>
      <c r="B129" s="179">
        <v>0</v>
      </c>
      <c r="C129" s="179">
        <v>0</v>
      </c>
      <c r="D129" s="179">
        <v>0</v>
      </c>
      <c r="E129" s="179">
        <v>0</v>
      </c>
      <c r="F129" s="179">
        <v>-146.62</v>
      </c>
      <c r="G129" s="179">
        <v>-146.62</v>
      </c>
    </row>
    <row r="130" spans="1:7" x14ac:dyDescent="0.35">
      <c r="A130" s="178" t="s">
        <v>277</v>
      </c>
      <c r="B130" s="179">
        <v>0</v>
      </c>
      <c r="C130" s="179">
        <v>0</v>
      </c>
      <c r="D130" s="179">
        <v>0</v>
      </c>
      <c r="E130" s="179">
        <v>0</v>
      </c>
      <c r="F130" s="179">
        <v>51966.63</v>
      </c>
      <c r="G130" s="179">
        <v>51966.63</v>
      </c>
    </row>
    <row r="131" spans="1:7" x14ac:dyDescent="0.35">
      <c r="A131" s="178" t="s">
        <v>278</v>
      </c>
      <c r="B131" s="179">
        <v>0</v>
      </c>
      <c r="C131" s="179">
        <v>0</v>
      </c>
      <c r="D131" s="179">
        <v>0</v>
      </c>
      <c r="E131" s="179">
        <v>0</v>
      </c>
      <c r="F131" s="179">
        <v>-109.84</v>
      </c>
      <c r="G131" s="179">
        <v>-109.84</v>
      </c>
    </row>
    <row r="132" spans="1:7" x14ac:dyDescent="0.35">
      <c r="A132" s="178" t="s">
        <v>279</v>
      </c>
      <c r="B132" s="179">
        <v>0</v>
      </c>
      <c r="C132" s="179">
        <v>0</v>
      </c>
      <c r="D132" s="179">
        <v>0</v>
      </c>
      <c r="E132" s="179">
        <v>0</v>
      </c>
      <c r="F132" s="179">
        <v>8889.98</v>
      </c>
      <c r="G132" s="179">
        <v>8889.98</v>
      </c>
    </row>
    <row r="133" spans="1:7" x14ac:dyDescent="0.35">
      <c r="A133" s="178" t="s">
        <v>280</v>
      </c>
      <c r="B133" s="179">
        <v>0</v>
      </c>
      <c r="C133" s="179">
        <v>0</v>
      </c>
      <c r="D133" s="179">
        <v>0</v>
      </c>
      <c r="E133" s="179">
        <v>0</v>
      </c>
      <c r="F133" s="179">
        <v>-16444.310000000001</v>
      </c>
      <c r="G133" s="179">
        <v>-16444.310000000001</v>
      </c>
    </row>
    <row r="134" spans="1:7" x14ac:dyDescent="0.35">
      <c r="A134" s="178" t="s">
        <v>281</v>
      </c>
      <c r="B134" s="179">
        <v>0</v>
      </c>
      <c r="C134" s="179">
        <v>0</v>
      </c>
      <c r="D134" s="179">
        <v>0</v>
      </c>
      <c r="E134" s="179">
        <v>0</v>
      </c>
      <c r="F134" s="179">
        <v>-522.04</v>
      </c>
      <c r="G134" s="179">
        <v>-522.04</v>
      </c>
    </row>
    <row r="135" spans="1:7" x14ac:dyDescent="0.35">
      <c r="A135" s="178" t="s">
        <v>282</v>
      </c>
      <c r="B135" s="179">
        <v>0</v>
      </c>
      <c r="C135" s="179">
        <v>0</v>
      </c>
      <c r="D135" s="179">
        <v>0</v>
      </c>
      <c r="E135" s="179">
        <v>29974.93</v>
      </c>
      <c r="F135" s="179">
        <v>3071.54</v>
      </c>
      <c r="G135" s="179">
        <v>33046.47</v>
      </c>
    </row>
    <row r="136" spans="1:7" x14ac:dyDescent="0.35">
      <c r="A136" s="178" t="s">
        <v>283</v>
      </c>
      <c r="B136" s="179">
        <v>0</v>
      </c>
      <c r="C136" s="179">
        <v>0</v>
      </c>
      <c r="D136" s="179">
        <v>0</v>
      </c>
      <c r="E136" s="179">
        <v>41273.339999999997</v>
      </c>
      <c r="F136" s="179">
        <v>38645</v>
      </c>
      <c r="G136" s="179">
        <v>79918.34</v>
      </c>
    </row>
    <row r="137" spans="1:7" x14ac:dyDescent="0.35">
      <c r="A137" s="178" t="s">
        <v>284</v>
      </c>
      <c r="B137" s="179">
        <v>0</v>
      </c>
      <c r="C137" s="179">
        <v>0</v>
      </c>
      <c r="D137" s="179">
        <v>0</v>
      </c>
      <c r="E137" s="179">
        <v>5969.09</v>
      </c>
      <c r="F137" s="179">
        <v>5180.3</v>
      </c>
      <c r="G137" s="179">
        <v>11149.39</v>
      </c>
    </row>
    <row r="138" spans="1:7" x14ac:dyDescent="0.35">
      <c r="A138" s="178" t="s">
        <v>285</v>
      </c>
      <c r="B138" s="179">
        <v>0</v>
      </c>
      <c r="C138" s="179">
        <v>0</v>
      </c>
      <c r="D138" s="179">
        <v>0</v>
      </c>
      <c r="E138" s="179">
        <v>0</v>
      </c>
      <c r="F138" s="179">
        <v>8393.6200000000008</v>
      </c>
      <c r="G138" s="179">
        <v>8393.6200000000008</v>
      </c>
    </row>
    <row r="139" spans="1:7" x14ac:dyDescent="0.35">
      <c r="A139" s="178" t="s">
        <v>286</v>
      </c>
      <c r="B139" s="179">
        <v>0</v>
      </c>
      <c r="C139" s="179">
        <v>0</v>
      </c>
      <c r="D139" s="179">
        <v>0</v>
      </c>
      <c r="E139" s="179">
        <v>77369.36</v>
      </c>
      <c r="F139" s="179">
        <v>0</v>
      </c>
      <c r="G139" s="179">
        <v>77369.36</v>
      </c>
    </row>
    <row r="140" spans="1:7" x14ac:dyDescent="0.35">
      <c r="A140" s="178" t="s">
        <v>287</v>
      </c>
      <c r="B140" s="179">
        <v>3914.51</v>
      </c>
      <c r="C140" s="179">
        <v>0</v>
      </c>
      <c r="D140" s="179">
        <v>0</v>
      </c>
      <c r="E140" s="179">
        <v>2875.46</v>
      </c>
      <c r="F140" s="179">
        <v>0</v>
      </c>
      <c r="G140" s="179">
        <v>6789.97</v>
      </c>
    </row>
    <row r="141" spans="1:7" x14ac:dyDescent="0.35">
      <c r="A141" s="178" t="s">
        <v>288</v>
      </c>
      <c r="B141" s="179">
        <v>0</v>
      </c>
      <c r="C141" s="179">
        <v>0</v>
      </c>
      <c r="D141" s="179">
        <v>0</v>
      </c>
      <c r="E141" s="179">
        <v>6721.75</v>
      </c>
      <c r="F141" s="179">
        <v>0</v>
      </c>
      <c r="G141" s="179">
        <v>6721.75</v>
      </c>
    </row>
    <row r="142" spans="1:7" x14ac:dyDescent="0.35">
      <c r="A142" s="178" t="s">
        <v>289</v>
      </c>
      <c r="B142" s="179">
        <v>0</v>
      </c>
      <c r="C142" s="179">
        <v>0</v>
      </c>
      <c r="D142" s="179">
        <v>0</v>
      </c>
      <c r="E142" s="179">
        <v>0</v>
      </c>
      <c r="F142" s="179">
        <v>1847.87</v>
      </c>
      <c r="G142" s="179">
        <v>1847.87</v>
      </c>
    </row>
    <row r="143" spans="1:7" x14ac:dyDescent="0.35">
      <c r="A143" s="178" t="s">
        <v>290</v>
      </c>
      <c r="B143" s="179">
        <v>0</v>
      </c>
      <c r="C143" s="179">
        <v>0</v>
      </c>
      <c r="D143" s="179">
        <v>0</v>
      </c>
      <c r="E143" s="179">
        <v>0</v>
      </c>
      <c r="F143" s="179">
        <v>4102.63</v>
      </c>
      <c r="G143" s="179">
        <v>4102.63</v>
      </c>
    </row>
    <row r="144" spans="1:7" x14ac:dyDescent="0.35">
      <c r="A144" s="178" t="s">
        <v>291</v>
      </c>
      <c r="B144" s="179">
        <v>0</v>
      </c>
      <c r="C144" s="179">
        <v>0</v>
      </c>
      <c r="D144" s="179">
        <v>0</v>
      </c>
      <c r="E144" s="179">
        <v>3608.77</v>
      </c>
      <c r="F144" s="179">
        <v>1164.3800000000001</v>
      </c>
      <c r="G144" s="179">
        <v>4773.1499999999996</v>
      </c>
    </row>
    <row r="145" spans="1:7" x14ac:dyDescent="0.35">
      <c r="A145" s="178" t="s">
        <v>292</v>
      </c>
      <c r="B145" s="179">
        <v>60245.58</v>
      </c>
      <c r="C145" s="179">
        <v>0</v>
      </c>
      <c r="D145" s="179">
        <v>0</v>
      </c>
      <c r="E145" s="179">
        <v>0</v>
      </c>
      <c r="F145" s="179">
        <v>0</v>
      </c>
      <c r="G145" s="179">
        <v>60245.58</v>
      </c>
    </row>
    <row r="146" spans="1:7" x14ac:dyDescent="0.35">
      <c r="A146" s="178" t="s">
        <v>293</v>
      </c>
      <c r="B146" s="179">
        <v>0</v>
      </c>
      <c r="C146" s="179">
        <v>0</v>
      </c>
      <c r="D146" s="179">
        <v>0</v>
      </c>
      <c r="E146" s="179">
        <v>5047.66</v>
      </c>
      <c r="F146" s="179">
        <v>34433.1</v>
      </c>
      <c r="G146" s="179">
        <v>39480.76</v>
      </c>
    </row>
    <row r="147" spans="1:7" x14ac:dyDescent="0.35">
      <c r="A147" s="178" t="s">
        <v>294</v>
      </c>
      <c r="B147" s="179">
        <v>0</v>
      </c>
      <c r="C147" s="179">
        <v>0</v>
      </c>
      <c r="D147" s="179">
        <v>0</v>
      </c>
      <c r="E147" s="179">
        <v>0</v>
      </c>
      <c r="F147" s="179">
        <v>1930.39</v>
      </c>
      <c r="G147" s="179">
        <v>1930.39</v>
      </c>
    </row>
    <row r="148" spans="1:7" x14ac:dyDescent="0.35">
      <c r="A148" s="178" t="s">
        <v>295</v>
      </c>
      <c r="B148" s="179">
        <v>0</v>
      </c>
      <c r="C148" s="179">
        <v>0</v>
      </c>
      <c r="D148" s="179">
        <v>0</v>
      </c>
      <c r="E148" s="179">
        <v>1552.5</v>
      </c>
      <c r="F148" s="179">
        <v>31440.26</v>
      </c>
      <c r="G148" s="179">
        <v>32992.76</v>
      </c>
    </row>
    <row r="149" spans="1:7" x14ac:dyDescent="0.35">
      <c r="A149" s="178" t="s">
        <v>296</v>
      </c>
      <c r="B149" s="179">
        <v>0</v>
      </c>
      <c r="C149" s="179">
        <v>0</v>
      </c>
      <c r="D149" s="179">
        <v>0</v>
      </c>
      <c r="E149" s="179">
        <v>0</v>
      </c>
      <c r="F149" s="179">
        <v>-57.96</v>
      </c>
      <c r="G149" s="179">
        <v>-57.96</v>
      </c>
    </row>
    <row r="150" spans="1:7" x14ac:dyDescent="0.35">
      <c r="A150" s="178" t="s">
        <v>297</v>
      </c>
      <c r="B150" s="179">
        <v>0</v>
      </c>
      <c r="C150" s="179">
        <v>0</v>
      </c>
      <c r="D150" s="179">
        <v>0</v>
      </c>
      <c r="E150" s="179">
        <v>748.65</v>
      </c>
      <c r="F150" s="179">
        <v>2955.96</v>
      </c>
      <c r="G150" s="179">
        <v>3704.61</v>
      </c>
    </row>
    <row r="151" spans="1:7" x14ac:dyDescent="0.35">
      <c r="A151" s="178" t="s">
        <v>298</v>
      </c>
      <c r="B151" s="179">
        <v>0</v>
      </c>
      <c r="C151" s="179">
        <v>0</v>
      </c>
      <c r="D151" s="179">
        <v>0</v>
      </c>
      <c r="E151" s="179">
        <v>36242.379999999997</v>
      </c>
      <c r="F151" s="179">
        <v>0</v>
      </c>
      <c r="G151" s="179">
        <v>36242.379999999997</v>
      </c>
    </row>
    <row r="152" spans="1:7" x14ac:dyDescent="0.35">
      <c r="A152" s="178" t="s">
        <v>299</v>
      </c>
      <c r="B152" s="179">
        <v>0</v>
      </c>
      <c r="C152" s="179">
        <v>0</v>
      </c>
      <c r="D152" s="179">
        <v>0</v>
      </c>
      <c r="E152" s="179">
        <v>1949.94</v>
      </c>
      <c r="F152" s="179">
        <v>54566.09</v>
      </c>
      <c r="G152" s="179">
        <v>56516.03</v>
      </c>
    </row>
    <row r="153" spans="1:7" x14ac:dyDescent="0.35">
      <c r="A153" s="178" t="s">
        <v>300</v>
      </c>
      <c r="B153" s="179">
        <v>0</v>
      </c>
      <c r="C153" s="179">
        <v>-300</v>
      </c>
      <c r="D153" s="179">
        <v>0</v>
      </c>
      <c r="E153" s="179">
        <v>0</v>
      </c>
      <c r="F153" s="179">
        <v>0</v>
      </c>
      <c r="G153" s="179">
        <v>-300</v>
      </c>
    </row>
    <row r="154" spans="1:7" x14ac:dyDescent="0.35">
      <c r="A154" s="178" t="s">
        <v>301</v>
      </c>
      <c r="B154" s="179">
        <v>0</v>
      </c>
      <c r="C154" s="179">
        <v>0</v>
      </c>
      <c r="D154" s="179">
        <v>0</v>
      </c>
      <c r="E154" s="179">
        <v>0</v>
      </c>
      <c r="F154" s="179">
        <v>9137.9500000000007</v>
      </c>
      <c r="G154" s="179">
        <v>9137.9500000000007</v>
      </c>
    </row>
    <row r="155" spans="1:7" x14ac:dyDescent="0.35">
      <c r="A155" s="178" t="s">
        <v>302</v>
      </c>
      <c r="B155" s="179">
        <v>-1025.01</v>
      </c>
      <c r="C155" s="179">
        <v>0</v>
      </c>
      <c r="D155" s="179">
        <v>0</v>
      </c>
      <c r="E155" s="179">
        <v>0</v>
      </c>
      <c r="F155" s="179">
        <v>0</v>
      </c>
      <c r="G155" s="179">
        <v>-1025.01</v>
      </c>
    </row>
    <row r="156" spans="1:7" x14ac:dyDescent="0.35">
      <c r="A156" s="178" t="s">
        <v>303</v>
      </c>
      <c r="B156" s="179">
        <v>0</v>
      </c>
      <c r="C156" s="179">
        <v>0</v>
      </c>
      <c r="D156" s="179">
        <v>0</v>
      </c>
      <c r="E156" s="179">
        <v>0</v>
      </c>
      <c r="F156" s="179">
        <v>8484.2900000000009</v>
      </c>
      <c r="G156" s="179">
        <v>8484.2900000000009</v>
      </c>
    </row>
    <row r="157" spans="1:7" x14ac:dyDescent="0.35">
      <c r="A157" s="178" t="s">
        <v>304</v>
      </c>
      <c r="B157" s="179">
        <v>-6070.28</v>
      </c>
      <c r="C157" s="179">
        <v>0</v>
      </c>
      <c r="D157" s="179">
        <v>0</v>
      </c>
      <c r="E157" s="179">
        <v>0</v>
      </c>
      <c r="F157" s="179">
        <v>0</v>
      </c>
      <c r="G157" s="179">
        <v>-6070.28</v>
      </c>
    </row>
    <row r="158" spans="1:7" x14ac:dyDescent="0.35">
      <c r="A158" s="178" t="s">
        <v>305</v>
      </c>
      <c r="B158" s="179">
        <v>0</v>
      </c>
      <c r="C158" s="179">
        <v>0</v>
      </c>
      <c r="D158" s="179">
        <v>0</v>
      </c>
      <c r="E158" s="179">
        <v>0</v>
      </c>
      <c r="F158" s="179">
        <v>214.6</v>
      </c>
      <c r="G158" s="179">
        <v>214.6</v>
      </c>
    </row>
    <row r="159" spans="1:7" x14ac:dyDescent="0.35">
      <c r="A159" s="178" t="s">
        <v>306</v>
      </c>
      <c r="B159" s="179">
        <v>2571.98</v>
      </c>
      <c r="C159" s="179">
        <v>0</v>
      </c>
      <c r="D159" s="179">
        <v>0</v>
      </c>
      <c r="E159" s="179">
        <v>0</v>
      </c>
      <c r="F159" s="179">
        <v>0</v>
      </c>
      <c r="G159" s="179">
        <v>2571.98</v>
      </c>
    </row>
    <row r="160" spans="1:7" x14ac:dyDescent="0.35">
      <c r="A160" s="178" t="s">
        <v>307</v>
      </c>
      <c r="B160" s="179">
        <v>0</v>
      </c>
      <c r="C160" s="179">
        <v>0</v>
      </c>
      <c r="D160" s="179">
        <v>0</v>
      </c>
      <c r="E160" s="179">
        <v>-155.30000000000001</v>
      </c>
      <c r="F160" s="179">
        <v>0</v>
      </c>
      <c r="G160" s="179">
        <v>-155.30000000000001</v>
      </c>
    </row>
    <row r="161" spans="1:7" x14ac:dyDescent="0.35">
      <c r="A161" s="178" t="s">
        <v>308</v>
      </c>
      <c r="B161" s="179">
        <v>0</v>
      </c>
      <c r="C161" s="179">
        <v>0</v>
      </c>
      <c r="D161" s="179">
        <v>4415.05</v>
      </c>
      <c r="E161" s="179">
        <v>7105.91</v>
      </c>
      <c r="F161" s="179">
        <v>0</v>
      </c>
      <c r="G161" s="179">
        <v>11520.96</v>
      </c>
    </row>
    <row r="162" spans="1:7" x14ac:dyDescent="0.35">
      <c r="A162" s="178" t="s">
        <v>309</v>
      </c>
      <c r="B162" s="179">
        <v>0</v>
      </c>
      <c r="C162" s="179">
        <v>0</v>
      </c>
      <c r="D162" s="179">
        <v>0</v>
      </c>
      <c r="E162" s="179">
        <v>0</v>
      </c>
      <c r="F162" s="179">
        <v>7033.12</v>
      </c>
      <c r="G162" s="179">
        <v>7033.12</v>
      </c>
    </row>
    <row r="163" spans="1:7" x14ac:dyDescent="0.35">
      <c r="A163" s="178" t="s">
        <v>310</v>
      </c>
      <c r="B163" s="179">
        <v>0</v>
      </c>
      <c r="C163" s="179">
        <v>0</v>
      </c>
      <c r="D163" s="179">
        <v>0</v>
      </c>
      <c r="E163" s="179">
        <v>-1606.55</v>
      </c>
      <c r="F163" s="179">
        <v>0</v>
      </c>
      <c r="G163" s="179">
        <v>-1606.55</v>
      </c>
    </row>
    <row r="164" spans="1:7" x14ac:dyDescent="0.35">
      <c r="A164" s="178" t="s">
        <v>311</v>
      </c>
      <c r="B164" s="179">
        <v>-595.99</v>
      </c>
      <c r="C164" s="179">
        <v>0</v>
      </c>
      <c r="D164" s="179">
        <v>0</v>
      </c>
      <c r="E164" s="179">
        <v>0</v>
      </c>
      <c r="F164" s="179">
        <v>0</v>
      </c>
      <c r="G164" s="179">
        <v>-595.99</v>
      </c>
    </row>
    <row r="165" spans="1:7" x14ac:dyDescent="0.35">
      <c r="A165" s="178" t="s">
        <v>312</v>
      </c>
      <c r="B165" s="179">
        <v>0</v>
      </c>
      <c r="C165" s="179">
        <v>0</v>
      </c>
      <c r="D165" s="179">
        <v>0</v>
      </c>
      <c r="E165" s="179">
        <v>0</v>
      </c>
      <c r="F165" s="179">
        <v>7005.29</v>
      </c>
      <c r="G165" s="179">
        <v>7005.29</v>
      </c>
    </row>
    <row r="166" spans="1:7" x14ac:dyDescent="0.35">
      <c r="A166" s="178" t="s">
        <v>313</v>
      </c>
      <c r="B166" s="179">
        <v>0</v>
      </c>
      <c r="C166" s="179">
        <v>0</v>
      </c>
      <c r="D166" s="179">
        <v>0</v>
      </c>
      <c r="E166" s="179">
        <v>0</v>
      </c>
      <c r="F166" s="179">
        <v>-766.48</v>
      </c>
      <c r="G166" s="179">
        <v>-766.48</v>
      </c>
    </row>
    <row r="167" spans="1:7" x14ac:dyDescent="0.35">
      <c r="A167" s="178" t="s">
        <v>314</v>
      </c>
      <c r="B167" s="179">
        <v>0</v>
      </c>
      <c r="C167" s="179">
        <v>0</v>
      </c>
      <c r="D167" s="179">
        <v>4426.49</v>
      </c>
      <c r="E167" s="179">
        <v>94012.56</v>
      </c>
      <c r="F167" s="179">
        <v>86186.06</v>
      </c>
      <c r="G167" s="179">
        <v>184625.11</v>
      </c>
    </row>
    <row r="168" spans="1:7" x14ac:dyDescent="0.35">
      <c r="A168" s="178" t="s">
        <v>315</v>
      </c>
      <c r="B168" s="179">
        <v>0</v>
      </c>
      <c r="C168" s="179">
        <v>0</v>
      </c>
      <c r="D168" s="179">
        <v>0</v>
      </c>
      <c r="E168" s="179">
        <v>0</v>
      </c>
      <c r="F168" s="179">
        <v>1925.96</v>
      </c>
      <c r="G168" s="179">
        <v>1925.96</v>
      </c>
    </row>
    <row r="169" spans="1:7" x14ac:dyDescent="0.35">
      <c r="A169" s="178" t="s">
        <v>316</v>
      </c>
      <c r="B169" s="179">
        <v>0</v>
      </c>
      <c r="C169" s="179">
        <v>0</v>
      </c>
      <c r="D169" s="179">
        <v>0</v>
      </c>
      <c r="E169" s="179">
        <v>0</v>
      </c>
      <c r="F169" s="179">
        <v>47992.800000000003</v>
      </c>
      <c r="G169" s="179">
        <v>47992.800000000003</v>
      </c>
    </row>
    <row r="170" spans="1:7" x14ac:dyDescent="0.35">
      <c r="A170" s="178" t="s">
        <v>317</v>
      </c>
      <c r="B170" s="179">
        <v>0</v>
      </c>
      <c r="C170" s="179">
        <v>0</v>
      </c>
      <c r="D170" s="179">
        <v>0</v>
      </c>
      <c r="E170" s="179">
        <v>0</v>
      </c>
      <c r="F170" s="179">
        <v>3552.24</v>
      </c>
      <c r="G170" s="179">
        <v>3552.24</v>
      </c>
    </row>
    <row r="171" spans="1:7" x14ac:dyDescent="0.35">
      <c r="A171" s="178" t="s">
        <v>318</v>
      </c>
      <c r="B171" s="179">
        <v>0</v>
      </c>
      <c r="C171" s="179">
        <v>0</v>
      </c>
      <c r="D171" s="179">
        <v>0</v>
      </c>
      <c r="E171" s="179">
        <v>0</v>
      </c>
      <c r="F171" s="179">
        <v>2233.5300000000002</v>
      </c>
      <c r="G171" s="179">
        <v>2233.5300000000002</v>
      </c>
    </row>
    <row r="172" spans="1:7" x14ac:dyDescent="0.35">
      <c r="A172" s="178" t="s">
        <v>319</v>
      </c>
      <c r="B172" s="179">
        <v>0</v>
      </c>
      <c r="C172" s="179">
        <v>0</v>
      </c>
      <c r="D172" s="179">
        <v>0</v>
      </c>
      <c r="E172" s="179">
        <v>7345.97</v>
      </c>
      <c r="F172" s="179">
        <v>0</v>
      </c>
      <c r="G172" s="179">
        <v>7345.97</v>
      </c>
    </row>
    <row r="173" spans="1:7" x14ac:dyDescent="0.35">
      <c r="A173" s="178" t="s">
        <v>320</v>
      </c>
      <c r="B173" s="179">
        <v>0</v>
      </c>
      <c r="C173" s="179">
        <v>0</v>
      </c>
      <c r="D173" s="179">
        <v>50017.21</v>
      </c>
      <c r="E173" s="179">
        <v>230272.26</v>
      </c>
      <c r="F173" s="179">
        <v>173353.52</v>
      </c>
      <c r="G173" s="179">
        <v>453642.99</v>
      </c>
    </row>
    <row r="174" spans="1:7" x14ac:dyDescent="0.35">
      <c r="A174" s="178" t="s">
        <v>321</v>
      </c>
      <c r="B174" s="179">
        <v>0</v>
      </c>
      <c r="C174" s="179">
        <v>0</v>
      </c>
      <c r="D174" s="179">
        <v>0</v>
      </c>
      <c r="E174" s="179">
        <v>0</v>
      </c>
      <c r="F174" s="179">
        <v>11920.21</v>
      </c>
      <c r="G174" s="179">
        <v>11920.21</v>
      </c>
    </row>
    <row r="175" spans="1:7" x14ac:dyDescent="0.35">
      <c r="A175" s="178" t="s">
        <v>322</v>
      </c>
      <c r="B175" s="179">
        <v>0</v>
      </c>
      <c r="C175" s="179">
        <v>0</v>
      </c>
      <c r="D175" s="179">
        <v>0</v>
      </c>
      <c r="E175" s="179">
        <v>0</v>
      </c>
      <c r="F175" s="179">
        <v>-1258.68</v>
      </c>
      <c r="G175" s="179">
        <v>-1258.68</v>
      </c>
    </row>
    <row r="176" spans="1:7" x14ac:dyDescent="0.35">
      <c r="A176" s="178" t="s">
        <v>323</v>
      </c>
      <c r="B176" s="179">
        <v>0</v>
      </c>
      <c r="C176" s="179">
        <v>0</v>
      </c>
      <c r="D176" s="179">
        <v>0</v>
      </c>
      <c r="E176" s="179">
        <v>0</v>
      </c>
      <c r="F176" s="179">
        <v>22404.32</v>
      </c>
      <c r="G176" s="179">
        <v>22404.32</v>
      </c>
    </row>
    <row r="177" spans="1:7" x14ac:dyDescent="0.35">
      <c r="A177" s="178" t="s">
        <v>324</v>
      </c>
      <c r="B177" s="179">
        <v>0</v>
      </c>
      <c r="C177" s="179">
        <v>0</v>
      </c>
      <c r="D177" s="179">
        <v>0</v>
      </c>
      <c r="E177" s="179">
        <v>28</v>
      </c>
      <c r="F177" s="179">
        <v>0</v>
      </c>
      <c r="G177" s="179">
        <v>28</v>
      </c>
    </row>
    <row r="178" spans="1:7" x14ac:dyDescent="0.35">
      <c r="A178" s="178" t="s">
        <v>325</v>
      </c>
      <c r="B178" s="179">
        <v>0</v>
      </c>
      <c r="C178" s="179">
        <v>0</v>
      </c>
      <c r="D178" s="179">
        <v>0</v>
      </c>
      <c r="E178" s="179">
        <v>17044.78</v>
      </c>
      <c r="F178" s="179">
        <v>46961.38</v>
      </c>
      <c r="G178" s="179">
        <v>64006.16</v>
      </c>
    </row>
    <row r="179" spans="1:7" x14ac:dyDescent="0.35">
      <c r="A179" s="178" t="s">
        <v>326</v>
      </c>
      <c r="B179" s="179">
        <v>0</v>
      </c>
      <c r="C179" s="179">
        <v>0</v>
      </c>
      <c r="D179" s="179">
        <v>0</v>
      </c>
      <c r="E179" s="179">
        <v>0</v>
      </c>
      <c r="F179" s="179">
        <v>5692.5</v>
      </c>
      <c r="G179" s="179">
        <v>5692.5</v>
      </c>
    </row>
    <row r="180" spans="1:7" x14ac:dyDescent="0.35">
      <c r="A180" s="178" t="s">
        <v>327</v>
      </c>
      <c r="B180" s="179">
        <v>0</v>
      </c>
      <c r="C180" s="179">
        <v>0</v>
      </c>
      <c r="D180" s="179">
        <v>0</v>
      </c>
      <c r="E180" s="179">
        <v>0</v>
      </c>
      <c r="F180" s="179">
        <v>14228.15</v>
      </c>
      <c r="G180" s="179">
        <v>14228.15</v>
      </c>
    </row>
    <row r="181" spans="1:7" x14ac:dyDescent="0.35">
      <c r="A181" s="178" t="s">
        <v>328</v>
      </c>
      <c r="B181" s="179">
        <v>0</v>
      </c>
      <c r="C181" s="179">
        <v>0</v>
      </c>
      <c r="D181" s="179">
        <v>0</v>
      </c>
      <c r="E181" s="179">
        <v>0</v>
      </c>
      <c r="F181" s="179">
        <v>4993.07</v>
      </c>
      <c r="G181" s="179">
        <v>4993.07</v>
      </c>
    </row>
    <row r="182" spans="1:7" x14ac:dyDescent="0.35">
      <c r="A182" s="178" t="s">
        <v>329</v>
      </c>
      <c r="B182" s="179">
        <v>0</v>
      </c>
      <c r="C182" s="179">
        <v>0</v>
      </c>
      <c r="D182" s="179">
        <v>0</v>
      </c>
      <c r="E182" s="179">
        <v>0</v>
      </c>
      <c r="F182" s="179">
        <v>4850.01</v>
      </c>
      <c r="G182" s="179">
        <v>4850.01</v>
      </c>
    </row>
    <row r="183" spans="1:7" x14ac:dyDescent="0.35">
      <c r="A183" s="178" t="s">
        <v>330</v>
      </c>
      <c r="B183" s="179">
        <v>0</v>
      </c>
      <c r="C183" s="179">
        <v>0</v>
      </c>
      <c r="D183" s="179">
        <v>0</v>
      </c>
      <c r="E183" s="179">
        <v>218637.08</v>
      </c>
      <c r="F183" s="179">
        <v>248355.1</v>
      </c>
      <c r="G183" s="179">
        <v>466992.18</v>
      </c>
    </row>
    <row r="184" spans="1:7" x14ac:dyDescent="0.35">
      <c r="A184" s="178" t="s">
        <v>331</v>
      </c>
      <c r="B184" s="179">
        <v>0</v>
      </c>
      <c r="C184" s="179">
        <v>0</v>
      </c>
      <c r="D184" s="179">
        <v>0</v>
      </c>
      <c r="E184" s="179">
        <v>0</v>
      </c>
      <c r="F184" s="179">
        <v>173.88</v>
      </c>
      <c r="G184" s="179">
        <v>173.88</v>
      </c>
    </row>
    <row r="185" spans="1:7" x14ac:dyDescent="0.35">
      <c r="A185" s="178" t="s">
        <v>332</v>
      </c>
      <c r="B185" s="179">
        <v>0</v>
      </c>
      <c r="C185" s="179">
        <v>0</v>
      </c>
      <c r="D185" s="179">
        <v>0</v>
      </c>
      <c r="E185" s="179">
        <v>42142.44</v>
      </c>
      <c r="F185" s="179">
        <v>0</v>
      </c>
      <c r="G185" s="179">
        <v>42142.44</v>
      </c>
    </row>
    <row r="186" spans="1:7" x14ac:dyDescent="0.35">
      <c r="A186" s="178" t="s">
        <v>333</v>
      </c>
      <c r="B186" s="179">
        <v>0</v>
      </c>
      <c r="C186" s="179">
        <v>0</v>
      </c>
      <c r="D186" s="179">
        <v>0</v>
      </c>
      <c r="E186" s="179">
        <v>44597.46</v>
      </c>
      <c r="F186" s="179">
        <v>0</v>
      </c>
      <c r="G186" s="179">
        <v>44597.46</v>
      </c>
    </row>
    <row r="187" spans="1:7" x14ac:dyDescent="0.35">
      <c r="A187" s="178" t="s">
        <v>334</v>
      </c>
      <c r="B187" s="179">
        <v>0</v>
      </c>
      <c r="C187" s="179">
        <v>0</v>
      </c>
      <c r="D187" s="179">
        <v>0</v>
      </c>
      <c r="E187" s="179">
        <v>0</v>
      </c>
      <c r="F187" s="179">
        <v>3739.98</v>
      </c>
      <c r="G187" s="179">
        <v>3739.98</v>
      </c>
    </row>
    <row r="188" spans="1:7" x14ac:dyDescent="0.35">
      <c r="A188" s="178" t="s">
        <v>335</v>
      </c>
      <c r="B188" s="179">
        <v>0</v>
      </c>
      <c r="C188" s="179">
        <v>0</v>
      </c>
      <c r="D188" s="179">
        <v>0</v>
      </c>
      <c r="E188" s="179">
        <v>0</v>
      </c>
      <c r="F188" s="179">
        <v>3636.3</v>
      </c>
      <c r="G188" s="179">
        <v>3636.3</v>
      </c>
    </row>
    <row r="189" spans="1:7" x14ac:dyDescent="0.35">
      <c r="A189" s="178" t="s">
        <v>336</v>
      </c>
      <c r="B189" s="179">
        <v>0</v>
      </c>
      <c r="C189" s="179">
        <v>0</v>
      </c>
      <c r="D189" s="179">
        <v>0</v>
      </c>
      <c r="E189" s="179">
        <v>0</v>
      </c>
      <c r="F189" s="179">
        <v>226.91</v>
      </c>
      <c r="G189" s="179">
        <v>226.91</v>
      </c>
    </row>
    <row r="190" spans="1:7" x14ac:dyDescent="0.35">
      <c r="A190" s="178" t="s">
        <v>337</v>
      </c>
      <c r="B190" s="179">
        <v>0</v>
      </c>
      <c r="C190" s="179">
        <v>0</v>
      </c>
      <c r="D190" s="179">
        <v>0</v>
      </c>
      <c r="E190" s="179">
        <v>0</v>
      </c>
      <c r="F190" s="179">
        <v>-2.2000000000000002</v>
      </c>
      <c r="G190" s="179">
        <v>-2.2000000000000002</v>
      </c>
    </row>
    <row r="191" spans="1:7" x14ac:dyDescent="0.35">
      <c r="A191" s="178" t="s">
        <v>338</v>
      </c>
      <c r="B191" s="179">
        <v>0</v>
      </c>
      <c r="C191" s="179">
        <v>0</v>
      </c>
      <c r="D191" s="179">
        <v>0</v>
      </c>
      <c r="E191" s="179">
        <v>0</v>
      </c>
      <c r="F191" s="179">
        <v>885.44</v>
      </c>
      <c r="G191" s="179">
        <v>885.44</v>
      </c>
    </row>
    <row r="192" spans="1:7" x14ac:dyDescent="0.35">
      <c r="A192" s="178" t="s">
        <v>339</v>
      </c>
      <c r="B192" s="179">
        <v>0</v>
      </c>
      <c r="C192" s="179">
        <v>0</v>
      </c>
      <c r="D192" s="179">
        <v>0</v>
      </c>
      <c r="E192" s="179">
        <v>-71.64</v>
      </c>
      <c r="F192" s="179">
        <v>0</v>
      </c>
      <c r="G192" s="179">
        <v>-71.64</v>
      </c>
    </row>
    <row r="193" spans="1:7" x14ac:dyDescent="0.35">
      <c r="A193" s="178" t="s">
        <v>340</v>
      </c>
      <c r="B193" s="179">
        <v>0</v>
      </c>
      <c r="C193" s="179">
        <v>0</v>
      </c>
      <c r="D193" s="179">
        <v>0</v>
      </c>
      <c r="E193" s="179">
        <v>1031.3900000000001</v>
      </c>
      <c r="F193" s="179">
        <v>1746.16</v>
      </c>
      <c r="G193" s="179">
        <v>2777.55</v>
      </c>
    </row>
    <row r="194" spans="1:7" x14ac:dyDescent="0.35">
      <c r="A194" s="178" t="s">
        <v>341</v>
      </c>
      <c r="B194" s="179">
        <v>0</v>
      </c>
      <c r="C194" s="179">
        <v>0</v>
      </c>
      <c r="D194" s="179">
        <v>0</v>
      </c>
      <c r="E194" s="179">
        <v>0</v>
      </c>
      <c r="F194" s="179">
        <v>-1569.92</v>
      </c>
      <c r="G194" s="179">
        <v>-1569.92</v>
      </c>
    </row>
    <row r="195" spans="1:7" x14ac:dyDescent="0.35">
      <c r="A195" s="178" t="s">
        <v>342</v>
      </c>
      <c r="B195" s="179">
        <v>0</v>
      </c>
      <c r="C195" s="179">
        <v>0</v>
      </c>
      <c r="D195" s="179">
        <v>0</v>
      </c>
      <c r="E195" s="179">
        <v>0</v>
      </c>
      <c r="F195" s="179">
        <v>7007.99</v>
      </c>
      <c r="G195" s="179">
        <v>7007.99</v>
      </c>
    </row>
    <row r="196" spans="1:7" x14ac:dyDescent="0.35">
      <c r="A196" s="178" t="s">
        <v>343</v>
      </c>
      <c r="B196" s="179">
        <v>0</v>
      </c>
      <c r="C196" s="179">
        <v>0</v>
      </c>
      <c r="D196" s="179">
        <v>0</v>
      </c>
      <c r="E196" s="179">
        <v>1903.83</v>
      </c>
      <c r="F196" s="179">
        <v>3597.2</v>
      </c>
      <c r="G196" s="179">
        <v>5501.03</v>
      </c>
    </row>
    <row r="197" spans="1:7" x14ac:dyDescent="0.35">
      <c r="A197" s="178" t="s">
        <v>344</v>
      </c>
      <c r="B197" s="179">
        <v>0</v>
      </c>
      <c r="C197" s="179">
        <v>0</v>
      </c>
      <c r="D197" s="179">
        <v>0</v>
      </c>
      <c r="E197" s="179">
        <v>-497.83</v>
      </c>
      <c r="F197" s="179">
        <v>0</v>
      </c>
      <c r="G197" s="179">
        <v>-497.83</v>
      </c>
    </row>
    <row r="198" spans="1:7" x14ac:dyDescent="0.35">
      <c r="A198" s="178" t="s">
        <v>345</v>
      </c>
      <c r="B198" s="179">
        <v>0</v>
      </c>
      <c r="C198" s="179">
        <v>48969.42</v>
      </c>
      <c r="D198" s="179">
        <v>64030.57</v>
      </c>
      <c r="E198" s="179">
        <v>39392.79</v>
      </c>
      <c r="F198" s="179">
        <v>35696.230000000003</v>
      </c>
      <c r="G198" s="179">
        <v>188089.01</v>
      </c>
    </row>
    <row r="199" spans="1:7" x14ac:dyDescent="0.35">
      <c r="A199" s="178" t="s">
        <v>346</v>
      </c>
      <c r="B199" s="179">
        <v>0</v>
      </c>
      <c r="C199" s="179">
        <v>0</v>
      </c>
      <c r="D199" s="179">
        <v>0</v>
      </c>
      <c r="E199" s="179">
        <v>0</v>
      </c>
      <c r="F199" s="179">
        <v>106502.14</v>
      </c>
      <c r="G199" s="179">
        <v>106502.14</v>
      </c>
    </row>
    <row r="200" spans="1:7" x14ac:dyDescent="0.35">
      <c r="A200" s="178" t="s">
        <v>347</v>
      </c>
      <c r="B200" s="179">
        <v>0</v>
      </c>
      <c r="C200" s="179">
        <v>0</v>
      </c>
      <c r="D200" s="179">
        <v>0</v>
      </c>
      <c r="E200" s="179">
        <v>0</v>
      </c>
      <c r="F200" s="179">
        <v>-1635.3</v>
      </c>
      <c r="G200" s="179">
        <v>-1635.3</v>
      </c>
    </row>
    <row r="201" spans="1:7" x14ac:dyDescent="0.35">
      <c r="A201" s="178" t="s">
        <v>348</v>
      </c>
      <c r="B201" s="179">
        <v>0</v>
      </c>
      <c r="C201" s="179">
        <v>0</v>
      </c>
      <c r="D201" s="179">
        <v>0</v>
      </c>
      <c r="E201" s="179">
        <v>0</v>
      </c>
      <c r="F201" s="179">
        <v>4497.25</v>
      </c>
      <c r="G201" s="179">
        <v>4497.25</v>
      </c>
    </row>
    <row r="202" spans="1:7" x14ac:dyDescent="0.35">
      <c r="A202" s="178" t="s">
        <v>349</v>
      </c>
      <c r="B202" s="179">
        <v>0</v>
      </c>
      <c r="C202" s="179">
        <v>0</v>
      </c>
      <c r="D202" s="179">
        <v>56445.46</v>
      </c>
      <c r="E202" s="179">
        <v>47591.44</v>
      </c>
      <c r="F202" s="179">
        <v>49520.5</v>
      </c>
      <c r="G202" s="179">
        <v>153557.4</v>
      </c>
    </row>
    <row r="203" spans="1:7" x14ac:dyDescent="0.35">
      <c r="A203" s="178" t="s">
        <v>350</v>
      </c>
      <c r="B203" s="179">
        <v>0</v>
      </c>
      <c r="C203" s="179">
        <v>0</v>
      </c>
      <c r="D203" s="179">
        <v>0</v>
      </c>
      <c r="E203" s="179">
        <v>0</v>
      </c>
      <c r="F203" s="179">
        <v>15340.08</v>
      </c>
      <c r="G203" s="179">
        <v>15340.08</v>
      </c>
    </row>
    <row r="204" spans="1:7" x14ac:dyDescent="0.35">
      <c r="A204" s="178" t="s">
        <v>351</v>
      </c>
      <c r="B204" s="179">
        <v>14608.46</v>
      </c>
      <c r="C204" s="179">
        <v>0</v>
      </c>
      <c r="D204" s="179">
        <v>0</v>
      </c>
      <c r="E204" s="179">
        <v>0</v>
      </c>
      <c r="F204" s="179">
        <v>0</v>
      </c>
      <c r="G204" s="179">
        <v>14608.46</v>
      </c>
    </row>
    <row r="205" spans="1:7" x14ac:dyDescent="0.35">
      <c r="A205" s="178" t="s">
        <v>352</v>
      </c>
      <c r="B205" s="179">
        <v>0</v>
      </c>
      <c r="C205" s="179">
        <v>0</v>
      </c>
      <c r="D205" s="179">
        <v>0</v>
      </c>
      <c r="E205" s="179">
        <v>0</v>
      </c>
      <c r="F205" s="179">
        <v>4828.12</v>
      </c>
      <c r="G205" s="179">
        <v>4828.12</v>
      </c>
    </row>
    <row r="206" spans="1:7" x14ac:dyDescent="0.35">
      <c r="A206" s="178" t="s">
        <v>353</v>
      </c>
      <c r="B206" s="179">
        <v>0</v>
      </c>
      <c r="C206" s="179">
        <v>0</v>
      </c>
      <c r="D206" s="179">
        <v>0</v>
      </c>
      <c r="E206" s="179">
        <v>0</v>
      </c>
      <c r="F206" s="179">
        <v>1020.51</v>
      </c>
      <c r="G206" s="179">
        <v>1020.51</v>
      </c>
    </row>
    <row r="207" spans="1:7" x14ac:dyDescent="0.35">
      <c r="A207" s="178" t="s">
        <v>354</v>
      </c>
      <c r="B207" s="179">
        <v>0</v>
      </c>
      <c r="C207" s="179">
        <v>0</v>
      </c>
      <c r="D207" s="179">
        <v>0</v>
      </c>
      <c r="E207" s="179">
        <v>10186.129999999999</v>
      </c>
      <c r="F207" s="179">
        <v>15780.42</v>
      </c>
      <c r="G207" s="179">
        <v>25966.55</v>
      </c>
    </row>
    <row r="208" spans="1:7" x14ac:dyDescent="0.35">
      <c r="A208" s="178" t="s">
        <v>355</v>
      </c>
      <c r="B208" s="179">
        <v>66578.97</v>
      </c>
      <c r="C208" s="179">
        <v>9832.5</v>
      </c>
      <c r="D208" s="179">
        <v>3941.51</v>
      </c>
      <c r="E208" s="179">
        <v>0</v>
      </c>
      <c r="F208" s="179">
        <v>0</v>
      </c>
      <c r="G208" s="179">
        <v>80352.98</v>
      </c>
    </row>
    <row r="209" spans="1:7" x14ac:dyDescent="0.35">
      <c r="A209" s="178" t="s">
        <v>356</v>
      </c>
      <c r="B209" s="179">
        <v>0</v>
      </c>
      <c r="C209" s="179">
        <v>4782.9799999999996</v>
      </c>
      <c r="D209" s="179">
        <v>0</v>
      </c>
      <c r="E209" s="179">
        <v>9083.92</v>
      </c>
      <c r="F209" s="179">
        <v>8941.08</v>
      </c>
      <c r="G209" s="179">
        <v>22807.98</v>
      </c>
    </row>
    <row r="210" spans="1:7" x14ac:dyDescent="0.35">
      <c r="A210" s="178" t="s">
        <v>357</v>
      </c>
      <c r="B210" s="179">
        <v>0</v>
      </c>
      <c r="C210" s="179">
        <v>0</v>
      </c>
      <c r="D210" s="179">
        <v>0</v>
      </c>
      <c r="E210" s="179">
        <v>0</v>
      </c>
      <c r="F210" s="179">
        <v>22842.81</v>
      </c>
      <c r="G210" s="179">
        <v>22842.81</v>
      </c>
    </row>
    <row r="211" spans="1:7" x14ac:dyDescent="0.35">
      <c r="A211" s="178" t="s">
        <v>358</v>
      </c>
      <c r="B211" s="179">
        <v>0</v>
      </c>
      <c r="C211" s="179">
        <v>0</v>
      </c>
      <c r="D211" s="179">
        <v>0</v>
      </c>
      <c r="E211" s="179">
        <v>0</v>
      </c>
      <c r="F211" s="179">
        <v>12033.31</v>
      </c>
      <c r="G211" s="179">
        <v>12033.31</v>
      </c>
    </row>
    <row r="212" spans="1:7" x14ac:dyDescent="0.35">
      <c r="A212" s="178" t="s">
        <v>359</v>
      </c>
      <c r="B212" s="179">
        <v>0</v>
      </c>
      <c r="C212" s="179">
        <v>0</v>
      </c>
      <c r="D212" s="179">
        <v>0</v>
      </c>
      <c r="E212" s="179">
        <v>-566.95000000000005</v>
      </c>
      <c r="F212" s="179">
        <v>0</v>
      </c>
      <c r="G212" s="179">
        <v>-566.95000000000005</v>
      </c>
    </row>
    <row r="213" spans="1:7" x14ac:dyDescent="0.35">
      <c r="A213" s="178" t="s">
        <v>360</v>
      </c>
      <c r="B213" s="179">
        <v>0</v>
      </c>
      <c r="C213" s="179">
        <v>-1539.8</v>
      </c>
      <c r="D213" s="179">
        <v>0</v>
      </c>
      <c r="E213" s="179">
        <v>0</v>
      </c>
      <c r="F213" s="179">
        <v>0</v>
      </c>
      <c r="G213" s="179">
        <v>-1539.8</v>
      </c>
    </row>
    <row r="214" spans="1:7" x14ac:dyDescent="0.35">
      <c r="A214" s="178" t="s">
        <v>361</v>
      </c>
      <c r="B214" s="179">
        <v>0</v>
      </c>
      <c r="C214" s="179">
        <v>0</v>
      </c>
      <c r="D214" s="179">
        <v>0</v>
      </c>
      <c r="E214" s="179">
        <v>0</v>
      </c>
      <c r="F214" s="179">
        <v>4681.99</v>
      </c>
      <c r="G214" s="179">
        <v>4681.99</v>
      </c>
    </row>
    <row r="215" spans="1:7" x14ac:dyDescent="0.35">
      <c r="A215" s="178" t="s">
        <v>362</v>
      </c>
      <c r="B215" s="179">
        <v>46411.27</v>
      </c>
      <c r="C215" s="179">
        <v>0</v>
      </c>
      <c r="D215" s="179">
        <v>0</v>
      </c>
      <c r="E215" s="179">
        <v>0</v>
      </c>
      <c r="F215" s="179">
        <v>0</v>
      </c>
      <c r="G215" s="179">
        <v>46411.27</v>
      </c>
    </row>
    <row r="216" spans="1:7" x14ac:dyDescent="0.35">
      <c r="A216" s="178" t="s">
        <v>363</v>
      </c>
      <c r="B216" s="179">
        <v>0</v>
      </c>
      <c r="C216" s="179">
        <v>0</v>
      </c>
      <c r="D216" s="179">
        <v>0</v>
      </c>
      <c r="E216" s="179">
        <v>50593.86</v>
      </c>
      <c r="F216" s="179">
        <v>28448.560000000001</v>
      </c>
      <c r="G216" s="179">
        <v>79042.42</v>
      </c>
    </row>
    <row r="217" spans="1:7" x14ac:dyDescent="0.35">
      <c r="A217" s="178" t="s">
        <v>364</v>
      </c>
      <c r="B217" s="179">
        <v>0</v>
      </c>
      <c r="C217" s="179">
        <v>0</v>
      </c>
      <c r="D217" s="179">
        <v>0</v>
      </c>
      <c r="E217" s="179">
        <v>0</v>
      </c>
      <c r="F217" s="179">
        <v>1937.52</v>
      </c>
      <c r="G217" s="179">
        <v>1937.52</v>
      </c>
    </row>
    <row r="218" spans="1:7" x14ac:dyDescent="0.35">
      <c r="A218" s="178" t="s">
        <v>365</v>
      </c>
      <c r="B218" s="179">
        <v>0</v>
      </c>
      <c r="C218" s="179">
        <v>0</v>
      </c>
      <c r="D218" s="179">
        <v>0</v>
      </c>
      <c r="E218" s="179">
        <v>0</v>
      </c>
      <c r="F218" s="179">
        <v>4980.9399999999996</v>
      </c>
      <c r="G218" s="179">
        <v>4980.9399999999996</v>
      </c>
    </row>
    <row r="219" spans="1:7" x14ac:dyDescent="0.35">
      <c r="A219" s="178" t="s">
        <v>366</v>
      </c>
      <c r="B219" s="179">
        <v>0</v>
      </c>
      <c r="C219" s="179">
        <v>0</v>
      </c>
      <c r="D219" s="179">
        <v>0</v>
      </c>
      <c r="E219" s="179">
        <v>0</v>
      </c>
      <c r="F219" s="179">
        <v>2932.78</v>
      </c>
      <c r="G219" s="179">
        <v>2932.78</v>
      </c>
    </row>
    <row r="220" spans="1:7" x14ac:dyDescent="0.35">
      <c r="A220" s="178" t="s">
        <v>367</v>
      </c>
      <c r="B220" s="179">
        <v>0</v>
      </c>
      <c r="C220" s="179">
        <v>0</v>
      </c>
      <c r="D220" s="179">
        <v>0</v>
      </c>
      <c r="E220" s="179">
        <v>0</v>
      </c>
      <c r="F220" s="179">
        <v>-586.5</v>
      </c>
      <c r="G220" s="179">
        <v>-586.5</v>
      </c>
    </row>
    <row r="221" spans="1:7" x14ac:dyDescent="0.35">
      <c r="A221" s="178" t="s">
        <v>368</v>
      </c>
      <c r="B221" s="179">
        <v>0</v>
      </c>
      <c r="C221" s="179">
        <v>0</v>
      </c>
      <c r="D221" s="179">
        <v>0</v>
      </c>
      <c r="E221" s="179">
        <v>0</v>
      </c>
      <c r="F221" s="179">
        <v>750.25</v>
      </c>
      <c r="G221" s="179">
        <v>750.25</v>
      </c>
    </row>
    <row r="222" spans="1:7" x14ac:dyDescent="0.35">
      <c r="A222" s="178" t="s">
        <v>369</v>
      </c>
      <c r="B222" s="179">
        <v>0</v>
      </c>
      <c r="C222" s="179">
        <v>0</v>
      </c>
      <c r="D222" s="179">
        <v>0</v>
      </c>
      <c r="E222" s="179">
        <v>0</v>
      </c>
      <c r="F222" s="179">
        <v>27913.78</v>
      </c>
      <c r="G222" s="179">
        <v>27913.78</v>
      </c>
    </row>
    <row r="223" spans="1:7" x14ac:dyDescent="0.35">
      <c r="A223" s="178" t="s">
        <v>370</v>
      </c>
      <c r="B223" s="179">
        <v>0</v>
      </c>
      <c r="C223" s="179">
        <v>0</v>
      </c>
      <c r="D223" s="179">
        <v>0</v>
      </c>
      <c r="E223" s="179">
        <v>0</v>
      </c>
      <c r="F223" s="179">
        <v>22169.7</v>
      </c>
      <c r="G223" s="179">
        <v>22169.7</v>
      </c>
    </row>
    <row r="224" spans="1:7" x14ac:dyDescent="0.35">
      <c r="A224" s="178" t="s">
        <v>371</v>
      </c>
      <c r="B224" s="179">
        <v>0</v>
      </c>
      <c r="C224" s="179">
        <v>0</v>
      </c>
      <c r="D224" s="179">
        <v>0</v>
      </c>
      <c r="E224" s="179">
        <v>0</v>
      </c>
      <c r="F224" s="179">
        <v>4165.7</v>
      </c>
      <c r="G224" s="179">
        <v>4165.7</v>
      </c>
    </row>
    <row r="225" spans="1:7" x14ac:dyDescent="0.35">
      <c r="A225" s="178" t="s">
        <v>372</v>
      </c>
      <c r="B225" s="179">
        <v>0</v>
      </c>
      <c r="C225" s="179">
        <v>0</v>
      </c>
      <c r="D225" s="179">
        <v>0</v>
      </c>
      <c r="E225" s="179">
        <v>-0.05</v>
      </c>
      <c r="F225" s="179">
        <v>-24.32</v>
      </c>
      <c r="G225" s="179">
        <v>-24.37</v>
      </c>
    </row>
    <row r="226" spans="1:7" x14ac:dyDescent="0.35">
      <c r="A226" s="178" t="s">
        <v>373</v>
      </c>
      <c r="B226" s="179">
        <v>0</v>
      </c>
      <c r="C226" s="179">
        <v>0</v>
      </c>
      <c r="D226" s="179">
        <v>0</v>
      </c>
      <c r="E226" s="179">
        <v>0</v>
      </c>
      <c r="F226" s="179">
        <v>-100</v>
      </c>
      <c r="G226" s="179">
        <v>-100</v>
      </c>
    </row>
    <row r="227" spans="1:7" x14ac:dyDescent="0.35">
      <c r="A227" s="178" t="s">
        <v>374</v>
      </c>
      <c r="B227" s="179">
        <v>0</v>
      </c>
      <c r="C227" s="179">
        <v>0</v>
      </c>
      <c r="D227" s="179">
        <v>0</v>
      </c>
      <c r="E227" s="179">
        <v>0</v>
      </c>
      <c r="F227" s="179">
        <v>6416.46</v>
      </c>
      <c r="G227" s="179">
        <v>6416.46</v>
      </c>
    </row>
    <row r="228" spans="1:7" x14ac:dyDescent="0.35">
      <c r="A228" s="178" t="s">
        <v>375</v>
      </c>
      <c r="B228" s="179">
        <v>0</v>
      </c>
      <c r="C228" s="179">
        <v>0</v>
      </c>
      <c r="D228" s="179">
        <v>809.03</v>
      </c>
      <c r="E228" s="179">
        <v>35691.18</v>
      </c>
      <c r="F228" s="179">
        <v>70673.210000000006</v>
      </c>
      <c r="G228" s="179">
        <v>107173.42</v>
      </c>
    </row>
    <row r="229" spans="1:7" x14ac:dyDescent="0.35">
      <c r="A229" s="178" t="s">
        <v>376</v>
      </c>
      <c r="B229" s="179">
        <v>0</v>
      </c>
      <c r="C229" s="179">
        <v>0</v>
      </c>
      <c r="D229" s="179">
        <v>0</v>
      </c>
      <c r="E229" s="179">
        <v>0</v>
      </c>
      <c r="F229" s="179">
        <v>4548.1899999999996</v>
      </c>
      <c r="G229" s="179">
        <v>4548.1899999999996</v>
      </c>
    </row>
    <row r="230" spans="1:7" x14ac:dyDescent="0.35">
      <c r="A230" s="178" t="s">
        <v>377</v>
      </c>
      <c r="B230" s="179">
        <v>0</v>
      </c>
      <c r="C230" s="179">
        <v>0</v>
      </c>
      <c r="D230" s="179">
        <v>0</v>
      </c>
      <c r="E230" s="179">
        <v>55542.84</v>
      </c>
      <c r="F230" s="179">
        <v>0</v>
      </c>
      <c r="G230" s="179">
        <v>55542.84</v>
      </c>
    </row>
    <row r="231" spans="1:7" x14ac:dyDescent="0.35">
      <c r="A231" s="178" t="s">
        <v>378</v>
      </c>
      <c r="B231" s="179">
        <v>0</v>
      </c>
      <c r="C231" s="179">
        <v>0</v>
      </c>
      <c r="D231" s="179">
        <v>0</v>
      </c>
      <c r="E231" s="179">
        <v>0</v>
      </c>
      <c r="F231" s="179">
        <v>14356.45</v>
      </c>
      <c r="G231" s="179">
        <v>14356.45</v>
      </c>
    </row>
    <row r="232" spans="1:7" x14ac:dyDescent="0.35">
      <c r="A232" s="178" t="s">
        <v>379</v>
      </c>
      <c r="B232" s="179">
        <v>0</v>
      </c>
      <c r="C232" s="179">
        <v>0</v>
      </c>
      <c r="D232" s="179">
        <v>0</v>
      </c>
      <c r="E232" s="179">
        <v>0</v>
      </c>
      <c r="F232" s="179">
        <v>914.83</v>
      </c>
      <c r="G232" s="179">
        <v>914.83</v>
      </c>
    </row>
    <row r="233" spans="1:7" x14ac:dyDescent="0.35">
      <c r="A233" s="178" t="s">
        <v>380</v>
      </c>
      <c r="B233" s="179">
        <v>0</v>
      </c>
      <c r="C233" s="179">
        <v>11031.94</v>
      </c>
      <c r="D233" s="179">
        <v>8279.43</v>
      </c>
      <c r="E233" s="179">
        <v>0</v>
      </c>
      <c r="F233" s="179">
        <v>0</v>
      </c>
      <c r="G233" s="179">
        <v>19311.37</v>
      </c>
    </row>
    <row r="234" spans="1:7" x14ac:dyDescent="0.35">
      <c r="A234" s="178" t="s">
        <v>381</v>
      </c>
      <c r="B234" s="179">
        <v>0</v>
      </c>
      <c r="C234" s="179">
        <v>0</v>
      </c>
      <c r="D234" s="179">
        <v>0</v>
      </c>
      <c r="E234" s="179">
        <v>0</v>
      </c>
      <c r="F234" s="179">
        <v>-1950.78</v>
      </c>
      <c r="G234" s="179">
        <v>-1950.78</v>
      </c>
    </row>
    <row r="235" spans="1:7" x14ac:dyDescent="0.35">
      <c r="A235" s="178" t="s">
        <v>382</v>
      </c>
      <c r="B235" s="179">
        <v>37960.480000000003</v>
      </c>
      <c r="C235" s="179">
        <v>32941.949999999997</v>
      </c>
      <c r="D235" s="179">
        <v>29260.33</v>
      </c>
      <c r="E235" s="179">
        <v>17261.5</v>
      </c>
      <c r="F235" s="179">
        <v>14621.1</v>
      </c>
      <c r="G235" s="179">
        <v>132045.35999999999</v>
      </c>
    </row>
    <row r="236" spans="1:7" x14ac:dyDescent="0.35">
      <c r="A236" s="178" t="s">
        <v>383</v>
      </c>
      <c r="B236" s="179">
        <v>0</v>
      </c>
      <c r="C236" s="179">
        <v>0</v>
      </c>
      <c r="D236" s="179">
        <v>0</v>
      </c>
      <c r="E236" s="179">
        <v>0</v>
      </c>
      <c r="F236" s="179">
        <v>1611.44</v>
      </c>
      <c r="G236" s="179">
        <v>1611.44</v>
      </c>
    </row>
    <row r="237" spans="1:7" x14ac:dyDescent="0.35">
      <c r="A237" s="178" t="s">
        <v>384</v>
      </c>
      <c r="B237" s="179">
        <v>0</v>
      </c>
      <c r="C237" s="179">
        <v>0</v>
      </c>
      <c r="D237" s="179">
        <v>0</v>
      </c>
      <c r="E237" s="179">
        <v>0</v>
      </c>
      <c r="F237" s="179">
        <v>6081.48</v>
      </c>
      <c r="G237" s="179">
        <v>6081.48</v>
      </c>
    </row>
    <row r="238" spans="1:7" x14ac:dyDescent="0.35">
      <c r="A238" s="178" t="s">
        <v>385</v>
      </c>
      <c r="B238" s="179">
        <v>0</v>
      </c>
      <c r="C238" s="179">
        <v>0</v>
      </c>
      <c r="D238" s="179">
        <v>0</v>
      </c>
      <c r="E238" s="179">
        <v>16173.95</v>
      </c>
      <c r="F238" s="179">
        <v>29472.68</v>
      </c>
      <c r="G238" s="179">
        <v>45646.63</v>
      </c>
    </row>
    <row r="239" spans="1:7" x14ac:dyDescent="0.35">
      <c r="A239" s="178" t="s">
        <v>386</v>
      </c>
      <c r="B239" s="179">
        <v>-171.06</v>
      </c>
      <c r="C239" s="179">
        <v>0</v>
      </c>
      <c r="D239" s="179">
        <v>0</v>
      </c>
      <c r="E239" s="179">
        <v>-1573.49</v>
      </c>
      <c r="F239" s="179">
        <v>0</v>
      </c>
      <c r="G239" s="179">
        <v>-1744.55</v>
      </c>
    </row>
    <row r="240" spans="1:7" x14ac:dyDescent="0.35">
      <c r="A240" s="178" t="s">
        <v>387</v>
      </c>
      <c r="B240" s="179">
        <v>0</v>
      </c>
      <c r="C240" s="179">
        <v>0</v>
      </c>
      <c r="D240" s="179">
        <v>-173.42</v>
      </c>
      <c r="E240" s="179">
        <v>0</v>
      </c>
      <c r="F240" s="179">
        <v>0</v>
      </c>
      <c r="G240" s="179">
        <v>-173.42</v>
      </c>
    </row>
    <row r="241" spans="1:7" x14ac:dyDescent="0.35">
      <c r="A241" s="178" t="s">
        <v>388</v>
      </c>
      <c r="B241" s="179">
        <v>0</v>
      </c>
      <c r="C241" s="179">
        <v>17811.62</v>
      </c>
      <c r="D241" s="179">
        <v>6363.81</v>
      </c>
      <c r="E241" s="179">
        <v>5845.92</v>
      </c>
      <c r="F241" s="179">
        <v>12582.72</v>
      </c>
      <c r="G241" s="179">
        <v>42604.07</v>
      </c>
    </row>
    <row r="242" spans="1:7" x14ac:dyDescent="0.35">
      <c r="A242" s="178" t="s">
        <v>389</v>
      </c>
      <c r="B242" s="179">
        <v>0</v>
      </c>
      <c r="C242" s="179">
        <v>0</v>
      </c>
      <c r="D242" s="179">
        <v>0</v>
      </c>
      <c r="E242" s="179">
        <v>0</v>
      </c>
      <c r="F242" s="179">
        <v>2952.74</v>
      </c>
      <c r="G242" s="179">
        <v>2952.74</v>
      </c>
    </row>
    <row r="243" spans="1:7" x14ac:dyDescent="0.35">
      <c r="A243" s="178" t="s">
        <v>390</v>
      </c>
      <c r="B243" s="179">
        <v>0</v>
      </c>
      <c r="C243" s="179">
        <v>0</v>
      </c>
      <c r="D243" s="179">
        <v>0</v>
      </c>
      <c r="E243" s="179">
        <v>0</v>
      </c>
      <c r="F243" s="179">
        <v>-4070.08</v>
      </c>
      <c r="G243" s="179">
        <v>-4070.08</v>
      </c>
    </row>
    <row r="244" spans="1:7" x14ac:dyDescent="0.35">
      <c r="A244" s="178" t="s">
        <v>391</v>
      </c>
      <c r="B244" s="179">
        <v>0</v>
      </c>
      <c r="C244" s="179">
        <v>0</v>
      </c>
      <c r="D244" s="179">
        <v>0</v>
      </c>
      <c r="E244" s="179">
        <v>0</v>
      </c>
      <c r="F244" s="179">
        <v>102554.6</v>
      </c>
      <c r="G244" s="179">
        <v>102554.6</v>
      </c>
    </row>
    <row r="245" spans="1:7" x14ac:dyDescent="0.35">
      <c r="A245" s="178" t="s">
        <v>392</v>
      </c>
      <c r="B245" s="179">
        <v>0</v>
      </c>
      <c r="C245" s="179">
        <v>0</v>
      </c>
      <c r="D245" s="179">
        <v>0</v>
      </c>
      <c r="E245" s="179">
        <v>-4302.1000000000004</v>
      </c>
      <c r="F245" s="179">
        <v>0</v>
      </c>
      <c r="G245" s="179">
        <v>-4302.1000000000004</v>
      </c>
    </row>
    <row r="246" spans="1:7" x14ac:dyDescent="0.35">
      <c r="A246" s="178" t="s">
        <v>393</v>
      </c>
      <c r="B246" s="179">
        <v>0</v>
      </c>
      <c r="C246" s="179">
        <v>0</v>
      </c>
      <c r="D246" s="179">
        <v>0</v>
      </c>
      <c r="E246" s="179">
        <v>7061.65</v>
      </c>
      <c r="F246" s="179">
        <v>86887.98</v>
      </c>
      <c r="G246" s="179">
        <v>93949.63</v>
      </c>
    </row>
    <row r="247" spans="1:7" x14ac:dyDescent="0.35">
      <c r="A247" s="178" t="s">
        <v>394</v>
      </c>
      <c r="B247" s="179">
        <v>0</v>
      </c>
      <c r="C247" s="179">
        <v>0</v>
      </c>
      <c r="D247" s="179">
        <v>0</v>
      </c>
      <c r="E247" s="179">
        <v>0</v>
      </c>
      <c r="F247" s="179">
        <v>6085.8</v>
      </c>
      <c r="G247" s="179">
        <v>6085.8</v>
      </c>
    </row>
    <row r="248" spans="1:7" x14ac:dyDescent="0.35">
      <c r="A248" s="178" t="s">
        <v>395</v>
      </c>
      <c r="B248" s="179">
        <v>0</v>
      </c>
      <c r="C248" s="179">
        <v>0</v>
      </c>
      <c r="D248" s="179">
        <v>0</v>
      </c>
      <c r="E248" s="179">
        <v>0</v>
      </c>
      <c r="F248" s="179">
        <v>3877.72</v>
      </c>
      <c r="G248" s="179">
        <v>3877.72</v>
      </c>
    </row>
    <row r="249" spans="1:7" x14ac:dyDescent="0.35">
      <c r="A249" s="178" t="s">
        <v>396</v>
      </c>
      <c r="B249" s="179">
        <v>0</v>
      </c>
      <c r="C249" s="179">
        <v>0</v>
      </c>
      <c r="D249" s="179">
        <v>0</v>
      </c>
      <c r="E249" s="179">
        <v>0</v>
      </c>
      <c r="F249" s="179">
        <v>6761.03</v>
      </c>
      <c r="G249" s="179">
        <v>6761.03</v>
      </c>
    </row>
    <row r="250" spans="1:7" x14ac:dyDescent="0.35">
      <c r="A250" s="178" t="s">
        <v>397</v>
      </c>
      <c r="B250" s="179">
        <v>0</v>
      </c>
      <c r="C250" s="179">
        <v>0</v>
      </c>
      <c r="D250" s="179">
        <v>0</v>
      </c>
      <c r="E250" s="179">
        <v>0</v>
      </c>
      <c r="F250" s="179">
        <v>284.97000000000003</v>
      </c>
      <c r="G250" s="179">
        <v>284.97000000000003</v>
      </c>
    </row>
    <row r="251" spans="1:7" x14ac:dyDescent="0.35">
      <c r="A251" s="178" t="s">
        <v>398</v>
      </c>
      <c r="B251" s="179">
        <v>0</v>
      </c>
      <c r="C251" s="179">
        <v>0</v>
      </c>
      <c r="D251" s="179">
        <v>0</v>
      </c>
      <c r="E251" s="179">
        <v>0</v>
      </c>
      <c r="F251" s="179">
        <v>5938.95</v>
      </c>
      <c r="G251" s="179">
        <v>5938.95</v>
      </c>
    </row>
    <row r="252" spans="1:7" x14ac:dyDescent="0.35">
      <c r="A252" s="178" t="s">
        <v>399</v>
      </c>
      <c r="B252" s="179">
        <v>0</v>
      </c>
      <c r="C252" s="179">
        <v>0</v>
      </c>
      <c r="D252" s="179">
        <v>0</v>
      </c>
      <c r="E252" s="179">
        <v>0</v>
      </c>
      <c r="F252" s="179">
        <v>1718.1</v>
      </c>
      <c r="G252" s="179">
        <v>1718.1</v>
      </c>
    </row>
    <row r="253" spans="1:7" x14ac:dyDescent="0.35">
      <c r="A253" s="178" t="s">
        <v>400</v>
      </c>
      <c r="B253" s="179">
        <v>0</v>
      </c>
      <c r="C253" s="179">
        <v>0</v>
      </c>
      <c r="D253" s="179">
        <v>0</v>
      </c>
      <c r="E253" s="179">
        <v>0</v>
      </c>
      <c r="F253" s="179">
        <v>18645.48</v>
      </c>
      <c r="G253" s="179">
        <v>18645.48</v>
      </c>
    </row>
    <row r="254" spans="1:7" x14ac:dyDescent="0.35">
      <c r="A254" s="178" t="s">
        <v>401</v>
      </c>
      <c r="B254" s="179">
        <v>233005.84</v>
      </c>
      <c r="C254" s="179">
        <v>517460.73</v>
      </c>
      <c r="D254" s="179">
        <v>339704.74</v>
      </c>
      <c r="E254" s="179">
        <v>2659650.17</v>
      </c>
      <c r="F254" s="179">
        <v>5750509.4800000004</v>
      </c>
      <c r="G254" s="179">
        <v>9500330.9600000009</v>
      </c>
    </row>
    <row r="255" spans="1:7" x14ac:dyDescent="0.35">
      <c r="A255" s="178" t="s">
        <v>402</v>
      </c>
      <c r="B255" s="180" t="s">
        <v>403</v>
      </c>
      <c r="C255" s="180" t="s">
        <v>404</v>
      </c>
      <c r="D255" s="180" t="s">
        <v>405</v>
      </c>
      <c r="E255" s="180" t="s">
        <v>406</v>
      </c>
      <c r="F255" s="180" t="s">
        <v>407</v>
      </c>
      <c r="G255" s="180" t="s">
        <v>408</v>
      </c>
    </row>
    <row r="256" spans="1:7" x14ac:dyDescent="0.35">
      <c r="A256" s="178" t="s">
        <v>409</v>
      </c>
      <c r="B256" s="180" t="s">
        <v>63</v>
      </c>
      <c r="C256" s="180" t="s">
        <v>63</v>
      </c>
      <c r="D256" s="180" t="s">
        <v>63</v>
      </c>
      <c r="E256" s="180" t="s">
        <v>63</v>
      </c>
      <c r="F256" s="180" t="s">
        <v>63</v>
      </c>
      <c r="G256" s="179">
        <v>9500330.9600000009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opLeftCell="A4" workbookViewId="0">
      <selection activeCell="F5" sqref="F5"/>
    </sheetView>
  </sheetViews>
  <sheetFormatPr defaultRowHeight="14.5" x14ac:dyDescent="0.35"/>
  <cols>
    <col min="1" max="1" width="45" customWidth="1"/>
    <col min="2" max="5" width="8.81640625" style="179" bestFit="1" customWidth="1"/>
    <col min="6" max="7" width="12.36328125" style="179" bestFit="1" customWidth="1"/>
  </cols>
  <sheetData>
    <row r="1" spans="1:7" x14ac:dyDescent="0.35">
      <c r="A1" s="178" t="s">
        <v>61</v>
      </c>
    </row>
    <row r="2" spans="1:7" x14ac:dyDescent="0.35">
      <c r="A2" s="178" t="s">
        <v>2921</v>
      </c>
    </row>
    <row r="3" spans="1:7" x14ac:dyDescent="0.35">
      <c r="A3" s="178" t="s">
        <v>144</v>
      </c>
      <c r="B3" s="180" t="s">
        <v>145</v>
      </c>
      <c r="C3" s="180" t="s">
        <v>146</v>
      </c>
      <c r="D3" s="180" t="s">
        <v>147</v>
      </c>
      <c r="E3" s="180" t="s">
        <v>148</v>
      </c>
      <c r="F3" s="180" t="s">
        <v>149</v>
      </c>
      <c r="G3" s="180" t="s">
        <v>150</v>
      </c>
    </row>
    <row r="4" spans="1:7" x14ac:dyDescent="0.35">
      <c r="A4" s="178" t="s">
        <v>2922</v>
      </c>
      <c r="B4" s="179">
        <v>0</v>
      </c>
      <c r="C4" s="179">
        <v>0</v>
      </c>
      <c r="D4" s="179">
        <v>0</v>
      </c>
      <c r="E4" s="179">
        <v>460</v>
      </c>
      <c r="F4" s="179">
        <v>46143.75</v>
      </c>
      <c r="G4" s="179">
        <v>46603.75</v>
      </c>
    </row>
    <row r="5" spans="1:7" x14ac:dyDescent="0.35">
      <c r="A5" s="178" t="s">
        <v>2923</v>
      </c>
      <c r="B5" s="179">
        <v>0</v>
      </c>
      <c r="C5" s="179">
        <v>0</v>
      </c>
      <c r="D5" s="179">
        <v>0</v>
      </c>
      <c r="E5" s="179">
        <v>0</v>
      </c>
      <c r="F5" s="179">
        <v>-56198.37</v>
      </c>
      <c r="G5" s="179">
        <v>-56198.37</v>
      </c>
    </row>
    <row r="6" spans="1:7" x14ac:dyDescent="0.35">
      <c r="A6" s="178" t="s">
        <v>2924</v>
      </c>
      <c r="B6" s="179">
        <v>0</v>
      </c>
      <c r="C6" s="179">
        <v>0</v>
      </c>
      <c r="D6" s="179">
        <v>0</v>
      </c>
      <c r="E6" s="179">
        <v>0</v>
      </c>
      <c r="F6" s="179">
        <v>954.87</v>
      </c>
      <c r="G6" s="179">
        <v>954.87</v>
      </c>
    </row>
    <row r="7" spans="1:7" x14ac:dyDescent="0.35">
      <c r="A7" s="178" t="s">
        <v>2925</v>
      </c>
      <c r="B7" s="179">
        <v>0</v>
      </c>
      <c r="C7" s="179">
        <v>0</v>
      </c>
      <c r="D7" s="179">
        <v>0</v>
      </c>
      <c r="E7" s="179">
        <v>0</v>
      </c>
      <c r="F7" s="179">
        <v>32227.73</v>
      </c>
      <c r="G7" s="179">
        <v>32227.73</v>
      </c>
    </row>
    <row r="8" spans="1:7" x14ac:dyDescent="0.35">
      <c r="A8" s="178" t="s">
        <v>2926</v>
      </c>
      <c r="B8" s="179">
        <v>0</v>
      </c>
      <c r="C8" s="179">
        <v>0</v>
      </c>
      <c r="D8" s="179">
        <v>0</v>
      </c>
      <c r="E8" s="179">
        <v>0</v>
      </c>
      <c r="F8" s="179">
        <v>4403</v>
      </c>
      <c r="G8" s="179">
        <v>4403</v>
      </c>
    </row>
    <row r="9" spans="1:7" x14ac:dyDescent="0.35">
      <c r="A9" s="178" t="s">
        <v>2927</v>
      </c>
      <c r="B9" s="179">
        <v>0</v>
      </c>
      <c r="C9" s="179">
        <v>0</v>
      </c>
      <c r="D9" s="179">
        <v>0</v>
      </c>
      <c r="E9" s="179">
        <v>0</v>
      </c>
      <c r="F9" s="179">
        <v>12252.61</v>
      </c>
      <c r="G9" s="179">
        <v>12252.61</v>
      </c>
    </row>
    <row r="10" spans="1:7" x14ac:dyDescent="0.35">
      <c r="A10" s="178" t="s">
        <v>2928</v>
      </c>
      <c r="B10" s="179">
        <v>0</v>
      </c>
      <c r="C10" s="179">
        <v>0</v>
      </c>
      <c r="D10" s="179">
        <v>0</v>
      </c>
      <c r="E10" s="179">
        <v>0</v>
      </c>
      <c r="F10" s="179">
        <v>127619.78</v>
      </c>
      <c r="G10" s="179">
        <v>127619.78</v>
      </c>
    </row>
    <row r="11" spans="1:7" x14ac:dyDescent="0.35">
      <c r="A11" s="178" t="s">
        <v>2929</v>
      </c>
      <c r="B11" s="179">
        <v>0</v>
      </c>
      <c r="C11" s="179">
        <v>0</v>
      </c>
      <c r="D11" s="179">
        <v>0</v>
      </c>
      <c r="E11" s="179">
        <v>0</v>
      </c>
      <c r="F11" s="179">
        <v>55848.07</v>
      </c>
      <c r="G11" s="179">
        <v>55848.07</v>
      </c>
    </row>
    <row r="12" spans="1:7" x14ac:dyDescent="0.35">
      <c r="A12" s="178" t="s">
        <v>2930</v>
      </c>
      <c r="B12" s="179">
        <v>0</v>
      </c>
      <c r="C12" s="179">
        <v>0</v>
      </c>
      <c r="D12" s="179">
        <v>0</v>
      </c>
      <c r="E12" s="179">
        <v>0</v>
      </c>
      <c r="F12" s="179">
        <v>11034.65</v>
      </c>
      <c r="G12" s="179">
        <v>11034.65</v>
      </c>
    </row>
    <row r="13" spans="1:7" x14ac:dyDescent="0.35">
      <c r="A13" s="178" t="s">
        <v>2931</v>
      </c>
      <c r="B13" s="179">
        <v>0</v>
      </c>
      <c r="C13" s="179">
        <v>0</v>
      </c>
      <c r="D13" s="179">
        <v>0</v>
      </c>
      <c r="E13" s="179">
        <v>0</v>
      </c>
      <c r="F13" s="179">
        <v>1172.3499999999999</v>
      </c>
      <c r="G13" s="179">
        <v>1172.3499999999999</v>
      </c>
    </row>
    <row r="14" spans="1:7" x14ac:dyDescent="0.35">
      <c r="A14" s="178" t="s">
        <v>2932</v>
      </c>
      <c r="B14" s="179">
        <v>0</v>
      </c>
      <c r="C14" s="179">
        <v>0</v>
      </c>
      <c r="D14" s="179">
        <v>0</v>
      </c>
      <c r="E14" s="179">
        <v>0</v>
      </c>
      <c r="F14" s="179">
        <v>8330</v>
      </c>
      <c r="G14" s="179">
        <v>8330</v>
      </c>
    </row>
    <row r="15" spans="1:7" x14ac:dyDescent="0.35">
      <c r="A15" s="178" t="s">
        <v>2933</v>
      </c>
      <c r="B15" s="179">
        <v>0</v>
      </c>
      <c r="C15" s="179">
        <v>0</v>
      </c>
      <c r="D15" s="179">
        <v>0</v>
      </c>
      <c r="E15" s="179">
        <v>0</v>
      </c>
      <c r="F15" s="179">
        <v>-1.6</v>
      </c>
      <c r="G15" s="179">
        <v>-1.6</v>
      </c>
    </row>
    <row r="16" spans="1:7" x14ac:dyDescent="0.35">
      <c r="A16" s="178" t="s">
        <v>2934</v>
      </c>
      <c r="B16" s="179">
        <v>0</v>
      </c>
      <c r="C16" s="179">
        <v>0</v>
      </c>
      <c r="D16" s="179">
        <v>0</v>
      </c>
      <c r="E16" s="179">
        <v>0</v>
      </c>
      <c r="F16" s="179">
        <v>3007287.11</v>
      </c>
      <c r="G16" s="179">
        <v>3007287.11</v>
      </c>
    </row>
    <row r="17" spans="1:7" x14ac:dyDescent="0.35">
      <c r="A17" s="178" t="s">
        <v>2935</v>
      </c>
      <c r="B17" s="179">
        <v>0</v>
      </c>
      <c r="C17" s="179">
        <v>0</v>
      </c>
      <c r="D17" s="179">
        <v>0</v>
      </c>
      <c r="E17" s="179">
        <v>0</v>
      </c>
      <c r="F17" s="179">
        <v>-13654.27</v>
      </c>
      <c r="G17" s="179">
        <v>-13654.27</v>
      </c>
    </row>
    <row r="18" spans="1:7" x14ac:dyDescent="0.35">
      <c r="A18" s="178" t="s">
        <v>2936</v>
      </c>
      <c r="B18" s="179">
        <v>0</v>
      </c>
      <c r="C18" s="179">
        <v>0</v>
      </c>
      <c r="D18" s="179">
        <v>0</v>
      </c>
      <c r="E18" s="179">
        <v>0</v>
      </c>
      <c r="F18" s="179">
        <v>813.34</v>
      </c>
      <c r="G18" s="179">
        <v>813.34</v>
      </c>
    </row>
    <row r="19" spans="1:7" x14ac:dyDescent="0.35">
      <c r="A19" s="178" t="s">
        <v>2937</v>
      </c>
      <c r="B19" s="179">
        <v>0</v>
      </c>
      <c r="C19" s="179">
        <v>0</v>
      </c>
      <c r="D19" s="179">
        <v>0</v>
      </c>
      <c r="E19" s="179">
        <v>0</v>
      </c>
      <c r="F19" s="179">
        <v>-1999</v>
      </c>
      <c r="G19" s="179">
        <v>-1999</v>
      </c>
    </row>
    <row r="20" spans="1:7" x14ac:dyDescent="0.35">
      <c r="A20" s="178" t="s">
        <v>2938</v>
      </c>
      <c r="B20" s="179">
        <v>0</v>
      </c>
      <c r="C20" s="179">
        <v>0</v>
      </c>
      <c r="D20" s="179">
        <v>0</v>
      </c>
      <c r="E20" s="179">
        <v>0</v>
      </c>
      <c r="F20" s="179">
        <v>5287.33</v>
      </c>
      <c r="G20" s="179">
        <v>5287.33</v>
      </c>
    </row>
    <row r="21" spans="1:7" x14ac:dyDescent="0.35">
      <c r="A21" s="178" t="s">
        <v>2939</v>
      </c>
      <c r="B21" s="179">
        <v>0</v>
      </c>
      <c r="C21" s="179">
        <v>0</v>
      </c>
      <c r="D21" s="179">
        <v>0</v>
      </c>
      <c r="E21" s="179">
        <v>0</v>
      </c>
      <c r="F21" s="179">
        <v>4508.3100000000004</v>
      </c>
      <c r="G21" s="179">
        <v>4508.3100000000004</v>
      </c>
    </row>
    <row r="22" spans="1:7" x14ac:dyDescent="0.35">
      <c r="A22" s="178" t="s">
        <v>2940</v>
      </c>
      <c r="B22" s="179">
        <v>0</v>
      </c>
      <c r="C22" s="179">
        <v>0</v>
      </c>
      <c r="D22" s="179">
        <v>0</v>
      </c>
      <c r="E22" s="179">
        <v>460</v>
      </c>
      <c r="F22" s="179">
        <v>3246029.66</v>
      </c>
      <c r="G22" s="179">
        <v>3246489.66</v>
      </c>
    </row>
    <row r="23" spans="1:7" x14ac:dyDescent="0.35">
      <c r="A23" s="178" t="s">
        <v>402</v>
      </c>
      <c r="B23" s="180" t="s">
        <v>2941</v>
      </c>
      <c r="C23" s="180" t="s">
        <v>2941</v>
      </c>
      <c r="D23" s="180" t="s">
        <v>2941</v>
      </c>
      <c r="E23" s="180" t="s">
        <v>2942</v>
      </c>
      <c r="F23" s="180" t="s">
        <v>2943</v>
      </c>
      <c r="G23" s="180" t="s">
        <v>408</v>
      </c>
    </row>
    <row r="24" spans="1:7" x14ac:dyDescent="0.35">
      <c r="A24" s="178" t="s">
        <v>2944</v>
      </c>
      <c r="B24" s="180" t="s">
        <v>63</v>
      </c>
      <c r="C24" s="180" t="s">
        <v>63</v>
      </c>
      <c r="D24" s="180" t="s">
        <v>63</v>
      </c>
      <c r="E24" s="180" t="s">
        <v>63</v>
      </c>
      <c r="F24" s="180" t="s">
        <v>63</v>
      </c>
      <c r="G24" s="179">
        <v>3246489.66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1"/>
  <sheetViews>
    <sheetView topLeftCell="A31" workbookViewId="0">
      <selection activeCell="C51" sqref="C51"/>
    </sheetView>
  </sheetViews>
  <sheetFormatPr defaultRowHeight="14.5" x14ac:dyDescent="0.35"/>
  <cols>
    <col min="1" max="1" width="42.08984375" customWidth="1"/>
    <col min="2" max="2" width="9.90625" style="126" bestFit="1" customWidth="1"/>
    <col min="3" max="3" width="17.7265625" style="179" customWidth="1"/>
  </cols>
  <sheetData>
    <row r="1" spans="1:4" x14ac:dyDescent="0.35">
      <c r="A1" s="178" t="s">
        <v>61</v>
      </c>
    </row>
    <row r="2" spans="1:4" x14ac:dyDescent="0.35">
      <c r="A2" s="178" t="s">
        <v>2878</v>
      </c>
    </row>
    <row r="3" spans="1:4" x14ac:dyDescent="0.35">
      <c r="A3" s="178" t="s">
        <v>63</v>
      </c>
      <c r="B3" s="231" t="s">
        <v>2879</v>
      </c>
      <c r="C3" s="180" t="s">
        <v>2880</v>
      </c>
      <c r="D3" s="178" t="s">
        <v>63</v>
      </c>
    </row>
    <row r="4" spans="1:4" x14ac:dyDescent="0.35">
      <c r="A4" s="178" t="s">
        <v>2881</v>
      </c>
      <c r="B4" s="126">
        <v>299.99</v>
      </c>
      <c r="C4" s="179">
        <v>73439.399999999994</v>
      </c>
    </row>
    <row r="5" spans="1:4" x14ac:dyDescent="0.35">
      <c r="A5" s="178" t="s">
        <v>2882</v>
      </c>
      <c r="B5" s="126">
        <v>1213.1300000000001</v>
      </c>
      <c r="C5" s="179">
        <v>435357.8</v>
      </c>
    </row>
    <row r="6" spans="1:4" x14ac:dyDescent="0.35">
      <c r="A6" s="178" t="s">
        <v>2883</v>
      </c>
      <c r="B6" s="126">
        <v>2059.11</v>
      </c>
      <c r="C6" s="179">
        <v>534706.65</v>
      </c>
    </row>
    <row r="7" spans="1:4" x14ac:dyDescent="0.35">
      <c r="A7" s="178" t="s">
        <v>2884</v>
      </c>
      <c r="B7" s="126">
        <v>179.29</v>
      </c>
      <c r="C7" s="179">
        <v>62956.45</v>
      </c>
    </row>
    <row r="8" spans="1:4" x14ac:dyDescent="0.35">
      <c r="A8" s="178" t="s">
        <v>2885</v>
      </c>
      <c r="B8" s="126">
        <v>93.23</v>
      </c>
      <c r="C8" s="179">
        <v>33935.800000000003</v>
      </c>
    </row>
    <row r="9" spans="1:4" x14ac:dyDescent="0.35">
      <c r="A9" s="178" t="s">
        <v>2886</v>
      </c>
      <c r="B9" s="126">
        <v>178.3</v>
      </c>
      <c r="C9" s="179">
        <v>62895.7</v>
      </c>
    </row>
    <row r="10" spans="1:4" x14ac:dyDescent="0.35">
      <c r="A10" s="178" t="s">
        <v>2887</v>
      </c>
      <c r="B10" s="126">
        <v>2215.5100000000002</v>
      </c>
      <c r="C10" s="179">
        <v>561768.81999999995</v>
      </c>
    </row>
    <row r="11" spans="1:4" x14ac:dyDescent="0.35">
      <c r="A11" s="178" t="s">
        <v>2888</v>
      </c>
      <c r="B11" s="126">
        <v>433.61</v>
      </c>
      <c r="C11" s="179">
        <v>148790</v>
      </c>
    </row>
    <row r="12" spans="1:4" x14ac:dyDescent="0.35">
      <c r="A12" s="178" t="s">
        <v>2889</v>
      </c>
      <c r="B12" s="126">
        <v>1676.45</v>
      </c>
      <c r="C12" s="179">
        <v>702536.7</v>
      </c>
    </row>
    <row r="13" spans="1:4" x14ac:dyDescent="0.35">
      <c r="A13" s="178" t="s">
        <v>2890</v>
      </c>
      <c r="B13" s="126">
        <v>506.46</v>
      </c>
      <c r="C13" s="179">
        <v>162766.75</v>
      </c>
    </row>
    <row r="14" spans="1:4" x14ac:dyDescent="0.35">
      <c r="A14" s="178" t="s">
        <v>2891</v>
      </c>
      <c r="B14" s="126">
        <v>42.22</v>
      </c>
      <c r="C14" s="179">
        <v>25263.5</v>
      </c>
    </row>
    <row r="15" spans="1:4" x14ac:dyDescent="0.35">
      <c r="A15" s="178" t="s">
        <v>2892</v>
      </c>
      <c r="B15" s="126">
        <v>172.06</v>
      </c>
      <c r="C15" s="179">
        <v>58545.3</v>
      </c>
    </row>
    <row r="16" spans="1:4" x14ac:dyDescent="0.35">
      <c r="A16" s="178" t="s">
        <v>2893</v>
      </c>
      <c r="B16" s="126">
        <v>1539.23</v>
      </c>
      <c r="C16" s="179">
        <v>401304.1</v>
      </c>
    </row>
    <row r="17" spans="1:3" x14ac:dyDescent="0.35">
      <c r="A17" s="178" t="s">
        <v>2894</v>
      </c>
      <c r="B17" s="126">
        <v>1761.09</v>
      </c>
      <c r="C17" s="179">
        <v>433078.3</v>
      </c>
    </row>
    <row r="18" spans="1:3" x14ac:dyDescent="0.35">
      <c r="A18" s="178" t="s">
        <v>2895</v>
      </c>
      <c r="B18" s="126">
        <v>533.07000000000005</v>
      </c>
      <c r="C18" s="179">
        <v>219679.75</v>
      </c>
    </row>
    <row r="19" spans="1:3" x14ac:dyDescent="0.35">
      <c r="A19" s="178" t="s">
        <v>2896</v>
      </c>
      <c r="B19" s="126">
        <v>726.02</v>
      </c>
      <c r="C19" s="179">
        <v>265769.09999999998</v>
      </c>
    </row>
    <row r="20" spans="1:3" x14ac:dyDescent="0.35">
      <c r="A20" s="178" t="s">
        <v>2897</v>
      </c>
      <c r="B20" s="126">
        <v>217.58</v>
      </c>
      <c r="C20" s="179">
        <v>92216.35</v>
      </c>
    </row>
    <row r="21" spans="1:3" x14ac:dyDescent="0.35">
      <c r="A21" s="178" t="s">
        <v>2898</v>
      </c>
      <c r="B21" s="126">
        <v>4</v>
      </c>
      <c r="C21" s="179">
        <v>790</v>
      </c>
    </row>
    <row r="22" spans="1:3" x14ac:dyDescent="0.35">
      <c r="A22" s="178" t="s">
        <v>2899</v>
      </c>
      <c r="B22" s="126">
        <v>655.39</v>
      </c>
      <c r="C22" s="179">
        <v>177285.5</v>
      </c>
    </row>
    <row r="23" spans="1:3" x14ac:dyDescent="0.35">
      <c r="A23" s="178" t="s">
        <v>2900</v>
      </c>
      <c r="B23" s="126">
        <v>8.6999999999999993</v>
      </c>
      <c r="C23" s="179">
        <v>2768.8</v>
      </c>
    </row>
    <row r="24" spans="1:3" x14ac:dyDescent="0.35">
      <c r="A24" s="178" t="s">
        <v>2901</v>
      </c>
      <c r="B24" s="126">
        <v>480.91</v>
      </c>
      <c r="C24" s="179">
        <v>198202.25</v>
      </c>
    </row>
    <row r="25" spans="1:3" x14ac:dyDescent="0.35">
      <c r="A25" s="178" t="s">
        <v>2902</v>
      </c>
      <c r="B25" s="126">
        <v>258.18</v>
      </c>
      <c r="C25" s="179">
        <v>104496.25</v>
      </c>
    </row>
    <row r="26" spans="1:3" x14ac:dyDescent="0.35">
      <c r="A26" s="178" t="s">
        <v>2903</v>
      </c>
      <c r="B26" s="126">
        <v>204.6</v>
      </c>
      <c r="C26" s="179">
        <v>85556.05</v>
      </c>
    </row>
    <row r="27" spans="1:3" x14ac:dyDescent="0.35">
      <c r="A27" s="178" t="s">
        <v>2904</v>
      </c>
      <c r="B27" s="126">
        <v>95.31</v>
      </c>
      <c r="C27" s="179">
        <v>40474.75</v>
      </c>
    </row>
    <row r="28" spans="1:3" x14ac:dyDescent="0.35">
      <c r="A28" s="178" t="s">
        <v>2905</v>
      </c>
      <c r="B28" s="126">
        <v>5199.8900000000003</v>
      </c>
      <c r="C28" s="179">
        <v>1982404.01</v>
      </c>
    </row>
    <row r="29" spans="1:3" x14ac:dyDescent="0.35">
      <c r="A29" s="178" t="s">
        <v>2906</v>
      </c>
      <c r="B29" s="126">
        <v>59.02</v>
      </c>
      <c r="C29" s="179">
        <v>22977.9</v>
      </c>
    </row>
    <row r="30" spans="1:3" x14ac:dyDescent="0.35">
      <c r="A30" s="178" t="s">
        <v>2907</v>
      </c>
      <c r="B30" s="126">
        <v>1221.68</v>
      </c>
      <c r="C30" s="179">
        <v>514201.7</v>
      </c>
    </row>
    <row r="31" spans="1:3" x14ac:dyDescent="0.35">
      <c r="A31" s="178" t="s">
        <v>2908</v>
      </c>
      <c r="B31" s="126">
        <v>4089.91</v>
      </c>
      <c r="C31" s="179">
        <v>1056420.1499999999</v>
      </c>
    </row>
    <row r="32" spans="1:3" x14ac:dyDescent="0.35">
      <c r="A32" s="178" t="s">
        <v>2909</v>
      </c>
      <c r="B32" s="126">
        <v>715.4</v>
      </c>
      <c r="C32" s="179">
        <v>259083.25</v>
      </c>
    </row>
    <row r="33" spans="1:3" x14ac:dyDescent="0.35">
      <c r="A33" s="178" t="s">
        <v>2910</v>
      </c>
      <c r="B33" s="126">
        <v>10.039999999999999</v>
      </c>
      <c r="C33" s="179">
        <v>3564.2</v>
      </c>
    </row>
    <row r="34" spans="1:3" x14ac:dyDescent="0.35">
      <c r="A34" s="178" t="s">
        <v>2911</v>
      </c>
      <c r="B34" s="126">
        <v>17.350000000000001</v>
      </c>
      <c r="C34" s="179">
        <v>4982.05</v>
      </c>
    </row>
    <row r="35" spans="1:3" x14ac:dyDescent="0.35">
      <c r="A35" s="178" t="s">
        <v>2912</v>
      </c>
      <c r="B35" s="126">
        <v>128.36000000000001</v>
      </c>
      <c r="C35" s="179">
        <v>52149.55</v>
      </c>
    </row>
    <row r="36" spans="1:3" x14ac:dyDescent="0.35">
      <c r="A36" s="178" t="s">
        <v>2913</v>
      </c>
      <c r="B36" s="126">
        <v>219.7</v>
      </c>
      <c r="C36" s="179">
        <v>95144.5</v>
      </c>
    </row>
    <row r="37" spans="1:3" x14ac:dyDescent="0.35">
      <c r="A37" s="178" t="s">
        <v>2914</v>
      </c>
      <c r="B37" s="126">
        <v>323.33999999999997</v>
      </c>
      <c r="C37" s="179">
        <v>132741.4</v>
      </c>
    </row>
    <row r="38" spans="1:3" x14ac:dyDescent="0.35">
      <c r="A38" s="178" t="s">
        <v>2915</v>
      </c>
      <c r="B38" s="126">
        <v>573.58000000000004</v>
      </c>
      <c r="C38" s="179">
        <v>149130.79999999999</v>
      </c>
    </row>
    <row r="39" spans="1:3" x14ac:dyDescent="0.35">
      <c r="A39" s="178"/>
      <c r="B39" s="232">
        <f>SUM(B4:B38)</f>
        <v>28111.710000000003</v>
      </c>
      <c r="C39" s="233">
        <f>SUM(C4:C38)</f>
        <v>9157383.5800000019</v>
      </c>
    </row>
    <row r="40" spans="1:3" x14ac:dyDescent="0.35">
      <c r="A40" s="178" t="s">
        <v>2916</v>
      </c>
      <c r="B40" s="126">
        <v>1</v>
      </c>
      <c r="C40" s="179">
        <v>14000</v>
      </c>
    </row>
    <row r="41" spans="1:3" x14ac:dyDescent="0.35">
      <c r="A41" s="178" t="s">
        <v>2917</v>
      </c>
      <c r="B41" s="126">
        <v>46.26</v>
      </c>
      <c r="C41" s="179">
        <v>140155</v>
      </c>
    </row>
    <row r="42" spans="1:3" x14ac:dyDescent="0.35">
      <c r="A42" s="178" t="s">
        <v>2918</v>
      </c>
      <c r="B42" s="126">
        <v>480</v>
      </c>
      <c r="C42" s="179">
        <v>199366.39999999999</v>
      </c>
    </row>
    <row r="43" spans="1:3" x14ac:dyDescent="0.35">
      <c r="A43" s="178" t="s">
        <v>2919</v>
      </c>
      <c r="B43" s="126">
        <v>371.92</v>
      </c>
      <c r="C43" s="179">
        <v>44120.38</v>
      </c>
    </row>
    <row r="44" spans="1:3" x14ac:dyDescent="0.35">
      <c r="A44" s="178" t="s">
        <v>2920</v>
      </c>
      <c r="B44" s="126">
        <v>2</v>
      </c>
      <c r="C44" s="179">
        <v>0</v>
      </c>
    </row>
    <row r="45" spans="1:3" x14ac:dyDescent="0.35">
      <c r="A45" s="178" t="s">
        <v>2877</v>
      </c>
      <c r="B45" s="126">
        <v>29012.89</v>
      </c>
      <c r="C45" s="179">
        <v>9555025.3599999901</v>
      </c>
    </row>
    <row r="50" spans="3:3" x14ac:dyDescent="0.35">
      <c r="C50" s="179">
        <f>+C39-'[1]Sales per month'!$D$73</f>
        <v>-0.63999999687075615</v>
      </c>
    </row>
    <row r="51" spans="3:3" x14ac:dyDescent="0.35">
      <c r="C51" s="179">
        <v>2066302.76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16"/>
  <sheetViews>
    <sheetView topLeftCell="A1497" workbookViewId="0">
      <selection activeCell="E123" sqref="E123:E1515"/>
    </sheetView>
  </sheetViews>
  <sheetFormatPr defaultRowHeight="14.5" x14ac:dyDescent="0.35"/>
  <sheetData>
    <row r="1" spans="1:7" x14ac:dyDescent="0.35">
      <c r="A1" s="178" t="s">
        <v>61</v>
      </c>
    </row>
    <row r="2" spans="1:7" x14ac:dyDescent="0.35">
      <c r="A2" s="178" t="s">
        <v>410</v>
      </c>
    </row>
    <row r="3" spans="1:7" x14ac:dyDescent="0.35">
      <c r="A3" s="178" t="s">
        <v>63</v>
      </c>
    </row>
    <row r="4" spans="1:7" x14ac:dyDescent="0.35">
      <c r="A4" s="178" t="s">
        <v>411</v>
      </c>
      <c r="B4" s="178" t="s">
        <v>412</v>
      </c>
      <c r="C4" s="178" t="s">
        <v>413</v>
      </c>
      <c r="D4" s="178" t="s">
        <v>414</v>
      </c>
      <c r="E4" s="178" t="s">
        <v>415</v>
      </c>
      <c r="F4" s="178" t="s">
        <v>416</v>
      </c>
      <c r="G4" s="178" t="s">
        <v>417</v>
      </c>
    </row>
    <row r="5" spans="1:7" x14ac:dyDescent="0.35">
      <c r="A5" s="178" t="s">
        <v>418</v>
      </c>
      <c r="B5" s="178" t="s">
        <v>419</v>
      </c>
      <c r="C5" s="178" t="s">
        <v>420</v>
      </c>
      <c r="D5" s="178" t="s">
        <v>63</v>
      </c>
      <c r="E5" s="178" t="s">
        <v>63</v>
      </c>
      <c r="F5" s="178" t="s">
        <v>63</v>
      </c>
    </row>
    <row r="6" spans="1:7" x14ac:dyDescent="0.35">
      <c r="A6" s="178" t="s">
        <v>418</v>
      </c>
      <c r="B6" s="178" t="s">
        <v>421</v>
      </c>
      <c r="C6" s="178" t="s">
        <v>420</v>
      </c>
      <c r="D6" s="178" t="s">
        <v>63</v>
      </c>
      <c r="E6" s="178" t="s">
        <v>63</v>
      </c>
      <c r="F6" s="178" t="s">
        <v>63</v>
      </c>
    </row>
    <row r="7" spans="1:7" x14ac:dyDescent="0.35">
      <c r="A7" s="178" t="s">
        <v>418</v>
      </c>
      <c r="B7" s="178" t="s">
        <v>422</v>
      </c>
      <c r="C7" s="178" t="s">
        <v>420</v>
      </c>
      <c r="D7" s="178" t="s">
        <v>63</v>
      </c>
      <c r="E7" s="178" t="s">
        <v>63</v>
      </c>
      <c r="F7" s="178" t="s">
        <v>63</v>
      </c>
    </row>
    <row r="8" spans="1:7" x14ac:dyDescent="0.35">
      <c r="A8" s="178" t="s">
        <v>423</v>
      </c>
      <c r="B8" s="178" t="s">
        <v>424</v>
      </c>
      <c r="C8" s="178" t="s">
        <v>425</v>
      </c>
      <c r="D8" s="178" t="s">
        <v>426</v>
      </c>
      <c r="E8">
        <v>-3160</v>
      </c>
      <c r="F8">
        <v>-474</v>
      </c>
      <c r="G8">
        <v>-3634</v>
      </c>
    </row>
    <row r="9" spans="1:7" x14ac:dyDescent="0.35">
      <c r="A9" s="178" t="s">
        <v>427</v>
      </c>
      <c r="B9" s="178" t="s">
        <v>428</v>
      </c>
      <c r="C9" s="178" t="s">
        <v>425</v>
      </c>
      <c r="D9" s="178" t="s">
        <v>429</v>
      </c>
      <c r="E9">
        <v>-777.6</v>
      </c>
      <c r="F9">
        <v>-116.64</v>
      </c>
      <c r="G9">
        <v>-894.24</v>
      </c>
    </row>
    <row r="10" spans="1:7" x14ac:dyDescent="0.35">
      <c r="A10" s="178" t="s">
        <v>430</v>
      </c>
      <c r="B10" s="178" t="s">
        <v>431</v>
      </c>
      <c r="C10" s="178" t="s">
        <v>425</v>
      </c>
      <c r="D10" s="178" t="s">
        <v>432</v>
      </c>
      <c r="E10">
        <v>-17656.400000000001</v>
      </c>
      <c r="F10">
        <v>-2648.46</v>
      </c>
      <c r="G10">
        <v>-20304.86</v>
      </c>
    </row>
    <row r="11" spans="1:7" x14ac:dyDescent="0.35">
      <c r="A11" s="178" t="s">
        <v>433</v>
      </c>
      <c r="B11" s="178" t="s">
        <v>434</v>
      </c>
      <c r="C11" s="178" t="s">
        <v>425</v>
      </c>
      <c r="D11" s="178" t="s">
        <v>435</v>
      </c>
      <c r="E11">
        <v>-1082.6500000000001</v>
      </c>
      <c r="F11">
        <v>-162.4</v>
      </c>
      <c r="G11">
        <v>-1245.05</v>
      </c>
    </row>
    <row r="12" spans="1:7" x14ac:dyDescent="0.35">
      <c r="A12" s="178" t="s">
        <v>436</v>
      </c>
      <c r="B12" s="178" t="s">
        <v>437</v>
      </c>
      <c r="C12" s="178" t="s">
        <v>425</v>
      </c>
      <c r="D12" s="178" t="s">
        <v>438</v>
      </c>
      <c r="E12">
        <v>-3404.25</v>
      </c>
      <c r="F12">
        <v>-510.64</v>
      </c>
      <c r="G12">
        <v>-3914.89</v>
      </c>
    </row>
    <row r="13" spans="1:7" x14ac:dyDescent="0.35">
      <c r="A13" s="178" t="s">
        <v>439</v>
      </c>
      <c r="B13" s="178" t="s">
        <v>440</v>
      </c>
      <c r="C13" s="178" t="s">
        <v>441</v>
      </c>
      <c r="D13" s="178" t="s">
        <v>442</v>
      </c>
      <c r="E13">
        <v>-2455.1999999999998</v>
      </c>
      <c r="F13">
        <v>-368.28</v>
      </c>
      <c r="G13">
        <v>-2823.48</v>
      </c>
    </row>
    <row r="14" spans="1:7" x14ac:dyDescent="0.35">
      <c r="A14" s="178" t="s">
        <v>443</v>
      </c>
      <c r="B14" s="178" t="s">
        <v>444</v>
      </c>
      <c r="C14" s="178" t="s">
        <v>441</v>
      </c>
      <c r="D14" s="178" t="s">
        <v>445</v>
      </c>
      <c r="E14">
        <v>-1718.2</v>
      </c>
      <c r="F14">
        <v>-257.73</v>
      </c>
      <c r="G14">
        <v>-1975.93</v>
      </c>
    </row>
    <row r="15" spans="1:7" x14ac:dyDescent="0.35">
      <c r="A15" s="178" t="s">
        <v>446</v>
      </c>
      <c r="B15" s="178" t="s">
        <v>447</v>
      </c>
      <c r="C15" s="178" t="s">
        <v>448</v>
      </c>
      <c r="D15" s="178" t="s">
        <v>449</v>
      </c>
      <c r="E15">
        <v>-3266.75</v>
      </c>
      <c r="F15">
        <v>-490.01</v>
      </c>
      <c r="G15">
        <v>-3756.76</v>
      </c>
    </row>
    <row r="16" spans="1:7" x14ac:dyDescent="0.35">
      <c r="A16" s="178" t="s">
        <v>450</v>
      </c>
      <c r="B16" s="178" t="s">
        <v>451</v>
      </c>
      <c r="C16" s="178" t="s">
        <v>448</v>
      </c>
      <c r="D16" s="178" t="s">
        <v>452</v>
      </c>
      <c r="E16">
        <v>-13435.5</v>
      </c>
      <c r="F16">
        <v>-2015.33</v>
      </c>
      <c r="G16">
        <v>-15450.83</v>
      </c>
    </row>
    <row r="17" spans="1:7" x14ac:dyDescent="0.35">
      <c r="A17" s="178" t="s">
        <v>453</v>
      </c>
      <c r="B17" s="178" t="s">
        <v>454</v>
      </c>
      <c r="C17" s="178" t="s">
        <v>448</v>
      </c>
      <c r="D17" s="178" t="s">
        <v>455</v>
      </c>
      <c r="E17">
        <v>-1201.2</v>
      </c>
      <c r="F17">
        <v>-180.18</v>
      </c>
      <c r="G17">
        <v>-1381.38</v>
      </c>
    </row>
    <row r="18" spans="1:7" x14ac:dyDescent="0.35">
      <c r="A18" s="178" t="s">
        <v>456</v>
      </c>
      <c r="B18" s="178" t="s">
        <v>457</v>
      </c>
      <c r="C18" s="178" t="s">
        <v>458</v>
      </c>
      <c r="D18" s="178" t="s">
        <v>459</v>
      </c>
      <c r="E18">
        <v>-3166.6</v>
      </c>
      <c r="F18">
        <v>-474.99</v>
      </c>
      <c r="G18">
        <v>-3641.59</v>
      </c>
    </row>
    <row r="19" spans="1:7" x14ac:dyDescent="0.35">
      <c r="A19" s="178" t="s">
        <v>460</v>
      </c>
      <c r="B19" s="178" t="s">
        <v>461</v>
      </c>
      <c r="C19" s="178" t="s">
        <v>458</v>
      </c>
      <c r="D19" s="178" t="s">
        <v>462</v>
      </c>
      <c r="E19">
        <v>-1756</v>
      </c>
      <c r="F19">
        <v>-263.39999999999998</v>
      </c>
      <c r="G19">
        <v>-2019.4</v>
      </c>
    </row>
    <row r="20" spans="1:7" x14ac:dyDescent="0.35">
      <c r="A20" s="178" t="s">
        <v>463</v>
      </c>
      <c r="B20" s="178" t="s">
        <v>464</v>
      </c>
      <c r="C20" s="178" t="s">
        <v>458</v>
      </c>
      <c r="D20" s="178" t="s">
        <v>465</v>
      </c>
      <c r="E20">
        <v>-1580.8</v>
      </c>
      <c r="F20">
        <v>-237.12</v>
      </c>
      <c r="G20">
        <v>-1817.92</v>
      </c>
    </row>
    <row r="21" spans="1:7" x14ac:dyDescent="0.35">
      <c r="A21" s="178" t="s">
        <v>466</v>
      </c>
      <c r="B21" s="178" t="s">
        <v>467</v>
      </c>
      <c r="C21" s="178" t="s">
        <v>458</v>
      </c>
      <c r="D21" s="178" t="s">
        <v>432</v>
      </c>
      <c r="E21">
        <v>-1631.8</v>
      </c>
      <c r="F21">
        <v>-244.77</v>
      </c>
      <c r="G21">
        <v>-1876.57</v>
      </c>
    </row>
    <row r="22" spans="1:7" x14ac:dyDescent="0.35">
      <c r="A22" s="178" t="s">
        <v>468</v>
      </c>
      <c r="B22" s="178" t="s">
        <v>469</v>
      </c>
      <c r="C22" s="178" t="s">
        <v>458</v>
      </c>
      <c r="D22" s="178" t="s">
        <v>462</v>
      </c>
      <c r="E22">
        <v>-1756</v>
      </c>
      <c r="F22">
        <v>-263.39999999999998</v>
      </c>
      <c r="G22">
        <v>-2019.4</v>
      </c>
    </row>
    <row r="23" spans="1:7" x14ac:dyDescent="0.35">
      <c r="A23" s="178" t="s">
        <v>470</v>
      </c>
      <c r="B23" s="178" t="s">
        <v>471</v>
      </c>
      <c r="C23" s="178" t="s">
        <v>472</v>
      </c>
      <c r="D23" s="178" t="s">
        <v>473</v>
      </c>
      <c r="E23">
        <v>-8000</v>
      </c>
      <c r="F23">
        <v>-1200</v>
      </c>
      <c r="G23">
        <v>-9200</v>
      </c>
    </row>
    <row r="24" spans="1:7" x14ac:dyDescent="0.35">
      <c r="A24" s="178" t="s">
        <v>474</v>
      </c>
      <c r="B24" s="178" t="s">
        <v>475</v>
      </c>
      <c r="C24" s="178" t="s">
        <v>472</v>
      </c>
      <c r="D24" s="178" t="s">
        <v>476</v>
      </c>
      <c r="E24">
        <v>-1653.75</v>
      </c>
      <c r="F24">
        <v>-248.06</v>
      </c>
      <c r="G24">
        <v>-1901.81</v>
      </c>
    </row>
    <row r="25" spans="1:7" x14ac:dyDescent="0.35">
      <c r="A25" s="178" t="s">
        <v>477</v>
      </c>
      <c r="B25" s="178" t="s">
        <v>478</v>
      </c>
      <c r="C25" s="178" t="s">
        <v>472</v>
      </c>
      <c r="D25" s="178" t="s">
        <v>479</v>
      </c>
      <c r="E25">
        <v>-700.35</v>
      </c>
      <c r="F25">
        <v>-105.05</v>
      </c>
      <c r="G25">
        <v>-805.4</v>
      </c>
    </row>
    <row r="26" spans="1:7" x14ac:dyDescent="0.35">
      <c r="A26" s="178" t="s">
        <v>466</v>
      </c>
      <c r="B26" s="178" t="s">
        <v>480</v>
      </c>
      <c r="C26" s="178" t="s">
        <v>472</v>
      </c>
      <c r="D26" s="178" t="s">
        <v>481</v>
      </c>
      <c r="E26">
        <v>-844.6</v>
      </c>
      <c r="F26">
        <v>-126.69</v>
      </c>
      <c r="G26">
        <v>-971.29</v>
      </c>
    </row>
    <row r="27" spans="1:7" x14ac:dyDescent="0.35">
      <c r="A27" s="178" t="s">
        <v>466</v>
      </c>
      <c r="B27" s="178" t="s">
        <v>482</v>
      </c>
      <c r="C27" s="178" t="s">
        <v>472</v>
      </c>
      <c r="D27" s="178" t="s">
        <v>483</v>
      </c>
      <c r="E27">
        <v>-861</v>
      </c>
      <c r="F27">
        <v>-129.15</v>
      </c>
      <c r="G27">
        <v>-990.15</v>
      </c>
    </row>
    <row r="28" spans="1:7" x14ac:dyDescent="0.35">
      <c r="A28" s="178" t="s">
        <v>484</v>
      </c>
      <c r="B28" s="178" t="s">
        <v>485</v>
      </c>
      <c r="C28" s="178" t="s">
        <v>472</v>
      </c>
      <c r="D28" s="178" t="s">
        <v>486</v>
      </c>
      <c r="E28">
        <v>-639.6</v>
      </c>
      <c r="F28">
        <v>-95.94</v>
      </c>
      <c r="G28">
        <v>-735.54</v>
      </c>
    </row>
    <row r="29" spans="1:7" x14ac:dyDescent="0.35">
      <c r="A29" s="178" t="s">
        <v>487</v>
      </c>
      <c r="B29" s="178" t="s">
        <v>488</v>
      </c>
      <c r="C29" s="178" t="s">
        <v>489</v>
      </c>
      <c r="D29" s="178" t="s">
        <v>490</v>
      </c>
      <c r="E29">
        <v>-1422</v>
      </c>
      <c r="F29">
        <v>-213.3</v>
      </c>
      <c r="G29">
        <v>-1635.3</v>
      </c>
    </row>
    <row r="30" spans="1:7" x14ac:dyDescent="0.35">
      <c r="A30" s="178" t="s">
        <v>491</v>
      </c>
      <c r="B30" s="178" t="s">
        <v>492</v>
      </c>
      <c r="C30" s="178" t="s">
        <v>489</v>
      </c>
      <c r="D30" s="178" t="s">
        <v>493</v>
      </c>
      <c r="E30">
        <v>-9131.5</v>
      </c>
      <c r="F30">
        <v>-1369.73</v>
      </c>
      <c r="G30">
        <v>-10501.23</v>
      </c>
    </row>
    <row r="31" spans="1:7" x14ac:dyDescent="0.35">
      <c r="A31" s="178" t="s">
        <v>450</v>
      </c>
      <c r="B31" s="178" t="s">
        <v>494</v>
      </c>
      <c r="C31" s="178" t="s">
        <v>489</v>
      </c>
      <c r="D31" s="178" t="s">
        <v>432</v>
      </c>
      <c r="E31">
        <v>-7727.4</v>
      </c>
      <c r="F31">
        <v>-1159.1099999999999</v>
      </c>
      <c r="G31">
        <v>-8886.51</v>
      </c>
    </row>
    <row r="32" spans="1:7" x14ac:dyDescent="0.35">
      <c r="A32" s="178" t="s">
        <v>495</v>
      </c>
      <c r="B32" s="178" t="s">
        <v>496</v>
      </c>
      <c r="C32" s="178" t="s">
        <v>489</v>
      </c>
      <c r="D32" s="178" t="s">
        <v>497</v>
      </c>
      <c r="E32">
        <v>-1492.1</v>
      </c>
      <c r="F32">
        <v>-223.82</v>
      </c>
      <c r="G32">
        <v>-1715.92</v>
      </c>
    </row>
    <row r="33" spans="1:7" x14ac:dyDescent="0.35">
      <c r="A33" s="178" t="s">
        <v>498</v>
      </c>
      <c r="B33" s="178" t="s">
        <v>499</v>
      </c>
      <c r="C33" s="178" t="s">
        <v>489</v>
      </c>
      <c r="D33" s="178" t="s">
        <v>500</v>
      </c>
      <c r="E33">
        <v>-2588.3000000000002</v>
      </c>
      <c r="F33">
        <v>-388.25</v>
      </c>
      <c r="G33">
        <v>-2976.55</v>
      </c>
    </row>
    <row r="34" spans="1:7" x14ac:dyDescent="0.35">
      <c r="A34" s="178" t="s">
        <v>501</v>
      </c>
      <c r="B34" s="178" t="s">
        <v>502</v>
      </c>
      <c r="C34" s="178" t="s">
        <v>503</v>
      </c>
      <c r="D34" s="178" t="s">
        <v>504</v>
      </c>
      <c r="E34">
        <v>-3721.85</v>
      </c>
      <c r="F34">
        <v>-558.28</v>
      </c>
      <c r="G34">
        <v>-4280.13</v>
      </c>
    </row>
    <row r="35" spans="1:7" x14ac:dyDescent="0.35">
      <c r="A35" s="178" t="s">
        <v>505</v>
      </c>
      <c r="B35" s="178" t="s">
        <v>506</v>
      </c>
      <c r="C35" s="178" t="s">
        <v>503</v>
      </c>
      <c r="D35" s="178" t="s">
        <v>507</v>
      </c>
      <c r="E35">
        <v>-2737</v>
      </c>
      <c r="F35">
        <v>-410.55</v>
      </c>
      <c r="G35">
        <v>-3147.55</v>
      </c>
    </row>
    <row r="36" spans="1:7" x14ac:dyDescent="0.35">
      <c r="A36" s="178" t="s">
        <v>508</v>
      </c>
      <c r="B36" s="178" t="s">
        <v>509</v>
      </c>
      <c r="C36" s="178" t="s">
        <v>503</v>
      </c>
      <c r="D36" s="178" t="s">
        <v>510</v>
      </c>
      <c r="E36">
        <v>-3251.3</v>
      </c>
      <c r="F36">
        <v>-487.7</v>
      </c>
      <c r="G36">
        <v>-3739</v>
      </c>
    </row>
    <row r="37" spans="1:7" x14ac:dyDescent="0.35">
      <c r="A37" s="178" t="s">
        <v>511</v>
      </c>
      <c r="B37" s="178" t="s">
        <v>512</v>
      </c>
      <c r="C37" s="178" t="s">
        <v>503</v>
      </c>
      <c r="D37" s="178" t="s">
        <v>513</v>
      </c>
      <c r="E37">
        <v>-1533</v>
      </c>
      <c r="F37">
        <v>-229.95</v>
      </c>
      <c r="G37">
        <v>-1762.95</v>
      </c>
    </row>
    <row r="38" spans="1:7" x14ac:dyDescent="0.35">
      <c r="A38" s="178" t="s">
        <v>436</v>
      </c>
      <c r="B38" s="178" t="s">
        <v>514</v>
      </c>
      <c r="C38" s="178" t="s">
        <v>503</v>
      </c>
      <c r="D38" s="178" t="s">
        <v>515</v>
      </c>
      <c r="E38">
        <v>-1720</v>
      </c>
      <c r="F38">
        <v>-258</v>
      </c>
      <c r="G38">
        <v>-1978</v>
      </c>
    </row>
    <row r="39" spans="1:7" x14ac:dyDescent="0.35">
      <c r="A39" s="178" t="s">
        <v>436</v>
      </c>
      <c r="B39" s="178" t="s">
        <v>516</v>
      </c>
      <c r="C39" s="178" t="s">
        <v>503</v>
      </c>
      <c r="D39" s="178" t="s">
        <v>517</v>
      </c>
      <c r="E39">
        <v>-1681.3</v>
      </c>
      <c r="F39">
        <v>-252.2</v>
      </c>
      <c r="G39">
        <v>-1933.5</v>
      </c>
    </row>
    <row r="40" spans="1:7" x14ac:dyDescent="0.35">
      <c r="A40" s="178" t="s">
        <v>436</v>
      </c>
      <c r="B40" s="178" t="s">
        <v>518</v>
      </c>
      <c r="C40" s="178" t="s">
        <v>503</v>
      </c>
      <c r="D40" s="178" t="s">
        <v>519</v>
      </c>
      <c r="E40">
        <v>-881.5</v>
      </c>
      <c r="F40">
        <v>-132.22999999999999</v>
      </c>
      <c r="G40">
        <v>-1013.73</v>
      </c>
    </row>
    <row r="41" spans="1:7" x14ac:dyDescent="0.35">
      <c r="A41" s="178" t="s">
        <v>436</v>
      </c>
      <c r="B41" s="178" t="s">
        <v>520</v>
      </c>
      <c r="C41" s="178" t="s">
        <v>503</v>
      </c>
      <c r="D41" s="178" t="s">
        <v>521</v>
      </c>
      <c r="E41">
        <v>-3220.7</v>
      </c>
      <c r="F41">
        <v>-483.11</v>
      </c>
      <c r="G41">
        <v>-3703.81</v>
      </c>
    </row>
    <row r="42" spans="1:7" x14ac:dyDescent="0.35">
      <c r="A42" s="178" t="s">
        <v>522</v>
      </c>
      <c r="B42" s="178" t="s">
        <v>523</v>
      </c>
      <c r="C42" s="178" t="s">
        <v>524</v>
      </c>
      <c r="D42" s="178" t="s">
        <v>525</v>
      </c>
      <c r="E42">
        <v>-1610.2</v>
      </c>
      <c r="F42">
        <v>-241.53</v>
      </c>
      <c r="G42">
        <v>-1851.73</v>
      </c>
    </row>
    <row r="43" spans="1:7" x14ac:dyDescent="0.35">
      <c r="A43" s="178" t="s">
        <v>526</v>
      </c>
      <c r="B43" s="178" t="s">
        <v>527</v>
      </c>
      <c r="C43" s="178" t="s">
        <v>524</v>
      </c>
      <c r="D43" s="178" t="s">
        <v>528</v>
      </c>
      <c r="E43">
        <v>-918</v>
      </c>
      <c r="F43">
        <v>-137.69999999999999</v>
      </c>
      <c r="G43">
        <v>-1055.7</v>
      </c>
    </row>
    <row r="44" spans="1:7" x14ac:dyDescent="0.35">
      <c r="A44" s="178" t="s">
        <v>529</v>
      </c>
      <c r="B44" s="178" t="s">
        <v>530</v>
      </c>
      <c r="C44" s="178" t="s">
        <v>524</v>
      </c>
      <c r="D44" s="178" t="s">
        <v>531</v>
      </c>
      <c r="E44">
        <v>-3434</v>
      </c>
      <c r="F44">
        <v>-515.1</v>
      </c>
      <c r="G44">
        <v>-3949.1</v>
      </c>
    </row>
    <row r="45" spans="1:7" x14ac:dyDescent="0.35">
      <c r="A45" s="178" t="s">
        <v>532</v>
      </c>
      <c r="B45" s="178" t="s">
        <v>533</v>
      </c>
      <c r="C45" s="178" t="s">
        <v>524</v>
      </c>
      <c r="D45" s="178" t="s">
        <v>534</v>
      </c>
      <c r="E45">
        <v>-12133.75</v>
      </c>
      <c r="F45">
        <v>-1820.06</v>
      </c>
      <c r="G45">
        <v>-13953.81</v>
      </c>
    </row>
    <row r="46" spans="1:7" x14ac:dyDescent="0.35">
      <c r="A46" s="178" t="s">
        <v>535</v>
      </c>
      <c r="B46" s="178" t="s">
        <v>536</v>
      </c>
      <c r="C46" s="178" t="s">
        <v>524</v>
      </c>
      <c r="D46" s="178" t="s">
        <v>537</v>
      </c>
      <c r="E46">
        <v>-3291.75</v>
      </c>
      <c r="F46">
        <v>-493.76</v>
      </c>
      <c r="G46">
        <v>-3785.51</v>
      </c>
    </row>
    <row r="47" spans="1:7" x14ac:dyDescent="0.35">
      <c r="A47" s="178" t="s">
        <v>538</v>
      </c>
      <c r="B47" s="178" t="s">
        <v>539</v>
      </c>
      <c r="C47" s="178" t="s">
        <v>524</v>
      </c>
      <c r="D47" s="178" t="s">
        <v>540</v>
      </c>
      <c r="E47">
        <v>-4556</v>
      </c>
      <c r="F47">
        <v>-683.4</v>
      </c>
      <c r="G47">
        <v>-5239.3999999999996</v>
      </c>
    </row>
    <row r="48" spans="1:7" x14ac:dyDescent="0.35">
      <c r="A48" s="178" t="s">
        <v>541</v>
      </c>
      <c r="B48" s="178" t="s">
        <v>542</v>
      </c>
      <c r="C48" s="178" t="s">
        <v>524</v>
      </c>
      <c r="D48" s="178" t="s">
        <v>543</v>
      </c>
      <c r="E48">
        <v>-756</v>
      </c>
      <c r="F48">
        <v>-113.4</v>
      </c>
      <c r="G48">
        <v>-869.4</v>
      </c>
    </row>
    <row r="49" spans="1:7" x14ac:dyDescent="0.35">
      <c r="A49" s="178" t="s">
        <v>544</v>
      </c>
      <c r="B49" s="178" t="s">
        <v>545</v>
      </c>
      <c r="C49" s="178" t="s">
        <v>546</v>
      </c>
      <c r="D49" s="178" t="s">
        <v>547</v>
      </c>
      <c r="E49">
        <v>-1563.1</v>
      </c>
      <c r="F49">
        <v>-234.47</v>
      </c>
      <c r="G49">
        <v>-1797.57</v>
      </c>
    </row>
    <row r="50" spans="1:7" x14ac:dyDescent="0.35">
      <c r="A50" s="178" t="s">
        <v>548</v>
      </c>
      <c r="B50" s="178" t="s">
        <v>549</v>
      </c>
      <c r="C50" s="178" t="s">
        <v>546</v>
      </c>
      <c r="D50" s="178" t="s">
        <v>550</v>
      </c>
      <c r="E50">
        <v>-666.5</v>
      </c>
      <c r="F50">
        <v>-99.98</v>
      </c>
      <c r="G50">
        <v>-766.48</v>
      </c>
    </row>
    <row r="51" spans="1:7" x14ac:dyDescent="0.35">
      <c r="A51" s="178" t="s">
        <v>551</v>
      </c>
      <c r="B51" s="178" t="s">
        <v>552</v>
      </c>
      <c r="C51" s="178" t="s">
        <v>546</v>
      </c>
      <c r="D51" s="178" t="s">
        <v>553</v>
      </c>
      <c r="E51">
        <v>-1344</v>
      </c>
      <c r="F51">
        <v>-201.6</v>
      </c>
      <c r="G51">
        <v>-1545.6</v>
      </c>
    </row>
    <row r="52" spans="1:7" x14ac:dyDescent="0.35">
      <c r="A52" s="178" t="s">
        <v>554</v>
      </c>
      <c r="B52" s="178" t="s">
        <v>555</v>
      </c>
      <c r="C52" s="178" t="s">
        <v>546</v>
      </c>
      <c r="D52" s="178" t="s">
        <v>556</v>
      </c>
      <c r="E52">
        <v>-1080.4000000000001</v>
      </c>
      <c r="F52">
        <v>-162.06</v>
      </c>
      <c r="G52">
        <v>-1242.46</v>
      </c>
    </row>
    <row r="53" spans="1:7" x14ac:dyDescent="0.35">
      <c r="A53" s="178" t="s">
        <v>557</v>
      </c>
      <c r="B53" s="178" t="s">
        <v>558</v>
      </c>
      <c r="C53" s="178" t="s">
        <v>546</v>
      </c>
      <c r="D53" s="178" t="s">
        <v>559</v>
      </c>
      <c r="E53">
        <v>-6506.25</v>
      </c>
      <c r="F53">
        <v>-975.94</v>
      </c>
      <c r="G53">
        <v>-7482.19</v>
      </c>
    </row>
    <row r="54" spans="1:7" x14ac:dyDescent="0.35">
      <c r="A54" s="178" t="s">
        <v>560</v>
      </c>
      <c r="B54" s="178" t="s">
        <v>561</v>
      </c>
      <c r="C54" s="178" t="s">
        <v>546</v>
      </c>
      <c r="D54" s="178" t="s">
        <v>562</v>
      </c>
      <c r="E54">
        <v>-25487</v>
      </c>
      <c r="F54">
        <v>-3823.05</v>
      </c>
      <c r="G54">
        <v>-29310.05</v>
      </c>
    </row>
    <row r="55" spans="1:7" x14ac:dyDescent="0.35">
      <c r="A55" s="178" t="s">
        <v>439</v>
      </c>
      <c r="B55" s="178" t="s">
        <v>563</v>
      </c>
      <c r="C55" s="178" t="s">
        <v>564</v>
      </c>
      <c r="D55" s="178" t="s">
        <v>565</v>
      </c>
      <c r="E55">
        <v>-6015.2</v>
      </c>
      <c r="F55">
        <v>-902.28</v>
      </c>
      <c r="G55">
        <v>-6917.48</v>
      </c>
    </row>
    <row r="56" spans="1:7" x14ac:dyDescent="0.35">
      <c r="A56" s="178" t="s">
        <v>501</v>
      </c>
      <c r="B56" s="178" t="s">
        <v>566</v>
      </c>
      <c r="C56" s="178" t="s">
        <v>564</v>
      </c>
      <c r="D56" s="178" t="s">
        <v>567</v>
      </c>
      <c r="E56">
        <v>-1481.7</v>
      </c>
      <c r="F56">
        <v>-222.26</v>
      </c>
      <c r="G56">
        <v>-1703.96</v>
      </c>
    </row>
    <row r="57" spans="1:7" x14ac:dyDescent="0.35">
      <c r="A57" s="178" t="s">
        <v>568</v>
      </c>
      <c r="B57" s="178" t="s">
        <v>569</v>
      </c>
      <c r="C57" s="178" t="s">
        <v>564</v>
      </c>
      <c r="D57" s="178" t="s">
        <v>570</v>
      </c>
      <c r="E57">
        <v>-1182.75</v>
      </c>
      <c r="F57">
        <v>-177.41</v>
      </c>
      <c r="G57">
        <v>-1360.16</v>
      </c>
    </row>
    <row r="58" spans="1:7" x14ac:dyDescent="0.35">
      <c r="A58" s="178" t="s">
        <v>430</v>
      </c>
      <c r="B58" s="178" t="s">
        <v>571</v>
      </c>
      <c r="C58" s="178" t="s">
        <v>564</v>
      </c>
      <c r="D58" s="178" t="s">
        <v>572</v>
      </c>
      <c r="E58">
        <v>-15151.5</v>
      </c>
      <c r="F58">
        <v>-2272.73</v>
      </c>
      <c r="G58">
        <v>-17424.23</v>
      </c>
    </row>
    <row r="59" spans="1:7" x14ac:dyDescent="0.35">
      <c r="A59" s="178" t="s">
        <v>573</v>
      </c>
      <c r="B59" s="178" t="s">
        <v>574</v>
      </c>
      <c r="C59" s="178" t="s">
        <v>564</v>
      </c>
      <c r="D59" s="178" t="s">
        <v>575</v>
      </c>
      <c r="E59">
        <v>-1387</v>
      </c>
      <c r="F59">
        <v>-208.05</v>
      </c>
      <c r="G59">
        <v>-1595.05</v>
      </c>
    </row>
    <row r="60" spans="1:7" x14ac:dyDescent="0.35">
      <c r="A60" s="178" t="s">
        <v>576</v>
      </c>
      <c r="B60" s="178" t="s">
        <v>577</v>
      </c>
      <c r="C60" s="178" t="s">
        <v>564</v>
      </c>
      <c r="D60" s="178" t="s">
        <v>578</v>
      </c>
      <c r="E60">
        <v>-980</v>
      </c>
      <c r="F60">
        <v>-147</v>
      </c>
      <c r="G60">
        <v>-1127</v>
      </c>
    </row>
    <row r="61" spans="1:7" x14ac:dyDescent="0.35">
      <c r="A61" s="178" t="s">
        <v>579</v>
      </c>
      <c r="B61" s="178" t="s">
        <v>580</v>
      </c>
      <c r="C61" s="178" t="s">
        <v>420</v>
      </c>
      <c r="D61" s="178" t="s">
        <v>581</v>
      </c>
      <c r="E61">
        <v>-7907.4</v>
      </c>
      <c r="F61">
        <v>-1186.1099999999999</v>
      </c>
      <c r="G61">
        <v>-9093.51</v>
      </c>
    </row>
    <row r="62" spans="1:7" x14ac:dyDescent="0.35">
      <c r="A62" s="178" t="s">
        <v>582</v>
      </c>
      <c r="B62" s="178" t="s">
        <v>583</v>
      </c>
      <c r="C62" s="178" t="s">
        <v>420</v>
      </c>
      <c r="D62" s="178" t="s">
        <v>584</v>
      </c>
      <c r="E62">
        <v>-2480.5</v>
      </c>
      <c r="F62">
        <v>-372.08</v>
      </c>
      <c r="G62">
        <v>-2852.58</v>
      </c>
    </row>
    <row r="63" spans="1:7" x14ac:dyDescent="0.35">
      <c r="A63" s="178" t="s">
        <v>529</v>
      </c>
      <c r="B63" s="178" t="s">
        <v>585</v>
      </c>
      <c r="C63" s="178" t="s">
        <v>420</v>
      </c>
      <c r="D63" s="178" t="s">
        <v>586</v>
      </c>
      <c r="E63">
        <v>-1606.05</v>
      </c>
      <c r="F63">
        <v>-240.91</v>
      </c>
      <c r="G63">
        <v>-1846.96</v>
      </c>
    </row>
    <row r="64" spans="1:7" x14ac:dyDescent="0.35">
      <c r="A64" s="178" t="s">
        <v>587</v>
      </c>
      <c r="B64" s="178" t="s">
        <v>588</v>
      </c>
      <c r="C64" s="178" t="s">
        <v>564</v>
      </c>
      <c r="D64" s="178" t="s">
        <v>589</v>
      </c>
      <c r="E64">
        <v>-18881.099999999999</v>
      </c>
      <c r="F64">
        <v>-2832.17</v>
      </c>
      <c r="G64">
        <v>-21713.27</v>
      </c>
    </row>
    <row r="65" spans="1:7" x14ac:dyDescent="0.35">
      <c r="A65" s="178" t="s">
        <v>590</v>
      </c>
      <c r="B65" s="178" t="s">
        <v>591</v>
      </c>
      <c r="C65" s="178" t="s">
        <v>420</v>
      </c>
      <c r="D65" s="178" t="s">
        <v>592</v>
      </c>
      <c r="E65">
        <v>-2480.4</v>
      </c>
      <c r="F65">
        <v>-372.06</v>
      </c>
      <c r="G65">
        <v>-2852.46</v>
      </c>
    </row>
    <row r="66" spans="1:7" x14ac:dyDescent="0.35">
      <c r="A66" s="178" t="s">
        <v>593</v>
      </c>
      <c r="B66" s="178" t="s">
        <v>594</v>
      </c>
      <c r="C66" s="178" t="s">
        <v>595</v>
      </c>
      <c r="D66" s="178" t="s">
        <v>596</v>
      </c>
      <c r="E66">
        <v>-2778.75</v>
      </c>
      <c r="F66">
        <v>-416.81</v>
      </c>
      <c r="G66">
        <v>-3195.56</v>
      </c>
    </row>
    <row r="67" spans="1:7" x14ac:dyDescent="0.35">
      <c r="A67" s="178" t="s">
        <v>597</v>
      </c>
      <c r="B67" s="178" t="s">
        <v>598</v>
      </c>
      <c r="C67" s="178" t="s">
        <v>595</v>
      </c>
      <c r="D67" s="178" t="s">
        <v>599</v>
      </c>
      <c r="E67">
        <v>-1349</v>
      </c>
      <c r="F67">
        <v>-202.35</v>
      </c>
      <c r="G67">
        <v>-1551.35</v>
      </c>
    </row>
    <row r="68" spans="1:7" x14ac:dyDescent="0.35">
      <c r="A68" s="178" t="s">
        <v>557</v>
      </c>
      <c r="B68" s="178" t="s">
        <v>600</v>
      </c>
      <c r="C68" s="178" t="s">
        <v>595</v>
      </c>
      <c r="D68" s="178" t="s">
        <v>601</v>
      </c>
      <c r="E68">
        <v>-1305.3</v>
      </c>
      <c r="F68">
        <v>-195.8</v>
      </c>
      <c r="G68">
        <v>-1501.1</v>
      </c>
    </row>
    <row r="69" spans="1:7" x14ac:dyDescent="0.35">
      <c r="A69" s="178" t="s">
        <v>602</v>
      </c>
      <c r="B69" s="178" t="s">
        <v>603</v>
      </c>
      <c r="C69" s="178" t="s">
        <v>604</v>
      </c>
      <c r="D69" s="178" t="s">
        <v>605</v>
      </c>
      <c r="E69">
        <v>-1594.7</v>
      </c>
      <c r="F69">
        <v>-239.21</v>
      </c>
      <c r="G69">
        <v>-1833.91</v>
      </c>
    </row>
    <row r="70" spans="1:7" x14ac:dyDescent="0.35">
      <c r="A70" s="178" t="s">
        <v>606</v>
      </c>
      <c r="B70" s="178" t="s">
        <v>607</v>
      </c>
      <c r="C70" s="178" t="s">
        <v>604</v>
      </c>
      <c r="D70" s="178" t="s">
        <v>608</v>
      </c>
      <c r="E70">
        <v>-1250.0999999999999</v>
      </c>
      <c r="F70">
        <v>-187.52</v>
      </c>
      <c r="G70">
        <v>-1437.62</v>
      </c>
    </row>
    <row r="71" spans="1:7" x14ac:dyDescent="0.35">
      <c r="A71" s="178" t="s">
        <v>609</v>
      </c>
      <c r="B71" s="178" t="s">
        <v>610</v>
      </c>
      <c r="C71" s="178" t="s">
        <v>604</v>
      </c>
      <c r="D71" s="178" t="s">
        <v>611</v>
      </c>
      <c r="E71">
        <v>-7736.4</v>
      </c>
      <c r="F71">
        <v>-1160.46</v>
      </c>
      <c r="G71">
        <v>-8896.86</v>
      </c>
    </row>
    <row r="72" spans="1:7" x14ac:dyDescent="0.35">
      <c r="A72" s="178" t="s">
        <v>508</v>
      </c>
      <c r="B72" s="178" t="s">
        <v>612</v>
      </c>
      <c r="C72" s="178" t="s">
        <v>604</v>
      </c>
      <c r="D72" s="178" t="s">
        <v>613</v>
      </c>
      <c r="E72">
        <v>-3477.55</v>
      </c>
      <c r="F72">
        <v>-521.63</v>
      </c>
      <c r="G72">
        <v>-3999.18</v>
      </c>
    </row>
    <row r="73" spans="1:7" x14ac:dyDescent="0.35">
      <c r="A73" s="178" t="s">
        <v>614</v>
      </c>
      <c r="B73" s="178" t="s">
        <v>615</v>
      </c>
      <c r="C73" s="178" t="s">
        <v>604</v>
      </c>
      <c r="D73" s="178" t="s">
        <v>616</v>
      </c>
      <c r="E73">
        <v>-800.95</v>
      </c>
      <c r="F73">
        <v>-120.14</v>
      </c>
      <c r="G73">
        <v>-921.09</v>
      </c>
    </row>
    <row r="74" spans="1:7" x14ac:dyDescent="0.35">
      <c r="A74" s="178" t="s">
        <v>617</v>
      </c>
      <c r="B74" s="178" t="s">
        <v>618</v>
      </c>
      <c r="C74" s="178" t="s">
        <v>604</v>
      </c>
      <c r="D74" s="178" t="s">
        <v>619</v>
      </c>
      <c r="E74">
        <v>-5001.1499999999996</v>
      </c>
      <c r="F74">
        <v>-750.17</v>
      </c>
      <c r="G74">
        <v>-5751.32</v>
      </c>
    </row>
    <row r="75" spans="1:7" x14ac:dyDescent="0.35">
      <c r="A75" s="178" t="s">
        <v>587</v>
      </c>
      <c r="B75" s="178" t="s">
        <v>620</v>
      </c>
      <c r="C75" s="178" t="s">
        <v>621</v>
      </c>
      <c r="D75" s="178" t="s">
        <v>622</v>
      </c>
      <c r="E75">
        <v>-6562</v>
      </c>
      <c r="F75">
        <v>-984.3</v>
      </c>
      <c r="G75">
        <v>-7546.3</v>
      </c>
    </row>
    <row r="76" spans="1:7" x14ac:dyDescent="0.35">
      <c r="A76" s="178" t="s">
        <v>623</v>
      </c>
      <c r="B76" s="178" t="s">
        <v>624</v>
      </c>
      <c r="C76" s="178" t="s">
        <v>621</v>
      </c>
      <c r="D76" s="178" t="s">
        <v>625</v>
      </c>
      <c r="E76">
        <v>-1058</v>
      </c>
      <c r="F76">
        <v>-158.69999999999999</v>
      </c>
      <c r="G76">
        <v>-1216.7</v>
      </c>
    </row>
    <row r="77" spans="1:7" x14ac:dyDescent="0.35">
      <c r="A77" s="178" t="s">
        <v>626</v>
      </c>
      <c r="B77" s="178" t="s">
        <v>627</v>
      </c>
      <c r="C77" s="178" t="s">
        <v>621</v>
      </c>
      <c r="D77" s="178" t="s">
        <v>628</v>
      </c>
      <c r="E77">
        <v>-660.3</v>
      </c>
      <c r="F77">
        <v>-99.05</v>
      </c>
      <c r="G77">
        <v>-759.35</v>
      </c>
    </row>
    <row r="78" spans="1:7" x14ac:dyDescent="0.35">
      <c r="A78" s="178" t="s">
        <v>436</v>
      </c>
      <c r="B78" s="178" t="s">
        <v>629</v>
      </c>
      <c r="C78" s="178" t="s">
        <v>621</v>
      </c>
      <c r="D78" s="178" t="s">
        <v>630</v>
      </c>
      <c r="E78">
        <v>-2642.55</v>
      </c>
      <c r="F78">
        <v>-396.38</v>
      </c>
      <c r="G78">
        <v>-3038.93</v>
      </c>
    </row>
    <row r="79" spans="1:7" x14ac:dyDescent="0.35">
      <c r="A79" s="178" t="s">
        <v>631</v>
      </c>
      <c r="B79" s="178" t="s">
        <v>632</v>
      </c>
      <c r="C79" s="178" t="s">
        <v>621</v>
      </c>
      <c r="D79" s="178" t="s">
        <v>633</v>
      </c>
      <c r="E79">
        <v>-770.35</v>
      </c>
      <c r="F79">
        <v>-115.55</v>
      </c>
      <c r="G79">
        <v>-885.9</v>
      </c>
    </row>
    <row r="80" spans="1:7" x14ac:dyDescent="0.35">
      <c r="A80" s="178" t="s">
        <v>634</v>
      </c>
      <c r="B80" s="178" t="s">
        <v>635</v>
      </c>
      <c r="C80" s="178" t="s">
        <v>621</v>
      </c>
      <c r="D80" s="178" t="s">
        <v>636</v>
      </c>
      <c r="E80">
        <v>-5082</v>
      </c>
      <c r="F80">
        <v>-762.3</v>
      </c>
      <c r="G80">
        <v>-5844.3</v>
      </c>
    </row>
    <row r="81" spans="1:7" x14ac:dyDescent="0.35">
      <c r="A81" s="178" t="s">
        <v>637</v>
      </c>
      <c r="B81" s="178" t="s">
        <v>638</v>
      </c>
      <c r="C81" s="178" t="s">
        <v>621</v>
      </c>
      <c r="D81" s="178" t="s">
        <v>639</v>
      </c>
      <c r="E81">
        <v>-1094.5</v>
      </c>
      <c r="F81">
        <v>-164.18</v>
      </c>
      <c r="G81">
        <v>-1258.68</v>
      </c>
    </row>
    <row r="82" spans="1:7" x14ac:dyDescent="0.35">
      <c r="A82" s="178" t="s">
        <v>640</v>
      </c>
      <c r="B82" s="178" t="s">
        <v>641</v>
      </c>
      <c r="C82" s="178" t="s">
        <v>642</v>
      </c>
      <c r="D82" s="178" t="s">
        <v>432</v>
      </c>
      <c r="E82">
        <v>-2609.6</v>
      </c>
      <c r="F82">
        <v>-391.44</v>
      </c>
      <c r="G82">
        <v>-3001.04</v>
      </c>
    </row>
    <row r="83" spans="1:7" x14ac:dyDescent="0.35">
      <c r="A83" s="178" t="s">
        <v>643</v>
      </c>
      <c r="B83" s="178" t="s">
        <v>644</v>
      </c>
      <c r="C83" s="178" t="s">
        <v>642</v>
      </c>
      <c r="D83" s="178" t="s">
        <v>432</v>
      </c>
      <c r="E83">
        <v>-4370.2</v>
      </c>
      <c r="F83">
        <v>-655.53</v>
      </c>
      <c r="G83">
        <v>-5025.7299999999996</v>
      </c>
    </row>
    <row r="84" spans="1:7" x14ac:dyDescent="0.35">
      <c r="A84" s="178" t="s">
        <v>460</v>
      </c>
      <c r="B84" s="178" t="s">
        <v>645</v>
      </c>
      <c r="C84" s="178" t="s">
        <v>642</v>
      </c>
      <c r="D84" s="178" t="s">
        <v>646</v>
      </c>
      <c r="E84">
        <v>-1946.55</v>
      </c>
      <c r="F84">
        <v>-291.98</v>
      </c>
      <c r="G84">
        <v>-2238.5300000000002</v>
      </c>
    </row>
    <row r="85" spans="1:7" x14ac:dyDescent="0.35">
      <c r="A85" s="178" t="s">
        <v>647</v>
      </c>
      <c r="B85" s="178" t="s">
        <v>648</v>
      </c>
      <c r="C85" s="178" t="s">
        <v>642</v>
      </c>
      <c r="D85" s="178" t="s">
        <v>649</v>
      </c>
      <c r="E85">
        <v>-834.15</v>
      </c>
      <c r="F85">
        <v>-125.12</v>
      </c>
      <c r="G85">
        <v>-959.27</v>
      </c>
    </row>
    <row r="86" spans="1:7" x14ac:dyDescent="0.35">
      <c r="A86" s="178" t="s">
        <v>650</v>
      </c>
      <c r="B86" s="178" t="s">
        <v>651</v>
      </c>
      <c r="C86" s="178" t="s">
        <v>642</v>
      </c>
      <c r="D86" s="178" t="s">
        <v>652</v>
      </c>
      <c r="E86">
        <v>-1279.6500000000001</v>
      </c>
      <c r="F86">
        <v>-191.95</v>
      </c>
      <c r="G86">
        <v>-1471.6</v>
      </c>
    </row>
    <row r="87" spans="1:7" x14ac:dyDescent="0.35">
      <c r="A87" s="178" t="s">
        <v>653</v>
      </c>
      <c r="B87" s="178" t="s">
        <v>654</v>
      </c>
      <c r="C87" s="178" t="s">
        <v>642</v>
      </c>
      <c r="D87" s="178" t="s">
        <v>655</v>
      </c>
      <c r="E87">
        <v>-1374.3</v>
      </c>
      <c r="F87">
        <v>-206.15</v>
      </c>
      <c r="G87">
        <v>-1580.45</v>
      </c>
    </row>
    <row r="88" spans="1:7" x14ac:dyDescent="0.35">
      <c r="A88" s="178" t="s">
        <v>656</v>
      </c>
      <c r="B88" s="178" t="s">
        <v>657</v>
      </c>
      <c r="C88" s="178" t="s">
        <v>642</v>
      </c>
      <c r="D88" s="178" t="s">
        <v>432</v>
      </c>
      <c r="E88">
        <v>-3129.75</v>
      </c>
      <c r="F88">
        <v>-469.47</v>
      </c>
      <c r="G88">
        <v>-3599.22</v>
      </c>
    </row>
    <row r="89" spans="1:7" x14ac:dyDescent="0.35">
      <c r="A89" s="178" t="s">
        <v>658</v>
      </c>
      <c r="B89" s="178" t="s">
        <v>659</v>
      </c>
      <c r="C89" s="178" t="s">
        <v>642</v>
      </c>
      <c r="D89" s="178" t="s">
        <v>432</v>
      </c>
      <c r="E89">
        <v>-6716.25</v>
      </c>
      <c r="F89">
        <v>-1007.44</v>
      </c>
      <c r="G89">
        <v>-7723.69</v>
      </c>
    </row>
    <row r="90" spans="1:7" x14ac:dyDescent="0.35">
      <c r="A90" s="178" t="s">
        <v>606</v>
      </c>
      <c r="B90" s="178" t="s">
        <v>660</v>
      </c>
      <c r="C90" s="178" t="s">
        <v>661</v>
      </c>
      <c r="D90" s="178" t="s">
        <v>662</v>
      </c>
      <c r="E90">
        <v>-2335.5</v>
      </c>
      <c r="F90">
        <v>-350.33</v>
      </c>
      <c r="G90">
        <v>-2685.83</v>
      </c>
    </row>
    <row r="91" spans="1:7" x14ac:dyDescent="0.35">
      <c r="A91" s="178" t="s">
        <v>663</v>
      </c>
      <c r="B91" s="178" t="s">
        <v>664</v>
      </c>
      <c r="C91" s="178" t="s">
        <v>661</v>
      </c>
      <c r="D91" s="178" t="s">
        <v>665</v>
      </c>
      <c r="E91">
        <v>-5836.8</v>
      </c>
      <c r="F91">
        <v>-875.52</v>
      </c>
      <c r="G91">
        <v>-6712.32</v>
      </c>
    </row>
    <row r="92" spans="1:7" x14ac:dyDescent="0.35">
      <c r="A92" s="178" t="s">
        <v>666</v>
      </c>
      <c r="B92" s="178" t="s">
        <v>667</v>
      </c>
      <c r="C92" s="178" t="s">
        <v>661</v>
      </c>
      <c r="D92" s="178" t="s">
        <v>432</v>
      </c>
      <c r="E92">
        <v>-9904.1</v>
      </c>
      <c r="F92">
        <v>-1485.62</v>
      </c>
      <c r="G92">
        <v>-11389.72</v>
      </c>
    </row>
    <row r="93" spans="1:7" x14ac:dyDescent="0.35">
      <c r="A93" s="178" t="s">
        <v>535</v>
      </c>
      <c r="B93" s="178" t="s">
        <v>668</v>
      </c>
      <c r="C93" s="178" t="s">
        <v>661</v>
      </c>
      <c r="D93" s="178" t="s">
        <v>537</v>
      </c>
      <c r="E93">
        <v>-10458</v>
      </c>
      <c r="F93">
        <v>-1568.7</v>
      </c>
      <c r="G93">
        <v>-12026.7</v>
      </c>
    </row>
    <row r="94" spans="1:7" x14ac:dyDescent="0.35">
      <c r="A94" s="178" t="s">
        <v>460</v>
      </c>
      <c r="B94" s="178" t="s">
        <v>669</v>
      </c>
      <c r="C94" s="178" t="s">
        <v>661</v>
      </c>
      <c r="D94" s="178" t="s">
        <v>670</v>
      </c>
      <c r="E94">
        <v>-2475.15</v>
      </c>
      <c r="F94">
        <v>-371.27</v>
      </c>
      <c r="G94">
        <v>-2846.42</v>
      </c>
    </row>
    <row r="95" spans="1:7" x14ac:dyDescent="0.35">
      <c r="A95" s="178" t="s">
        <v>671</v>
      </c>
      <c r="B95" s="178" t="s">
        <v>672</v>
      </c>
      <c r="C95" s="178" t="s">
        <v>661</v>
      </c>
      <c r="D95" s="178" t="s">
        <v>673</v>
      </c>
      <c r="E95">
        <v>-5056.8</v>
      </c>
      <c r="F95">
        <v>-758.52</v>
      </c>
      <c r="G95">
        <v>-5815.32</v>
      </c>
    </row>
    <row r="96" spans="1:7" x14ac:dyDescent="0.35">
      <c r="A96" s="178" t="s">
        <v>541</v>
      </c>
      <c r="B96" s="178" t="s">
        <v>674</v>
      </c>
      <c r="C96" s="178" t="s">
        <v>661</v>
      </c>
      <c r="D96" s="178" t="s">
        <v>675</v>
      </c>
      <c r="E96">
        <v>-2188.75</v>
      </c>
      <c r="F96">
        <v>-328.31</v>
      </c>
      <c r="G96">
        <v>-2517.06</v>
      </c>
    </row>
    <row r="97" spans="1:7" x14ac:dyDescent="0.35">
      <c r="A97" s="178" t="s">
        <v>593</v>
      </c>
      <c r="B97" s="178" t="s">
        <v>676</v>
      </c>
      <c r="C97" s="178" t="s">
        <v>661</v>
      </c>
      <c r="D97" s="178" t="s">
        <v>677</v>
      </c>
      <c r="E97">
        <v>-1256.5</v>
      </c>
      <c r="F97">
        <v>-188.48</v>
      </c>
      <c r="G97">
        <v>-1444.98</v>
      </c>
    </row>
    <row r="98" spans="1:7" x14ac:dyDescent="0.35">
      <c r="A98" s="178" t="s">
        <v>541</v>
      </c>
      <c r="B98" s="178" t="s">
        <v>678</v>
      </c>
      <c r="C98" s="178" t="s">
        <v>661</v>
      </c>
      <c r="D98" s="178" t="s">
        <v>679</v>
      </c>
      <c r="E98">
        <v>-2448</v>
      </c>
      <c r="F98">
        <v>-367.2</v>
      </c>
      <c r="G98">
        <v>-2815.2</v>
      </c>
    </row>
    <row r="99" spans="1:7" x14ac:dyDescent="0.35">
      <c r="A99" s="178" t="s">
        <v>680</v>
      </c>
      <c r="B99" s="178" t="s">
        <v>681</v>
      </c>
      <c r="C99" s="178" t="s">
        <v>682</v>
      </c>
      <c r="D99" s="178" t="s">
        <v>683</v>
      </c>
      <c r="E99">
        <v>-2290.8000000000002</v>
      </c>
      <c r="F99">
        <v>-343.62</v>
      </c>
      <c r="G99">
        <v>-2634.42</v>
      </c>
    </row>
    <row r="100" spans="1:7" x14ac:dyDescent="0.35">
      <c r="A100" s="178" t="s">
        <v>684</v>
      </c>
      <c r="B100" s="178" t="s">
        <v>685</v>
      </c>
      <c r="C100" s="178" t="s">
        <v>682</v>
      </c>
      <c r="D100" s="178" t="s">
        <v>686</v>
      </c>
      <c r="E100">
        <v>-817.92</v>
      </c>
      <c r="F100">
        <v>-122.69</v>
      </c>
      <c r="G100">
        <v>-940.61</v>
      </c>
    </row>
    <row r="101" spans="1:7" x14ac:dyDescent="0.35">
      <c r="A101" s="178" t="s">
        <v>687</v>
      </c>
      <c r="B101" s="178" t="s">
        <v>688</v>
      </c>
      <c r="C101" s="178" t="s">
        <v>689</v>
      </c>
      <c r="D101" s="178" t="s">
        <v>690</v>
      </c>
      <c r="E101">
        <v>-2737.8</v>
      </c>
      <c r="F101">
        <v>-410.67</v>
      </c>
      <c r="G101">
        <v>-3148.47</v>
      </c>
    </row>
    <row r="102" spans="1:7" x14ac:dyDescent="0.35">
      <c r="A102" s="178" t="s">
        <v>691</v>
      </c>
      <c r="B102" s="178" t="s">
        <v>692</v>
      </c>
      <c r="C102" s="178" t="s">
        <v>689</v>
      </c>
      <c r="D102" s="178" t="s">
        <v>693</v>
      </c>
      <c r="E102">
        <v>-4219.6000000000004</v>
      </c>
      <c r="F102">
        <v>-632.94000000000005</v>
      </c>
      <c r="G102">
        <v>-4852.54</v>
      </c>
    </row>
    <row r="103" spans="1:7" x14ac:dyDescent="0.35">
      <c r="A103" s="178" t="s">
        <v>694</v>
      </c>
      <c r="B103" s="178" t="s">
        <v>695</v>
      </c>
      <c r="C103" s="178" t="s">
        <v>689</v>
      </c>
      <c r="D103" s="178" t="s">
        <v>696</v>
      </c>
      <c r="E103">
        <v>-799.8</v>
      </c>
      <c r="F103">
        <v>-119.97</v>
      </c>
      <c r="G103">
        <v>-919.77</v>
      </c>
    </row>
    <row r="104" spans="1:7" x14ac:dyDescent="0.35">
      <c r="A104" s="178" t="s">
        <v>697</v>
      </c>
      <c r="B104" s="178" t="s">
        <v>698</v>
      </c>
      <c r="C104" s="178" t="s">
        <v>699</v>
      </c>
      <c r="D104" s="178" t="s">
        <v>700</v>
      </c>
      <c r="E104">
        <v>-1279.5999999999999</v>
      </c>
      <c r="F104">
        <v>-191.94</v>
      </c>
      <c r="G104">
        <v>-1471.54</v>
      </c>
    </row>
    <row r="105" spans="1:7" x14ac:dyDescent="0.35">
      <c r="A105" s="178" t="s">
        <v>663</v>
      </c>
      <c r="B105" s="178" t="s">
        <v>701</v>
      </c>
      <c r="C105" s="178" t="s">
        <v>699</v>
      </c>
      <c r="D105" s="178" t="s">
        <v>702</v>
      </c>
      <c r="E105">
        <v>-4103.8</v>
      </c>
      <c r="F105">
        <v>-615.57000000000005</v>
      </c>
      <c r="G105">
        <v>-4719.37</v>
      </c>
    </row>
    <row r="106" spans="1:7" x14ac:dyDescent="0.35">
      <c r="A106" s="178" t="s">
        <v>602</v>
      </c>
      <c r="B106" s="178" t="s">
        <v>703</v>
      </c>
      <c r="C106" s="178" t="s">
        <v>699</v>
      </c>
      <c r="D106" s="178" t="s">
        <v>704</v>
      </c>
      <c r="E106">
        <v>-5900</v>
      </c>
      <c r="F106">
        <v>-885</v>
      </c>
      <c r="G106">
        <v>-6785</v>
      </c>
    </row>
    <row r="107" spans="1:7" x14ac:dyDescent="0.35">
      <c r="A107" s="178" t="s">
        <v>705</v>
      </c>
      <c r="B107" s="178" t="s">
        <v>706</v>
      </c>
      <c r="C107" s="178" t="s">
        <v>699</v>
      </c>
      <c r="D107" s="178" t="s">
        <v>432</v>
      </c>
      <c r="E107">
        <v>-4599.5</v>
      </c>
      <c r="F107">
        <v>-689.93</v>
      </c>
      <c r="G107">
        <v>-5289.43</v>
      </c>
    </row>
    <row r="108" spans="1:7" x14ac:dyDescent="0.35">
      <c r="A108" s="178" t="s">
        <v>707</v>
      </c>
      <c r="B108" s="178" t="s">
        <v>708</v>
      </c>
      <c r="C108" s="178" t="s">
        <v>699</v>
      </c>
      <c r="D108" s="178" t="s">
        <v>709</v>
      </c>
      <c r="E108">
        <v>-7252.2</v>
      </c>
      <c r="F108">
        <v>-1087.83</v>
      </c>
      <c r="G108">
        <v>-8340.0300000000007</v>
      </c>
    </row>
    <row r="109" spans="1:7" x14ac:dyDescent="0.35">
      <c r="A109" s="178" t="s">
        <v>573</v>
      </c>
      <c r="B109" s="178" t="s">
        <v>710</v>
      </c>
      <c r="C109" s="178" t="s">
        <v>699</v>
      </c>
      <c r="D109" s="178" t="s">
        <v>711</v>
      </c>
      <c r="E109">
        <v>-1002.8</v>
      </c>
      <c r="F109">
        <v>-150.41999999999999</v>
      </c>
      <c r="G109">
        <v>-1153.22</v>
      </c>
    </row>
    <row r="110" spans="1:7" x14ac:dyDescent="0.35">
      <c r="A110" s="178" t="s">
        <v>430</v>
      </c>
      <c r="B110" s="178" t="s">
        <v>712</v>
      </c>
      <c r="C110" s="178" t="s">
        <v>713</v>
      </c>
      <c r="D110" s="178" t="s">
        <v>432</v>
      </c>
      <c r="E110">
        <v>-34043.699999999997</v>
      </c>
      <c r="F110">
        <v>-5106.5600000000004</v>
      </c>
      <c r="G110">
        <v>-39150.26</v>
      </c>
    </row>
    <row r="111" spans="1:7" x14ac:dyDescent="0.35">
      <c r="A111" s="178" t="s">
        <v>714</v>
      </c>
      <c r="B111" s="178" t="s">
        <v>715</v>
      </c>
      <c r="C111" s="178" t="s">
        <v>713</v>
      </c>
      <c r="D111" s="178" t="s">
        <v>716</v>
      </c>
      <c r="E111">
        <v>-60982.6</v>
      </c>
      <c r="F111">
        <v>-9147.39</v>
      </c>
      <c r="G111">
        <v>-70129.990000000005</v>
      </c>
    </row>
    <row r="112" spans="1:7" x14ac:dyDescent="0.35">
      <c r="A112" s="178" t="s">
        <v>717</v>
      </c>
      <c r="B112" s="178" t="s">
        <v>718</v>
      </c>
      <c r="C112" s="178" t="s">
        <v>713</v>
      </c>
      <c r="D112" s="178" t="s">
        <v>719</v>
      </c>
      <c r="E112">
        <v>-4950</v>
      </c>
      <c r="F112">
        <v>-742.5</v>
      </c>
      <c r="G112">
        <v>-5692.5</v>
      </c>
    </row>
    <row r="113" spans="1:7" x14ac:dyDescent="0.35">
      <c r="A113" s="178" t="s">
        <v>720</v>
      </c>
      <c r="B113" s="178" t="s">
        <v>721</v>
      </c>
      <c r="C113" s="178" t="s">
        <v>713</v>
      </c>
      <c r="D113" s="178" t="s">
        <v>722</v>
      </c>
      <c r="E113">
        <v>-2931.6</v>
      </c>
      <c r="F113">
        <v>-439.74</v>
      </c>
      <c r="G113">
        <v>-3371.34</v>
      </c>
    </row>
    <row r="114" spans="1:7" x14ac:dyDescent="0.35">
      <c r="A114" s="178" t="s">
        <v>723</v>
      </c>
      <c r="B114" s="178" t="s">
        <v>724</v>
      </c>
      <c r="C114" s="178" t="s">
        <v>713</v>
      </c>
      <c r="D114" s="178" t="s">
        <v>725</v>
      </c>
      <c r="E114">
        <v>-861</v>
      </c>
      <c r="F114">
        <v>-129.15</v>
      </c>
      <c r="G114">
        <v>-990.15</v>
      </c>
    </row>
    <row r="115" spans="1:7" x14ac:dyDescent="0.35">
      <c r="A115" s="178" t="s">
        <v>634</v>
      </c>
      <c r="B115" s="178" t="s">
        <v>726</v>
      </c>
      <c r="C115" s="178" t="s">
        <v>713</v>
      </c>
      <c r="D115" s="178" t="s">
        <v>727</v>
      </c>
      <c r="E115">
        <v>-14500</v>
      </c>
      <c r="F115">
        <v>-2175</v>
      </c>
      <c r="G115">
        <v>-16675</v>
      </c>
    </row>
    <row r="116" spans="1:7" x14ac:dyDescent="0.35">
      <c r="A116" s="178" t="s">
        <v>728</v>
      </c>
      <c r="B116" s="178" t="s">
        <v>729</v>
      </c>
      <c r="C116" s="178" t="s">
        <v>713</v>
      </c>
      <c r="D116" s="178" t="s">
        <v>730</v>
      </c>
      <c r="E116">
        <v>-4825.3</v>
      </c>
      <c r="F116">
        <v>-723.8</v>
      </c>
      <c r="G116">
        <v>-5549.1</v>
      </c>
    </row>
    <row r="117" spans="1:7" x14ac:dyDescent="0.35">
      <c r="A117" s="178" t="s">
        <v>606</v>
      </c>
      <c r="B117" s="178" t="s">
        <v>731</v>
      </c>
      <c r="C117" s="178" t="s">
        <v>732</v>
      </c>
      <c r="D117" s="178" t="s">
        <v>733</v>
      </c>
      <c r="E117">
        <v>-4533.3</v>
      </c>
      <c r="F117">
        <v>-680</v>
      </c>
      <c r="G117">
        <v>-5213.3</v>
      </c>
    </row>
    <row r="118" spans="1:7" x14ac:dyDescent="0.35">
      <c r="A118" s="178" t="s">
        <v>535</v>
      </c>
      <c r="B118" s="178" t="s">
        <v>734</v>
      </c>
      <c r="C118" s="178" t="s">
        <v>732</v>
      </c>
      <c r="D118" s="178" t="s">
        <v>735</v>
      </c>
      <c r="E118">
        <v>-799</v>
      </c>
      <c r="F118">
        <v>-119.85</v>
      </c>
      <c r="G118">
        <v>-918.85</v>
      </c>
    </row>
    <row r="119" spans="1:7" x14ac:dyDescent="0.35">
      <c r="A119" s="178" t="s">
        <v>736</v>
      </c>
      <c r="B119" s="178" t="s">
        <v>737</v>
      </c>
      <c r="C119" s="178" t="s">
        <v>732</v>
      </c>
      <c r="D119" s="178" t="s">
        <v>738</v>
      </c>
      <c r="E119">
        <v>-1438.5</v>
      </c>
      <c r="F119">
        <v>-215.78</v>
      </c>
      <c r="G119">
        <v>-1654.28</v>
      </c>
    </row>
    <row r="120" spans="1:7" x14ac:dyDescent="0.35">
      <c r="A120" s="178" t="s">
        <v>714</v>
      </c>
      <c r="B120" s="178" t="s">
        <v>739</v>
      </c>
      <c r="C120" s="178" t="s">
        <v>732</v>
      </c>
      <c r="D120" s="178" t="s">
        <v>740</v>
      </c>
      <c r="E120">
        <v>-4072.1</v>
      </c>
      <c r="F120">
        <v>-610.82000000000005</v>
      </c>
      <c r="G120">
        <v>-4682.92</v>
      </c>
    </row>
    <row r="121" spans="1:7" x14ac:dyDescent="0.35">
      <c r="A121" s="178" t="s">
        <v>522</v>
      </c>
      <c r="B121" s="178" t="s">
        <v>741</v>
      </c>
      <c r="C121" s="178" t="s">
        <v>732</v>
      </c>
      <c r="D121" s="178" t="s">
        <v>742</v>
      </c>
      <c r="E121">
        <v>-816</v>
      </c>
      <c r="F121">
        <v>-122.4</v>
      </c>
      <c r="G121">
        <v>-938.4</v>
      </c>
    </row>
    <row r="122" spans="1:7" x14ac:dyDescent="0.35">
      <c r="A122" s="178" t="s">
        <v>430</v>
      </c>
      <c r="B122" s="178" t="s">
        <v>743</v>
      </c>
      <c r="C122" s="178" t="s">
        <v>713</v>
      </c>
      <c r="D122" s="178" t="s">
        <v>744</v>
      </c>
      <c r="E122">
        <v>-451.8</v>
      </c>
      <c r="F122">
        <v>-67.77</v>
      </c>
      <c r="G122">
        <v>-519.57000000000005</v>
      </c>
    </row>
    <row r="123" spans="1:7" x14ac:dyDescent="0.35">
      <c r="A123" s="178" t="s">
        <v>745</v>
      </c>
      <c r="B123" s="178" t="s">
        <v>746</v>
      </c>
      <c r="C123" s="178" t="s">
        <v>425</v>
      </c>
      <c r="D123" s="178" t="s">
        <v>63</v>
      </c>
      <c r="E123">
        <v>47328.3</v>
      </c>
      <c r="F123">
        <v>7099.25</v>
      </c>
      <c r="G123">
        <v>54427.55</v>
      </c>
    </row>
    <row r="124" spans="1:7" x14ac:dyDescent="0.35">
      <c r="A124" s="178" t="s">
        <v>747</v>
      </c>
      <c r="B124" s="178" t="s">
        <v>748</v>
      </c>
      <c r="C124" s="178" t="s">
        <v>425</v>
      </c>
      <c r="D124" s="178" t="s">
        <v>63</v>
      </c>
      <c r="E124">
        <v>4504</v>
      </c>
      <c r="F124">
        <v>675.6</v>
      </c>
      <c r="G124">
        <v>5179.6000000000004</v>
      </c>
    </row>
    <row r="125" spans="1:7" x14ac:dyDescent="0.35">
      <c r="A125" s="178" t="s">
        <v>749</v>
      </c>
      <c r="B125" s="178" t="s">
        <v>750</v>
      </c>
      <c r="C125" s="178" t="s">
        <v>441</v>
      </c>
      <c r="D125" s="178" t="s">
        <v>63</v>
      </c>
      <c r="E125">
        <v>2539.25</v>
      </c>
      <c r="F125">
        <v>380.89</v>
      </c>
      <c r="G125">
        <v>2920.14</v>
      </c>
    </row>
    <row r="126" spans="1:7" x14ac:dyDescent="0.35">
      <c r="A126" s="178" t="s">
        <v>751</v>
      </c>
      <c r="B126" s="178" t="s">
        <v>752</v>
      </c>
      <c r="C126" s="178" t="s">
        <v>425</v>
      </c>
      <c r="D126" s="178" t="s">
        <v>63</v>
      </c>
      <c r="E126">
        <v>3954.95</v>
      </c>
      <c r="F126">
        <v>593.24</v>
      </c>
      <c r="G126">
        <v>4548.1899999999996</v>
      </c>
    </row>
    <row r="127" spans="1:7" x14ac:dyDescent="0.35">
      <c r="A127" s="178" t="s">
        <v>753</v>
      </c>
      <c r="B127" s="178" t="s">
        <v>754</v>
      </c>
      <c r="C127" s="178" t="s">
        <v>425</v>
      </c>
      <c r="D127" s="178" t="s">
        <v>63</v>
      </c>
      <c r="E127">
        <v>1050</v>
      </c>
      <c r="F127">
        <v>157.5</v>
      </c>
      <c r="G127">
        <v>1207.5</v>
      </c>
    </row>
    <row r="128" spans="1:7" x14ac:dyDescent="0.35">
      <c r="A128" s="178" t="s">
        <v>487</v>
      </c>
      <c r="B128" s="178" t="s">
        <v>755</v>
      </c>
      <c r="C128" s="178" t="s">
        <v>425</v>
      </c>
      <c r="D128" s="178" t="s">
        <v>63</v>
      </c>
      <c r="E128">
        <v>3057.25</v>
      </c>
      <c r="F128">
        <v>458.59</v>
      </c>
      <c r="G128">
        <v>3515.84</v>
      </c>
    </row>
    <row r="129" spans="1:7" x14ac:dyDescent="0.35">
      <c r="A129" s="178" t="s">
        <v>756</v>
      </c>
      <c r="B129" s="178" t="s">
        <v>757</v>
      </c>
      <c r="C129" s="178" t="s">
        <v>425</v>
      </c>
      <c r="D129" s="178" t="s">
        <v>63</v>
      </c>
      <c r="E129">
        <v>16031.8</v>
      </c>
      <c r="F129">
        <v>2404.77</v>
      </c>
      <c r="G129">
        <v>18436.57</v>
      </c>
    </row>
    <row r="130" spans="1:7" x14ac:dyDescent="0.35">
      <c r="A130" s="178" t="s">
        <v>758</v>
      </c>
      <c r="B130" s="178" t="s">
        <v>759</v>
      </c>
      <c r="C130" s="178" t="s">
        <v>425</v>
      </c>
      <c r="D130" s="178" t="s">
        <v>760</v>
      </c>
      <c r="E130">
        <v>2940</v>
      </c>
      <c r="F130">
        <v>441</v>
      </c>
      <c r="G130">
        <v>3381</v>
      </c>
    </row>
    <row r="131" spans="1:7" x14ac:dyDescent="0.35">
      <c r="A131" s="178" t="s">
        <v>761</v>
      </c>
      <c r="B131" s="178" t="s">
        <v>762</v>
      </c>
      <c r="C131" s="178" t="s">
        <v>425</v>
      </c>
      <c r="D131" s="178" t="s">
        <v>763</v>
      </c>
      <c r="E131">
        <v>24750</v>
      </c>
      <c r="F131">
        <v>3712.5</v>
      </c>
      <c r="G131">
        <v>28462.5</v>
      </c>
    </row>
    <row r="132" spans="1:7" x14ac:dyDescent="0.35">
      <c r="A132" s="178" t="s">
        <v>764</v>
      </c>
      <c r="B132" s="178" t="s">
        <v>765</v>
      </c>
      <c r="C132" s="178" t="s">
        <v>425</v>
      </c>
      <c r="D132" s="178" t="s">
        <v>63</v>
      </c>
      <c r="E132">
        <v>64195.4</v>
      </c>
      <c r="F132">
        <v>9629.31</v>
      </c>
      <c r="G132">
        <v>73824.710000000006</v>
      </c>
    </row>
    <row r="133" spans="1:7" x14ac:dyDescent="0.35">
      <c r="A133" s="178" t="s">
        <v>764</v>
      </c>
      <c r="B133" s="178" t="s">
        <v>766</v>
      </c>
      <c r="C133" s="178" t="s">
        <v>425</v>
      </c>
      <c r="D133" s="178" t="s">
        <v>63</v>
      </c>
      <c r="E133">
        <v>6316.7</v>
      </c>
      <c r="F133">
        <v>947.51</v>
      </c>
      <c r="G133">
        <v>7264.21</v>
      </c>
    </row>
    <row r="134" spans="1:7" x14ac:dyDescent="0.35">
      <c r="A134" s="178" t="s">
        <v>767</v>
      </c>
      <c r="B134" s="178" t="s">
        <v>768</v>
      </c>
      <c r="C134" s="178" t="s">
        <v>425</v>
      </c>
      <c r="D134" s="178" t="s">
        <v>769</v>
      </c>
      <c r="E134">
        <v>30375</v>
      </c>
      <c r="F134">
        <v>4556.25</v>
      </c>
      <c r="G134">
        <v>34931.25</v>
      </c>
    </row>
    <row r="135" spans="1:7" x14ac:dyDescent="0.35">
      <c r="A135" s="178" t="s">
        <v>477</v>
      </c>
      <c r="B135" s="178" t="s">
        <v>770</v>
      </c>
      <c r="C135" s="178" t="s">
        <v>425</v>
      </c>
      <c r="D135" s="178" t="s">
        <v>771</v>
      </c>
      <c r="E135">
        <v>700.35</v>
      </c>
      <c r="F135">
        <v>105.05</v>
      </c>
      <c r="G135">
        <v>805.4</v>
      </c>
    </row>
    <row r="136" spans="1:7" x14ac:dyDescent="0.35">
      <c r="A136" s="178" t="s">
        <v>772</v>
      </c>
      <c r="B136" s="178" t="s">
        <v>773</v>
      </c>
      <c r="C136" s="178" t="s">
        <v>425</v>
      </c>
      <c r="D136" s="178" t="s">
        <v>63</v>
      </c>
      <c r="E136">
        <v>1392.6</v>
      </c>
      <c r="F136">
        <v>208.89</v>
      </c>
      <c r="G136">
        <v>1601.49</v>
      </c>
    </row>
    <row r="137" spans="1:7" x14ac:dyDescent="0.35">
      <c r="A137" s="178" t="s">
        <v>774</v>
      </c>
      <c r="B137" s="178" t="s">
        <v>775</v>
      </c>
      <c r="C137" s="178" t="s">
        <v>425</v>
      </c>
      <c r="D137" s="178" t="s">
        <v>63</v>
      </c>
      <c r="E137">
        <v>4785.8999999999996</v>
      </c>
      <c r="F137">
        <v>717.89</v>
      </c>
      <c r="G137">
        <v>5503.79</v>
      </c>
    </row>
    <row r="138" spans="1:7" x14ac:dyDescent="0.35">
      <c r="A138" s="178" t="s">
        <v>776</v>
      </c>
      <c r="B138" s="178" t="s">
        <v>777</v>
      </c>
      <c r="C138" s="178" t="s">
        <v>425</v>
      </c>
      <c r="D138" s="178" t="s">
        <v>63</v>
      </c>
      <c r="E138">
        <v>1542.83</v>
      </c>
      <c r="F138">
        <v>231.43</v>
      </c>
      <c r="G138">
        <v>1774.26</v>
      </c>
    </row>
    <row r="139" spans="1:7" x14ac:dyDescent="0.35">
      <c r="A139" s="178" t="s">
        <v>778</v>
      </c>
      <c r="B139" s="178" t="s">
        <v>779</v>
      </c>
      <c r="C139" s="178" t="s">
        <v>425</v>
      </c>
      <c r="D139" s="178" t="s">
        <v>780</v>
      </c>
      <c r="E139">
        <v>1668</v>
      </c>
      <c r="F139">
        <v>250.2</v>
      </c>
      <c r="G139">
        <v>1918.2</v>
      </c>
    </row>
    <row r="140" spans="1:7" x14ac:dyDescent="0.35">
      <c r="A140" s="178" t="s">
        <v>606</v>
      </c>
      <c r="B140" s="178" t="s">
        <v>781</v>
      </c>
      <c r="C140" s="178" t="s">
        <v>425</v>
      </c>
      <c r="D140" s="178" t="s">
        <v>63</v>
      </c>
      <c r="E140">
        <v>3302.1</v>
      </c>
      <c r="F140">
        <v>495.32</v>
      </c>
      <c r="G140">
        <v>3797.42</v>
      </c>
    </row>
    <row r="141" spans="1:7" x14ac:dyDescent="0.35">
      <c r="A141" s="178" t="s">
        <v>782</v>
      </c>
      <c r="B141" s="178" t="s">
        <v>783</v>
      </c>
      <c r="C141" s="178" t="s">
        <v>425</v>
      </c>
      <c r="D141" s="178" t="s">
        <v>63</v>
      </c>
      <c r="E141">
        <v>40000</v>
      </c>
      <c r="F141">
        <v>6000</v>
      </c>
      <c r="G141">
        <v>46000</v>
      </c>
    </row>
    <row r="142" spans="1:7" x14ac:dyDescent="0.35">
      <c r="A142" s="178" t="s">
        <v>782</v>
      </c>
      <c r="B142" s="178" t="s">
        <v>784</v>
      </c>
      <c r="C142" s="178" t="s">
        <v>425</v>
      </c>
      <c r="D142" s="178" t="s">
        <v>63</v>
      </c>
      <c r="E142">
        <v>8403.75</v>
      </c>
      <c r="F142">
        <v>1260.56</v>
      </c>
      <c r="G142">
        <v>9664.31</v>
      </c>
    </row>
    <row r="143" spans="1:7" x14ac:dyDescent="0.35">
      <c r="A143" s="178" t="s">
        <v>785</v>
      </c>
      <c r="B143" s="178" t="s">
        <v>786</v>
      </c>
      <c r="C143" s="178" t="s">
        <v>425</v>
      </c>
      <c r="D143" s="178" t="s">
        <v>787</v>
      </c>
      <c r="E143">
        <v>2861.25</v>
      </c>
      <c r="F143">
        <v>429.19</v>
      </c>
      <c r="G143">
        <v>3290.44</v>
      </c>
    </row>
    <row r="144" spans="1:7" x14ac:dyDescent="0.35">
      <c r="A144" s="178" t="s">
        <v>788</v>
      </c>
      <c r="B144" s="178" t="s">
        <v>789</v>
      </c>
      <c r="C144" s="178" t="s">
        <v>425</v>
      </c>
      <c r="D144" s="178" t="s">
        <v>790</v>
      </c>
      <c r="E144">
        <v>1668</v>
      </c>
      <c r="F144">
        <v>250.2</v>
      </c>
      <c r="G144">
        <v>1918.2</v>
      </c>
    </row>
    <row r="145" spans="1:7" x14ac:dyDescent="0.35">
      <c r="A145" s="178" t="s">
        <v>791</v>
      </c>
      <c r="B145" s="178" t="s">
        <v>792</v>
      </c>
      <c r="C145" s="178" t="s">
        <v>425</v>
      </c>
      <c r="D145" s="178" t="s">
        <v>63</v>
      </c>
      <c r="E145">
        <v>26192.799999999999</v>
      </c>
      <c r="F145">
        <v>3928.92</v>
      </c>
      <c r="G145">
        <v>30121.72</v>
      </c>
    </row>
    <row r="146" spans="1:7" x14ac:dyDescent="0.35">
      <c r="A146" s="178" t="s">
        <v>793</v>
      </c>
      <c r="B146" s="178" t="s">
        <v>794</v>
      </c>
      <c r="C146" s="178" t="s">
        <v>425</v>
      </c>
      <c r="D146" s="178" t="s">
        <v>63</v>
      </c>
      <c r="E146">
        <v>5024.32</v>
      </c>
      <c r="F146">
        <v>753.67</v>
      </c>
      <c r="G146">
        <v>5777.99</v>
      </c>
    </row>
    <row r="147" spans="1:7" x14ac:dyDescent="0.35">
      <c r="A147" s="178" t="s">
        <v>795</v>
      </c>
      <c r="B147" s="178" t="s">
        <v>796</v>
      </c>
      <c r="C147" s="178" t="s">
        <v>425</v>
      </c>
      <c r="D147" s="178" t="s">
        <v>63</v>
      </c>
      <c r="E147">
        <v>5907.6</v>
      </c>
      <c r="F147">
        <v>886.14</v>
      </c>
      <c r="G147">
        <v>6793.74</v>
      </c>
    </row>
    <row r="148" spans="1:7" x14ac:dyDescent="0.35">
      <c r="A148" s="178" t="s">
        <v>614</v>
      </c>
      <c r="B148" s="178" t="s">
        <v>797</v>
      </c>
      <c r="C148" s="178" t="s">
        <v>425</v>
      </c>
      <c r="D148" s="178" t="s">
        <v>63</v>
      </c>
      <c r="E148">
        <v>2564.6999999999998</v>
      </c>
      <c r="F148">
        <v>384.72</v>
      </c>
      <c r="G148">
        <v>2949.42</v>
      </c>
    </row>
    <row r="149" spans="1:7" x14ac:dyDescent="0.35">
      <c r="A149" s="178" t="s">
        <v>798</v>
      </c>
      <c r="B149" s="178" t="s">
        <v>799</v>
      </c>
      <c r="C149" s="178" t="s">
        <v>425</v>
      </c>
      <c r="D149" s="178" t="s">
        <v>63</v>
      </c>
      <c r="E149">
        <v>3146.25</v>
      </c>
      <c r="F149">
        <v>471.94</v>
      </c>
      <c r="G149">
        <v>3618.19</v>
      </c>
    </row>
    <row r="150" spans="1:7" x14ac:dyDescent="0.35">
      <c r="A150" s="178" t="s">
        <v>800</v>
      </c>
      <c r="B150" s="178" t="s">
        <v>801</v>
      </c>
      <c r="C150" s="178" t="s">
        <v>425</v>
      </c>
      <c r="D150" s="178" t="s">
        <v>63</v>
      </c>
      <c r="E150">
        <v>25981.85</v>
      </c>
      <c r="F150">
        <v>3897.29</v>
      </c>
      <c r="G150">
        <v>29879.14</v>
      </c>
    </row>
    <row r="151" spans="1:7" x14ac:dyDescent="0.35">
      <c r="A151" s="178" t="s">
        <v>609</v>
      </c>
      <c r="B151" s="178" t="s">
        <v>802</v>
      </c>
      <c r="C151" s="178" t="s">
        <v>425</v>
      </c>
      <c r="D151" s="178" t="s">
        <v>63</v>
      </c>
      <c r="E151">
        <v>25395</v>
      </c>
      <c r="F151">
        <v>3809.25</v>
      </c>
      <c r="G151">
        <v>29204.25</v>
      </c>
    </row>
    <row r="152" spans="1:7" x14ac:dyDescent="0.35">
      <c r="A152" s="178" t="s">
        <v>747</v>
      </c>
      <c r="B152" s="178" t="s">
        <v>803</v>
      </c>
      <c r="C152" s="178" t="s">
        <v>425</v>
      </c>
      <c r="D152" s="178" t="s">
        <v>63</v>
      </c>
      <c r="E152">
        <v>707.05</v>
      </c>
      <c r="F152">
        <v>106.06</v>
      </c>
      <c r="G152">
        <v>813.11</v>
      </c>
    </row>
    <row r="153" spans="1:7" x14ac:dyDescent="0.35">
      <c r="A153" s="178" t="s">
        <v>804</v>
      </c>
      <c r="B153" s="178" t="s">
        <v>805</v>
      </c>
      <c r="C153" s="178" t="s">
        <v>425</v>
      </c>
      <c r="D153" s="178" t="s">
        <v>806</v>
      </c>
      <c r="E153">
        <v>1700</v>
      </c>
      <c r="F153">
        <v>255</v>
      </c>
      <c r="G153">
        <v>1955</v>
      </c>
    </row>
    <row r="154" spans="1:7" x14ac:dyDescent="0.35">
      <c r="A154" s="178" t="s">
        <v>807</v>
      </c>
      <c r="B154" s="178" t="s">
        <v>808</v>
      </c>
      <c r="C154" s="178" t="s">
        <v>425</v>
      </c>
      <c r="D154" s="178" t="s">
        <v>809</v>
      </c>
      <c r="E154">
        <v>33537.47</v>
      </c>
      <c r="F154">
        <v>5030.62</v>
      </c>
      <c r="G154">
        <v>38568.089999999997</v>
      </c>
    </row>
    <row r="155" spans="1:7" x14ac:dyDescent="0.35">
      <c r="A155" s="178" t="s">
        <v>450</v>
      </c>
      <c r="B155" s="178" t="s">
        <v>810</v>
      </c>
      <c r="C155" s="178" t="s">
        <v>425</v>
      </c>
      <c r="D155" s="178" t="s">
        <v>63</v>
      </c>
      <c r="E155">
        <v>29854.9</v>
      </c>
      <c r="F155">
        <v>4478.24</v>
      </c>
      <c r="G155">
        <v>34333.14</v>
      </c>
    </row>
    <row r="156" spans="1:7" x14ac:dyDescent="0.35">
      <c r="A156" s="178" t="s">
        <v>666</v>
      </c>
      <c r="B156" s="178" t="s">
        <v>811</v>
      </c>
      <c r="C156" s="178" t="s">
        <v>425</v>
      </c>
      <c r="D156" s="178" t="s">
        <v>63</v>
      </c>
      <c r="E156">
        <v>13028.4</v>
      </c>
      <c r="F156">
        <v>1954.26</v>
      </c>
      <c r="G156">
        <v>14982.66</v>
      </c>
    </row>
    <row r="157" spans="1:7" x14ac:dyDescent="0.35">
      <c r="A157" s="178" t="s">
        <v>812</v>
      </c>
      <c r="B157" s="178" t="s">
        <v>813</v>
      </c>
      <c r="C157" s="178" t="s">
        <v>425</v>
      </c>
      <c r="D157" s="178" t="s">
        <v>814</v>
      </c>
      <c r="E157">
        <v>4691.6000000000004</v>
      </c>
      <c r="F157">
        <v>703.74</v>
      </c>
      <c r="G157">
        <v>5395.34</v>
      </c>
    </row>
    <row r="158" spans="1:7" x14ac:dyDescent="0.35">
      <c r="A158" s="178" t="s">
        <v>427</v>
      </c>
      <c r="B158" s="178" t="s">
        <v>815</v>
      </c>
      <c r="C158" s="178" t="s">
        <v>425</v>
      </c>
      <c r="D158" s="178" t="s">
        <v>63</v>
      </c>
      <c r="E158">
        <v>928.8</v>
      </c>
      <c r="F158">
        <v>139.32</v>
      </c>
      <c r="G158">
        <v>1068.1199999999999</v>
      </c>
    </row>
    <row r="159" spans="1:7" x14ac:dyDescent="0.35">
      <c r="A159" s="178" t="s">
        <v>793</v>
      </c>
      <c r="B159" s="178" t="s">
        <v>816</v>
      </c>
      <c r="C159" s="178" t="s">
        <v>425</v>
      </c>
      <c r="D159" s="178" t="s">
        <v>63</v>
      </c>
      <c r="E159">
        <v>3334.07</v>
      </c>
      <c r="F159">
        <v>500.11</v>
      </c>
      <c r="G159">
        <v>3834.18</v>
      </c>
    </row>
    <row r="160" spans="1:7" x14ac:dyDescent="0.35">
      <c r="A160" s="178" t="s">
        <v>602</v>
      </c>
      <c r="B160" s="178" t="s">
        <v>817</v>
      </c>
      <c r="C160" s="178" t="s">
        <v>425</v>
      </c>
      <c r="D160" s="178" t="s">
        <v>63</v>
      </c>
      <c r="E160">
        <v>12711.9</v>
      </c>
      <c r="F160">
        <v>1906.79</v>
      </c>
      <c r="G160">
        <v>14618.69</v>
      </c>
    </row>
    <row r="161" spans="1:7" x14ac:dyDescent="0.35">
      <c r="A161" s="178" t="s">
        <v>460</v>
      </c>
      <c r="B161" s="178" t="s">
        <v>818</v>
      </c>
      <c r="C161" s="178" t="s">
        <v>425</v>
      </c>
      <c r="D161" s="178" t="s">
        <v>819</v>
      </c>
      <c r="E161">
        <v>5000</v>
      </c>
      <c r="F161">
        <v>750</v>
      </c>
      <c r="G161">
        <v>5750</v>
      </c>
    </row>
    <row r="162" spans="1:7" x14ac:dyDescent="0.35">
      <c r="A162" s="178" t="s">
        <v>663</v>
      </c>
      <c r="B162" s="178" t="s">
        <v>820</v>
      </c>
      <c r="C162" s="178" t="s">
        <v>425</v>
      </c>
      <c r="D162" s="178" t="s">
        <v>63</v>
      </c>
      <c r="E162">
        <v>7017.6</v>
      </c>
      <c r="F162">
        <v>1052.6400000000001</v>
      </c>
      <c r="G162">
        <v>8070.24</v>
      </c>
    </row>
    <row r="163" spans="1:7" x14ac:dyDescent="0.35">
      <c r="A163" s="178" t="s">
        <v>541</v>
      </c>
      <c r="B163" s="178" t="s">
        <v>821</v>
      </c>
      <c r="C163" s="178" t="s">
        <v>425</v>
      </c>
      <c r="D163" s="178" t="s">
        <v>63</v>
      </c>
      <c r="E163">
        <v>2643.5</v>
      </c>
      <c r="F163">
        <v>396.53</v>
      </c>
      <c r="G163">
        <v>3040.03</v>
      </c>
    </row>
    <row r="164" spans="1:7" x14ac:dyDescent="0.35">
      <c r="A164" s="178" t="s">
        <v>822</v>
      </c>
      <c r="B164" s="178" t="s">
        <v>823</v>
      </c>
      <c r="C164" s="178" t="s">
        <v>425</v>
      </c>
      <c r="D164" s="178" t="s">
        <v>63</v>
      </c>
      <c r="E164">
        <v>2635.2</v>
      </c>
      <c r="F164">
        <v>395.28</v>
      </c>
      <c r="G164">
        <v>3030.48</v>
      </c>
    </row>
    <row r="165" spans="1:7" x14ac:dyDescent="0.35">
      <c r="A165" s="178" t="s">
        <v>824</v>
      </c>
      <c r="B165" s="178" t="s">
        <v>825</v>
      </c>
      <c r="C165" s="178" t="s">
        <v>425</v>
      </c>
      <c r="D165" s="178" t="s">
        <v>63</v>
      </c>
      <c r="E165">
        <v>1543.8</v>
      </c>
      <c r="F165">
        <v>231.57</v>
      </c>
      <c r="G165">
        <v>1775.37</v>
      </c>
    </row>
    <row r="166" spans="1:7" x14ac:dyDescent="0.35">
      <c r="A166" s="178" t="s">
        <v>826</v>
      </c>
      <c r="B166" s="178" t="s">
        <v>827</v>
      </c>
      <c r="C166" s="178" t="s">
        <v>425</v>
      </c>
      <c r="D166" s="178" t="s">
        <v>63</v>
      </c>
      <c r="E166">
        <v>7171.35</v>
      </c>
      <c r="F166">
        <v>1075.7</v>
      </c>
      <c r="G166">
        <v>8247.0499999999993</v>
      </c>
    </row>
    <row r="167" spans="1:7" x14ac:dyDescent="0.35">
      <c r="A167" s="178" t="s">
        <v>439</v>
      </c>
      <c r="B167" s="178" t="s">
        <v>828</v>
      </c>
      <c r="C167" s="178" t="s">
        <v>425</v>
      </c>
      <c r="D167" s="178" t="s">
        <v>829</v>
      </c>
      <c r="E167">
        <v>2455.1999999999998</v>
      </c>
      <c r="F167">
        <v>368.28</v>
      </c>
      <c r="G167">
        <v>2823.48</v>
      </c>
    </row>
    <row r="168" spans="1:7" x14ac:dyDescent="0.35">
      <c r="A168" s="178" t="s">
        <v>830</v>
      </c>
      <c r="B168" s="178" t="s">
        <v>831</v>
      </c>
      <c r="C168" s="178" t="s">
        <v>425</v>
      </c>
      <c r="D168" s="178" t="s">
        <v>832</v>
      </c>
      <c r="E168">
        <v>3751.8</v>
      </c>
      <c r="F168">
        <v>562.77</v>
      </c>
      <c r="G168">
        <v>4314.57</v>
      </c>
    </row>
    <row r="169" spans="1:7" x14ac:dyDescent="0.35">
      <c r="A169" s="178" t="s">
        <v>833</v>
      </c>
      <c r="B169" s="178" t="s">
        <v>834</v>
      </c>
      <c r="C169" s="178" t="s">
        <v>425</v>
      </c>
      <c r="D169" s="178" t="s">
        <v>63</v>
      </c>
      <c r="E169">
        <v>888.25</v>
      </c>
      <c r="F169">
        <v>133.24</v>
      </c>
      <c r="G169">
        <v>1021.49</v>
      </c>
    </row>
    <row r="170" spans="1:7" x14ac:dyDescent="0.35">
      <c r="A170" s="178" t="s">
        <v>835</v>
      </c>
      <c r="B170" s="178" t="s">
        <v>836</v>
      </c>
      <c r="C170" s="178" t="s">
        <v>425</v>
      </c>
      <c r="D170" s="178" t="s">
        <v>837</v>
      </c>
      <c r="E170">
        <v>1216.5999999999999</v>
      </c>
      <c r="F170">
        <v>182.49</v>
      </c>
      <c r="G170">
        <v>1399.09</v>
      </c>
    </row>
    <row r="171" spans="1:7" x14ac:dyDescent="0.35">
      <c r="A171" s="178" t="s">
        <v>631</v>
      </c>
      <c r="B171" s="178" t="s">
        <v>838</v>
      </c>
      <c r="C171" s="178" t="s">
        <v>425</v>
      </c>
      <c r="D171" s="178" t="s">
        <v>63</v>
      </c>
      <c r="E171">
        <v>770.35</v>
      </c>
      <c r="F171">
        <v>115.55</v>
      </c>
      <c r="G171">
        <v>885.9</v>
      </c>
    </row>
    <row r="172" spans="1:7" x14ac:dyDescent="0.35">
      <c r="A172" s="178" t="s">
        <v>839</v>
      </c>
      <c r="B172" s="178" t="s">
        <v>840</v>
      </c>
      <c r="C172" s="178" t="s">
        <v>425</v>
      </c>
      <c r="D172" s="178" t="s">
        <v>841</v>
      </c>
      <c r="E172">
        <v>2149.1999999999998</v>
      </c>
      <c r="F172">
        <v>322.38</v>
      </c>
      <c r="G172">
        <v>2471.58</v>
      </c>
    </row>
    <row r="173" spans="1:7" x14ac:dyDescent="0.35">
      <c r="A173" s="178" t="s">
        <v>842</v>
      </c>
      <c r="B173" s="178" t="s">
        <v>843</v>
      </c>
      <c r="C173" s="178" t="s">
        <v>425</v>
      </c>
      <c r="D173" s="178" t="s">
        <v>63</v>
      </c>
      <c r="E173">
        <v>2906.75</v>
      </c>
      <c r="F173">
        <v>436.01</v>
      </c>
      <c r="G173">
        <v>3342.76</v>
      </c>
    </row>
    <row r="174" spans="1:7" x14ac:dyDescent="0.35">
      <c r="A174" s="178" t="s">
        <v>844</v>
      </c>
      <c r="B174" s="178" t="s">
        <v>845</v>
      </c>
      <c r="C174" s="178" t="s">
        <v>425</v>
      </c>
      <c r="D174" s="178" t="s">
        <v>63</v>
      </c>
      <c r="E174">
        <v>935</v>
      </c>
      <c r="F174">
        <v>140.25</v>
      </c>
      <c r="G174">
        <v>1075.25</v>
      </c>
    </row>
    <row r="175" spans="1:7" x14ac:dyDescent="0.35">
      <c r="A175" s="178" t="s">
        <v>846</v>
      </c>
      <c r="B175" s="178" t="s">
        <v>847</v>
      </c>
      <c r="C175" s="178" t="s">
        <v>425</v>
      </c>
      <c r="D175" s="178" t="s">
        <v>63</v>
      </c>
      <c r="E175">
        <v>678.05</v>
      </c>
      <c r="F175">
        <v>101.71</v>
      </c>
      <c r="G175">
        <v>779.76</v>
      </c>
    </row>
    <row r="176" spans="1:7" x14ac:dyDescent="0.35">
      <c r="A176" s="178" t="s">
        <v>623</v>
      </c>
      <c r="B176" s="178" t="s">
        <v>848</v>
      </c>
      <c r="C176" s="178" t="s">
        <v>425</v>
      </c>
      <c r="D176">
        <v>38823</v>
      </c>
      <c r="E176">
        <v>12621.6</v>
      </c>
      <c r="F176">
        <v>1893.24</v>
      </c>
      <c r="G176">
        <v>14514.84</v>
      </c>
    </row>
    <row r="177" spans="1:7" x14ac:dyDescent="0.35">
      <c r="A177" s="178" t="s">
        <v>849</v>
      </c>
      <c r="B177" s="178" t="s">
        <v>850</v>
      </c>
      <c r="C177" s="178" t="s">
        <v>425</v>
      </c>
      <c r="D177" s="178" t="s">
        <v>63</v>
      </c>
      <c r="E177">
        <v>3912.45</v>
      </c>
      <c r="F177">
        <v>586.87</v>
      </c>
      <c r="G177">
        <v>4499.32</v>
      </c>
    </row>
    <row r="178" spans="1:7" x14ac:dyDescent="0.35">
      <c r="A178" s="178" t="s">
        <v>778</v>
      </c>
      <c r="B178" s="178" t="s">
        <v>851</v>
      </c>
      <c r="C178" s="178" t="s">
        <v>425</v>
      </c>
      <c r="D178" s="178" t="s">
        <v>780</v>
      </c>
      <c r="E178">
        <v>3332.1</v>
      </c>
      <c r="F178">
        <v>499.82</v>
      </c>
      <c r="G178">
        <v>3831.92</v>
      </c>
    </row>
    <row r="179" spans="1:7" x14ac:dyDescent="0.35">
      <c r="A179" s="178" t="s">
        <v>852</v>
      </c>
      <c r="B179" s="178" t="s">
        <v>853</v>
      </c>
      <c r="C179" s="178" t="s">
        <v>425</v>
      </c>
      <c r="D179" s="178" t="s">
        <v>854</v>
      </c>
      <c r="E179">
        <v>4790.25</v>
      </c>
      <c r="F179">
        <v>718.54</v>
      </c>
      <c r="G179">
        <v>5508.79</v>
      </c>
    </row>
    <row r="180" spans="1:7" x14ac:dyDescent="0.35">
      <c r="A180" s="178" t="s">
        <v>634</v>
      </c>
      <c r="B180" s="178" t="s">
        <v>855</v>
      </c>
      <c r="C180" s="178" t="s">
        <v>425</v>
      </c>
      <c r="D180" s="178" t="s">
        <v>63</v>
      </c>
      <c r="E180">
        <v>3069.9</v>
      </c>
      <c r="F180">
        <v>460.49</v>
      </c>
      <c r="G180">
        <v>3530.39</v>
      </c>
    </row>
    <row r="181" spans="1:7" x14ac:dyDescent="0.35">
      <c r="A181" s="178" t="s">
        <v>582</v>
      </c>
      <c r="B181" s="178" t="s">
        <v>856</v>
      </c>
      <c r="C181" s="178" t="s">
        <v>425</v>
      </c>
      <c r="D181" s="178" t="s">
        <v>63</v>
      </c>
      <c r="E181">
        <v>860</v>
      </c>
      <c r="F181">
        <v>129</v>
      </c>
      <c r="G181">
        <v>989</v>
      </c>
    </row>
    <row r="182" spans="1:7" x14ac:dyDescent="0.35">
      <c r="A182" s="178" t="s">
        <v>857</v>
      </c>
      <c r="B182" s="178" t="s">
        <v>858</v>
      </c>
      <c r="C182" s="178" t="s">
        <v>425</v>
      </c>
      <c r="D182" s="178" t="s">
        <v>63</v>
      </c>
      <c r="E182">
        <v>1000</v>
      </c>
      <c r="F182">
        <v>150</v>
      </c>
      <c r="G182">
        <v>1150</v>
      </c>
    </row>
    <row r="183" spans="1:7" x14ac:dyDescent="0.35">
      <c r="A183" s="178" t="s">
        <v>859</v>
      </c>
      <c r="B183" s="178" t="s">
        <v>860</v>
      </c>
      <c r="C183" s="178" t="s">
        <v>425</v>
      </c>
      <c r="D183" s="178" t="s">
        <v>63</v>
      </c>
      <c r="E183">
        <v>450</v>
      </c>
      <c r="F183">
        <v>67.5</v>
      </c>
      <c r="G183">
        <v>517.5</v>
      </c>
    </row>
    <row r="184" spans="1:7" x14ac:dyDescent="0.35">
      <c r="A184" s="178" t="s">
        <v>861</v>
      </c>
      <c r="B184" s="178" t="s">
        <v>862</v>
      </c>
      <c r="C184" s="178" t="s">
        <v>425</v>
      </c>
      <c r="D184" s="178" t="s">
        <v>63</v>
      </c>
      <c r="E184">
        <v>2261.8000000000002</v>
      </c>
      <c r="F184">
        <v>339.28</v>
      </c>
      <c r="G184">
        <v>2601.08</v>
      </c>
    </row>
    <row r="185" spans="1:7" x14ac:dyDescent="0.35">
      <c r="A185" s="178" t="s">
        <v>863</v>
      </c>
      <c r="B185" s="178" t="s">
        <v>864</v>
      </c>
      <c r="C185" s="178" t="s">
        <v>425</v>
      </c>
      <c r="D185" s="178" t="s">
        <v>63</v>
      </c>
      <c r="E185">
        <v>1581.15</v>
      </c>
      <c r="F185">
        <v>237.18</v>
      </c>
      <c r="G185">
        <v>1818.33</v>
      </c>
    </row>
    <row r="186" spans="1:7" x14ac:dyDescent="0.35">
      <c r="A186" s="178" t="s">
        <v>865</v>
      </c>
      <c r="B186" s="178" t="s">
        <v>866</v>
      </c>
      <c r="C186" s="178" t="s">
        <v>425</v>
      </c>
      <c r="D186" s="178" t="s">
        <v>63</v>
      </c>
      <c r="E186">
        <v>20689.75</v>
      </c>
      <c r="F186">
        <v>3103.46</v>
      </c>
      <c r="G186">
        <v>23793.21</v>
      </c>
    </row>
    <row r="187" spans="1:7" x14ac:dyDescent="0.35">
      <c r="A187" s="178" t="s">
        <v>867</v>
      </c>
      <c r="B187" s="178" t="s">
        <v>868</v>
      </c>
      <c r="C187" s="178" t="s">
        <v>425</v>
      </c>
      <c r="D187" s="178" t="s">
        <v>63</v>
      </c>
      <c r="E187">
        <v>771.9</v>
      </c>
      <c r="F187">
        <v>115.79</v>
      </c>
      <c r="G187">
        <v>887.69</v>
      </c>
    </row>
    <row r="188" spans="1:7" x14ac:dyDescent="0.35">
      <c r="A188" s="178" t="s">
        <v>869</v>
      </c>
      <c r="B188" s="178" t="s">
        <v>870</v>
      </c>
      <c r="C188" s="178" t="s">
        <v>425</v>
      </c>
      <c r="D188" s="178" t="s">
        <v>871</v>
      </c>
      <c r="E188">
        <v>10959.4</v>
      </c>
      <c r="F188">
        <v>1643.91</v>
      </c>
      <c r="G188">
        <v>12603.31</v>
      </c>
    </row>
    <row r="189" spans="1:7" x14ac:dyDescent="0.35">
      <c r="A189" s="178" t="s">
        <v>872</v>
      </c>
      <c r="B189" s="178" t="s">
        <v>873</v>
      </c>
      <c r="C189" s="178" t="s">
        <v>425</v>
      </c>
      <c r="D189" s="178" t="s">
        <v>874</v>
      </c>
      <c r="E189">
        <v>3910.65</v>
      </c>
      <c r="F189">
        <v>586.6</v>
      </c>
      <c r="G189">
        <v>4497.25</v>
      </c>
    </row>
    <row r="190" spans="1:7" x14ac:dyDescent="0.35">
      <c r="A190" s="178" t="s">
        <v>875</v>
      </c>
      <c r="B190" s="178" t="s">
        <v>876</v>
      </c>
      <c r="C190" s="178" t="s">
        <v>425</v>
      </c>
      <c r="D190" s="178" t="s">
        <v>63</v>
      </c>
      <c r="E190">
        <v>16102.5</v>
      </c>
      <c r="F190">
        <v>2415.38</v>
      </c>
      <c r="G190">
        <v>18517.88</v>
      </c>
    </row>
    <row r="191" spans="1:7" x14ac:dyDescent="0.35">
      <c r="A191" s="178" t="s">
        <v>877</v>
      </c>
      <c r="B191" s="178" t="s">
        <v>878</v>
      </c>
      <c r="C191" s="178" t="s">
        <v>425</v>
      </c>
      <c r="D191" s="178" t="s">
        <v>63</v>
      </c>
      <c r="E191">
        <v>735.09</v>
      </c>
      <c r="F191">
        <v>110.26</v>
      </c>
      <c r="G191">
        <v>845.35</v>
      </c>
    </row>
    <row r="192" spans="1:7" x14ac:dyDescent="0.35">
      <c r="A192" s="178" t="s">
        <v>879</v>
      </c>
      <c r="B192" s="178" t="s">
        <v>880</v>
      </c>
      <c r="C192" s="178" t="s">
        <v>425</v>
      </c>
      <c r="D192" s="178" t="s">
        <v>881</v>
      </c>
      <c r="E192">
        <v>6284</v>
      </c>
      <c r="F192">
        <v>942.6</v>
      </c>
      <c r="G192">
        <v>7226.6</v>
      </c>
    </row>
    <row r="193" spans="1:7" x14ac:dyDescent="0.35">
      <c r="A193" s="178" t="s">
        <v>882</v>
      </c>
      <c r="B193" s="178" t="s">
        <v>883</v>
      </c>
      <c r="C193" s="178" t="s">
        <v>425</v>
      </c>
      <c r="D193" s="178" t="s">
        <v>63</v>
      </c>
      <c r="E193">
        <v>2390.84</v>
      </c>
      <c r="F193">
        <v>358.63</v>
      </c>
      <c r="G193">
        <v>2749.47</v>
      </c>
    </row>
    <row r="194" spans="1:7" x14ac:dyDescent="0.35">
      <c r="A194" s="178" t="s">
        <v>884</v>
      </c>
      <c r="B194" s="178" t="s">
        <v>885</v>
      </c>
      <c r="C194" s="178" t="s">
        <v>425</v>
      </c>
      <c r="D194" s="178" t="s">
        <v>886</v>
      </c>
      <c r="E194">
        <v>887.5</v>
      </c>
      <c r="F194">
        <v>133.13</v>
      </c>
      <c r="G194">
        <v>1020.63</v>
      </c>
    </row>
    <row r="195" spans="1:7" x14ac:dyDescent="0.35">
      <c r="A195" s="178" t="s">
        <v>887</v>
      </c>
      <c r="B195" s="178" t="s">
        <v>888</v>
      </c>
      <c r="C195" s="178" t="s">
        <v>425</v>
      </c>
      <c r="D195" s="178" t="s">
        <v>63</v>
      </c>
      <c r="E195">
        <v>1720.05</v>
      </c>
      <c r="F195">
        <v>258.01</v>
      </c>
      <c r="G195">
        <v>1978.06</v>
      </c>
    </row>
    <row r="196" spans="1:7" x14ac:dyDescent="0.35">
      <c r="A196" s="178" t="s">
        <v>889</v>
      </c>
      <c r="B196" s="178" t="s">
        <v>890</v>
      </c>
      <c r="C196" s="178" t="s">
        <v>425</v>
      </c>
      <c r="D196" s="178" t="s">
        <v>63</v>
      </c>
      <c r="E196">
        <v>783.1</v>
      </c>
      <c r="F196">
        <v>117.47</v>
      </c>
      <c r="G196">
        <v>900.57</v>
      </c>
    </row>
    <row r="197" spans="1:7" x14ac:dyDescent="0.35">
      <c r="A197" s="178" t="s">
        <v>889</v>
      </c>
      <c r="B197" s="178" t="s">
        <v>891</v>
      </c>
      <c r="C197" s="178" t="s">
        <v>425</v>
      </c>
      <c r="D197" s="178" t="s">
        <v>63</v>
      </c>
      <c r="E197">
        <v>1307.9000000000001</v>
      </c>
      <c r="F197">
        <v>196.19</v>
      </c>
      <c r="G197">
        <v>1504.09</v>
      </c>
    </row>
    <row r="198" spans="1:7" x14ac:dyDescent="0.35">
      <c r="A198" s="178" t="s">
        <v>647</v>
      </c>
      <c r="B198" s="178" t="s">
        <v>892</v>
      </c>
      <c r="C198" s="178" t="s">
        <v>425</v>
      </c>
      <c r="D198" s="178" t="s">
        <v>63</v>
      </c>
      <c r="E198">
        <v>750.86</v>
      </c>
      <c r="F198">
        <v>112.63</v>
      </c>
      <c r="G198">
        <v>863.49</v>
      </c>
    </row>
    <row r="199" spans="1:7" x14ac:dyDescent="0.35">
      <c r="A199" s="178" t="s">
        <v>893</v>
      </c>
      <c r="B199" s="178" t="s">
        <v>894</v>
      </c>
      <c r="C199" s="178" t="s">
        <v>425</v>
      </c>
      <c r="D199" s="178" t="s">
        <v>63</v>
      </c>
      <c r="E199">
        <v>3752.19</v>
      </c>
      <c r="F199">
        <v>562.84</v>
      </c>
      <c r="G199">
        <v>4315.03</v>
      </c>
    </row>
    <row r="200" spans="1:7" x14ac:dyDescent="0.35">
      <c r="A200" s="178" t="s">
        <v>705</v>
      </c>
      <c r="B200" s="178" t="s">
        <v>895</v>
      </c>
      <c r="C200" s="178" t="s">
        <v>425</v>
      </c>
      <c r="D200" s="178" t="s">
        <v>896</v>
      </c>
      <c r="E200">
        <v>19351.5</v>
      </c>
      <c r="F200">
        <v>2902.73</v>
      </c>
      <c r="G200">
        <v>22254.23</v>
      </c>
    </row>
    <row r="201" spans="1:7" x14ac:dyDescent="0.35">
      <c r="A201" s="178" t="s">
        <v>897</v>
      </c>
      <c r="B201" s="178" t="s">
        <v>898</v>
      </c>
      <c r="C201" s="178" t="s">
        <v>425</v>
      </c>
      <c r="D201" s="178" t="s">
        <v>63</v>
      </c>
      <c r="E201">
        <v>15664</v>
      </c>
      <c r="F201">
        <v>2349.6</v>
      </c>
      <c r="G201">
        <v>18013.599999999999</v>
      </c>
    </row>
    <row r="202" spans="1:7" x14ac:dyDescent="0.35">
      <c r="A202" s="178" t="s">
        <v>899</v>
      </c>
      <c r="B202" s="178" t="s">
        <v>900</v>
      </c>
      <c r="C202" s="178" t="s">
        <v>425</v>
      </c>
      <c r="D202" s="178" t="s">
        <v>63</v>
      </c>
      <c r="E202">
        <v>1551.6</v>
      </c>
      <c r="F202">
        <v>232.74</v>
      </c>
      <c r="G202">
        <v>1784.34</v>
      </c>
    </row>
    <row r="203" spans="1:7" x14ac:dyDescent="0.35">
      <c r="A203" s="178" t="s">
        <v>901</v>
      </c>
      <c r="B203" s="178" t="s">
        <v>902</v>
      </c>
      <c r="C203" s="178" t="s">
        <v>425</v>
      </c>
      <c r="D203" s="178" t="s">
        <v>63</v>
      </c>
      <c r="E203">
        <v>59640.6</v>
      </c>
      <c r="F203">
        <v>8946.09</v>
      </c>
      <c r="G203">
        <v>68586.69</v>
      </c>
    </row>
    <row r="204" spans="1:7" x14ac:dyDescent="0.35">
      <c r="A204" s="178" t="s">
        <v>903</v>
      </c>
      <c r="B204" s="178" t="s">
        <v>904</v>
      </c>
      <c r="C204" s="178" t="s">
        <v>425</v>
      </c>
      <c r="D204" s="178" t="s">
        <v>63</v>
      </c>
      <c r="E204">
        <v>797.85</v>
      </c>
      <c r="F204">
        <v>119.68</v>
      </c>
      <c r="G204">
        <v>917.53</v>
      </c>
    </row>
    <row r="205" spans="1:7" x14ac:dyDescent="0.35">
      <c r="A205" s="178" t="s">
        <v>905</v>
      </c>
      <c r="B205" s="178" t="s">
        <v>906</v>
      </c>
      <c r="C205" s="178" t="s">
        <v>425</v>
      </c>
      <c r="D205" s="178" t="s">
        <v>63</v>
      </c>
      <c r="E205">
        <v>1138.7</v>
      </c>
      <c r="F205">
        <v>170.81</v>
      </c>
      <c r="G205">
        <v>1309.51</v>
      </c>
    </row>
    <row r="206" spans="1:7" x14ac:dyDescent="0.35">
      <c r="A206" s="178" t="s">
        <v>907</v>
      </c>
      <c r="B206" s="178" t="s">
        <v>908</v>
      </c>
      <c r="C206" s="178" t="s">
        <v>425</v>
      </c>
      <c r="D206" s="178" t="s">
        <v>63</v>
      </c>
      <c r="E206">
        <v>2046.65</v>
      </c>
      <c r="F206">
        <v>307</v>
      </c>
      <c r="G206">
        <v>2353.65</v>
      </c>
    </row>
    <row r="207" spans="1:7" x14ac:dyDescent="0.35">
      <c r="A207" s="178" t="s">
        <v>909</v>
      </c>
      <c r="B207" s="178" t="s">
        <v>910</v>
      </c>
      <c r="C207" s="178" t="s">
        <v>425</v>
      </c>
      <c r="D207" s="178" t="s">
        <v>63</v>
      </c>
      <c r="E207">
        <v>858.5</v>
      </c>
      <c r="F207">
        <v>128.78</v>
      </c>
      <c r="G207">
        <v>987.28</v>
      </c>
    </row>
    <row r="208" spans="1:7" x14ac:dyDescent="0.35">
      <c r="A208" s="178" t="s">
        <v>433</v>
      </c>
      <c r="B208" s="178" t="s">
        <v>911</v>
      </c>
      <c r="C208" s="178" t="s">
        <v>425</v>
      </c>
      <c r="D208" s="178" t="s">
        <v>63</v>
      </c>
      <c r="E208">
        <v>954.2</v>
      </c>
      <c r="F208">
        <v>143.13</v>
      </c>
      <c r="G208">
        <v>1097.33</v>
      </c>
    </row>
    <row r="209" spans="1:7" x14ac:dyDescent="0.35">
      <c r="A209" s="178" t="s">
        <v>436</v>
      </c>
      <c r="B209" s="178" t="s">
        <v>912</v>
      </c>
      <c r="C209" s="178" t="s">
        <v>425</v>
      </c>
      <c r="D209" s="178" t="s">
        <v>913</v>
      </c>
      <c r="E209">
        <v>2120.75</v>
      </c>
      <c r="F209">
        <v>318.11</v>
      </c>
      <c r="G209">
        <v>2438.86</v>
      </c>
    </row>
    <row r="210" spans="1:7" x14ac:dyDescent="0.35">
      <c r="A210" s="178" t="s">
        <v>914</v>
      </c>
      <c r="B210" s="178" t="s">
        <v>915</v>
      </c>
      <c r="C210" s="178" t="s">
        <v>425</v>
      </c>
      <c r="D210" s="178" t="s">
        <v>63</v>
      </c>
      <c r="E210">
        <v>1800.9</v>
      </c>
      <c r="F210">
        <v>270.14</v>
      </c>
      <c r="G210">
        <v>2071.04</v>
      </c>
    </row>
    <row r="211" spans="1:7" x14ac:dyDescent="0.35">
      <c r="A211" s="178" t="s">
        <v>634</v>
      </c>
      <c r="B211" s="178" t="s">
        <v>916</v>
      </c>
      <c r="C211" s="178" t="s">
        <v>425</v>
      </c>
      <c r="D211" s="178" t="s">
        <v>63</v>
      </c>
      <c r="E211">
        <v>933.1</v>
      </c>
      <c r="F211">
        <v>139.97</v>
      </c>
      <c r="G211">
        <v>1073.07</v>
      </c>
    </row>
    <row r="212" spans="1:7" x14ac:dyDescent="0.35">
      <c r="A212" s="178" t="s">
        <v>917</v>
      </c>
      <c r="B212" s="178" t="s">
        <v>918</v>
      </c>
      <c r="C212" s="178" t="s">
        <v>425</v>
      </c>
      <c r="D212" s="178" t="s">
        <v>919</v>
      </c>
      <c r="E212">
        <v>2810.65</v>
      </c>
      <c r="F212">
        <v>421.6</v>
      </c>
      <c r="G212">
        <v>3232.25</v>
      </c>
    </row>
    <row r="213" spans="1:7" x14ac:dyDescent="0.35">
      <c r="A213" s="178" t="s">
        <v>920</v>
      </c>
      <c r="B213" s="178" t="s">
        <v>921</v>
      </c>
      <c r="C213" s="178" t="s">
        <v>441</v>
      </c>
      <c r="D213" s="178" t="s">
        <v>63</v>
      </c>
      <c r="E213">
        <v>29087.1</v>
      </c>
      <c r="F213">
        <v>4363.07</v>
      </c>
      <c r="G213">
        <v>33450.17</v>
      </c>
    </row>
    <row r="214" spans="1:7" x14ac:dyDescent="0.35">
      <c r="A214" s="178" t="s">
        <v>922</v>
      </c>
      <c r="B214" s="178" t="s">
        <v>923</v>
      </c>
      <c r="C214" s="178" t="s">
        <v>441</v>
      </c>
      <c r="D214" s="178" t="s">
        <v>63</v>
      </c>
      <c r="E214">
        <v>1597.5</v>
      </c>
      <c r="F214">
        <v>239.63</v>
      </c>
      <c r="G214">
        <v>1837.13</v>
      </c>
    </row>
    <row r="215" spans="1:7" x14ac:dyDescent="0.35">
      <c r="A215" s="178" t="s">
        <v>554</v>
      </c>
      <c r="B215" s="178" t="s">
        <v>924</v>
      </c>
      <c r="C215" s="178" t="s">
        <v>441</v>
      </c>
      <c r="D215" s="178" t="s">
        <v>63</v>
      </c>
      <c r="E215">
        <v>1080.4000000000001</v>
      </c>
      <c r="F215">
        <v>162.06</v>
      </c>
      <c r="G215">
        <v>1242.46</v>
      </c>
    </row>
    <row r="216" spans="1:7" x14ac:dyDescent="0.35">
      <c r="A216" s="178" t="s">
        <v>925</v>
      </c>
      <c r="B216" s="178" t="s">
        <v>926</v>
      </c>
      <c r="C216" s="178" t="s">
        <v>441</v>
      </c>
      <c r="D216" s="178" t="s">
        <v>63</v>
      </c>
      <c r="E216">
        <v>1720</v>
      </c>
      <c r="F216">
        <v>258</v>
      </c>
      <c r="G216">
        <v>1978</v>
      </c>
    </row>
    <row r="217" spans="1:7" x14ac:dyDescent="0.35">
      <c r="A217" s="178" t="s">
        <v>529</v>
      </c>
      <c r="B217" s="178" t="s">
        <v>927</v>
      </c>
      <c r="C217" s="178" t="s">
        <v>441</v>
      </c>
      <c r="D217" s="178" t="s">
        <v>63</v>
      </c>
      <c r="E217">
        <v>3536</v>
      </c>
      <c r="F217">
        <v>530.4</v>
      </c>
      <c r="G217">
        <v>4066.4</v>
      </c>
    </row>
    <row r="218" spans="1:7" x14ac:dyDescent="0.35">
      <c r="A218" s="178" t="s">
        <v>508</v>
      </c>
      <c r="B218" s="178" t="s">
        <v>928</v>
      </c>
      <c r="C218" s="178" t="s">
        <v>441</v>
      </c>
      <c r="D218" s="178" t="s">
        <v>63</v>
      </c>
      <c r="E218">
        <v>3251.3</v>
      </c>
      <c r="F218">
        <v>487.7</v>
      </c>
      <c r="G218">
        <v>3739</v>
      </c>
    </row>
    <row r="219" spans="1:7" x14ac:dyDescent="0.35">
      <c r="A219" s="178" t="s">
        <v>460</v>
      </c>
      <c r="B219" s="178" t="s">
        <v>929</v>
      </c>
      <c r="C219" s="178" t="s">
        <v>441</v>
      </c>
      <c r="D219" s="178" t="s">
        <v>930</v>
      </c>
      <c r="E219">
        <v>7077.1</v>
      </c>
      <c r="F219">
        <v>1061.57</v>
      </c>
      <c r="G219">
        <v>8138.67</v>
      </c>
    </row>
    <row r="220" spans="1:7" x14ac:dyDescent="0.35">
      <c r="A220" s="178" t="s">
        <v>931</v>
      </c>
      <c r="B220" s="178" t="s">
        <v>932</v>
      </c>
      <c r="C220" s="178" t="s">
        <v>441</v>
      </c>
      <c r="D220" s="178" t="s">
        <v>63</v>
      </c>
      <c r="E220">
        <v>1295.5999999999999</v>
      </c>
      <c r="F220">
        <v>194.34</v>
      </c>
      <c r="G220">
        <v>1489.94</v>
      </c>
    </row>
    <row r="221" spans="1:7" x14ac:dyDescent="0.35">
      <c r="A221" s="178" t="s">
        <v>933</v>
      </c>
      <c r="B221" s="178" t="s">
        <v>934</v>
      </c>
      <c r="C221" s="178" t="s">
        <v>441</v>
      </c>
      <c r="D221" s="178" t="s">
        <v>935</v>
      </c>
      <c r="E221">
        <v>2055</v>
      </c>
      <c r="F221">
        <v>308.26</v>
      </c>
      <c r="G221">
        <v>2363.2600000000002</v>
      </c>
    </row>
    <row r="222" spans="1:7" x14ac:dyDescent="0.35">
      <c r="A222" s="178" t="s">
        <v>897</v>
      </c>
      <c r="B222" s="178" t="s">
        <v>936</v>
      </c>
      <c r="C222" s="178" t="s">
        <v>441</v>
      </c>
      <c r="D222" s="178" t="s">
        <v>63</v>
      </c>
      <c r="E222">
        <v>16607.5</v>
      </c>
      <c r="F222">
        <v>2491.13</v>
      </c>
      <c r="G222">
        <v>19098.63</v>
      </c>
    </row>
    <row r="223" spans="1:7" x14ac:dyDescent="0.35">
      <c r="A223" s="178" t="s">
        <v>793</v>
      </c>
      <c r="B223" s="178" t="s">
        <v>937</v>
      </c>
      <c r="C223" s="178" t="s">
        <v>441</v>
      </c>
      <c r="D223" s="178" t="s">
        <v>63</v>
      </c>
      <c r="E223">
        <v>3183.3</v>
      </c>
      <c r="F223">
        <v>477.5</v>
      </c>
      <c r="G223">
        <v>3660.8</v>
      </c>
    </row>
    <row r="224" spans="1:7" x14ac:dyDescent="0.35">
      <c r="A224" s="178" t="s">
        <v>938</v>
      </c>
      <c r="B224" s="178" t="s">
        <v>939</v>
      </c>
      <c r="C224" s="178" t="s">
        <v>441</v>
      </c>
      <c r="D224" s="178" t="s">
        <v>63</v>
      </c>
      <c r="E224">
        <v>731</v>
      </c>
      <c r="F224">
        <v>109.65</v>
      </c>
      <c r="G224">
        <v>840.65</v>
      </c>
    </row>
    <row r="225" spans="1:7" x14ac:dyDescent="0.35">
      <c r="A225" s="178" t="s">
        <v>940</v>
      </c>
      <c r="B225" s="178" t="s">
        <v>941</v>
      </c>
      <c r="C225" s="178" t="s">
        <v>441</v>
      </c>
      <c r="D225" s="178" t="s">
        <v>63</v>
      </c>
      <c r="E225">
        <v>2334.9</v>
      </c>
      <c r="F225">
        <v>350.24</v>
      </c>
      <c r="G225">
        <v>2685.14</v>
      </c>
    </row>
    <row r="226" spans="1:7" x14ac:dyDescent="0.35">
      <c r="A226" s="178" t="s">
        <v>460</v>
      </c>
      <c r="B226" s="178" t="s">
        <v>942</v>
      </c>
      <c r="C226" s="178" t="s">
        <v>441</v>
      </c>
      <c r="D226" s="178" t="s">
        <v>63</v>
      </c>
      <c r="E226">
        <v>778.8</v>
      </c>
      <c r="F226">
        <v>116.82</v>
      </c>
      <c r="G226">
        <v>895.62</v>
      </c>
    </row>
    <row r="227" spans="1:7" x14ac:dyDescent="0.35">
      <c r="A227" s="178" t="s">
        <v>943</v>
      </c>
      <c r="B227" s="178" t="s">
        <v>944</v>
      </c>
      <c r="C227" s="178" t="s">
        <v>441</v>
      </c>
      <c r="D227" s="178" t="s">
        <v>945</v>
      </c>
      <c r="E227">
        <v>2140.6999999999998</v>
      </c>
      <c r="F227">
        <v>321.11</v>
      </c>
      <c r="G227">
        <v>2461.81</v>
      </c>
    </row>
    <row r="228" spans="1:7" x14ac:dyDescent="0.35">
      <c r="A228" s="178" t="s">
        <v>474</v>
      </c>
      <c r="B228" s="178" t="s">
        <v>946</v>
      </c>
      <c r="C228" s="178" t="s">
        <v>441</v>
      </c>
      <c r="D228" s="178" t="s">
        <v>947</v>
      </c>
      <c r="E228">
        <v>6478.7</v>
      </c>
      <c r="F228">
        <v>971.81</v>
      </c>
      <c r="G228">
        <v>7450.51</v>
      </c>
    </row>
    <row r="229" spans="1:7" x14ac:dyDescent="0.35">
      <c r="A229" s="178" t="s">
        <v>948</v>
      </c>
      <c r="B229" s="178" t="s">
        <v>949</v>
      </c>
      <c r="C229" s="178" t="s">
        <v>441</v>
      </c>
      <c r="D229" s="178" t="s">
        <v>63</v>
      </c>
      <c r="E229">
        <v>6250</v>
      </c>
      <c r="F229">
        <v>937.5</v>
      </c>
      <c r="G229">
        <v>7187.5</v>
      </c>
    </row>
    <row r="230" spans="1:7" x14ac:dyDescent="0.35">
      <c r="A230" s="178" t="s">
        <v>950</v>
      </c>
      <c r="B230" s="178" t="s">
        <v>951</v>
      </c>
      <c r="C230" s="178" t="s">
        <v>441</v>
      </c>
      <c r="D230" s="178" t="s">
        <v>63</v>
      </c>
      <c r="E230">
        <v>624</v>
      </c>
      <c r="F230">
        <v>93.6</v>
      </c>
      <c r="G230">
        <v>717.6</v>
      </c>
    </row>
    <row r="231" spans="1:7" x14ac:dyDescent="0.35">
      <c r="A231" s="178" t="s">
        <v>948</v>
      </c>
      <c r="B231" s="178" t="s">
        <v>952</v>
      </c>
      <c r="C231" s="178" t="s">
        <v>441</v>
      </c>
      <c r="D231" s="178" t="s">
        <v>63</v>
      </c>
      <c r="E231">
        <v>4255</v>
      </c>
      <c r="F231">
        <v>638.25</v>
      </c>
      <c r="G231">
        <v>4893.25</v>
      </c>
    </row>
    <row r="232" spans="1:7" x14ac:dyDescent="0.35">
      <c r="A232" s="178" t="s">
        <v>807</v>
      </c>
      <c r="B232" s="178" t="s">
        <v>953</v>
      </c>
      <c r="C232" s="178" t="s">
        <v>441</v>
      </c>
      <c r="D232" s="178" t="s">
        <v>809</v>
      </c>
      <c r="E232">
        <v>32315.61</v>
      </c>
      <c r="F232">
        <v>4847.34</v>
      </c>
      <c r="G232">
        <v>37162.949999999997</v>
      </c>
    </row>
    <row r="233" spans="1:7" x14ac:dyDescent="0.35">
      <c r="A233" s="178" t="s">
        <v>954</v>
      </c>
      <c r="B233" s="178" t="s">
        <v>955</v>
      </c>
      <c r="C233" s="178" t="s">
        <v>441</v>
      </c>
      <c r="D233" s="178" t="s">
        <v>956</v>
      </c>
      <c r="E233">
        <v>2045</v>
      </c>
      <c r="F233">
        <v>306.75</v>
      </c>
      <c r="G233">
        <v>2351.75</v>
      </c>
    </row>
    <row r="234" spans="1:7" x14ac:dyDescent="0.35">
      <c r="A234" s="178" t="s">
        <v>439</v>
      </c>
      <c r="B234" s="178" t="s">
        <v>957</v>
      </c>
      <c r="C234" s="178" t="s">
        <v>441</v>
      </c>
      <c r="D234" s="178" t="s">
        <v>958</v>
      </c>
      <c r="E234">
        <v>2894.45</v>
      </c>
      <c r="F234">
        <v>434.17</v>
      </c>
      <c r="G234">
        <v>3328.62</v>
      </c>
    </row>
    <row r="235" spans="1:7" x14ac:dyDescent="0.35">
      <c r="A235" s="178" t="s">
        <v>959</v>
      </c>
      <c r="B235" s="178" t="s">
        <v>960</v>
      </c>
      <c r="C235" s="178" t="s">
        <v>441</v>
      </c>
      <c r="D235" s="178" t="s">
        <v>961</v>
      </c>
      <c r="E235">
        <v>47707.4</v>
      </c>
      <c r="F235">
        <v>7156.11</v>
      </c>
      <c r="G235">
        <v>54863.51</v>
      </c>
    </row>
    <row r="236" spans="1:7" x14ac:dyDescent="0.35">
      <c r="A236" s="178" t="s">
        <v>557</v>
      </c>
      <c r="B236" s="178" t="s">
        <v>962</v>
      </c>
      <c r="C236" s="178" t="s">
        <v>441</v>
      </c>
      <c r="D236" s="178" t="s">
        <v>63</v>
      </c>
      <c r="E236">
        <v>1674</v>
      </c>
      <c r="F236">
        <v>251.1</v>
      </c>
      <c r="G236">
        <v>1925.1</v>
      </c>
    </row>
    <row r="237" spans="1:7" x14ac:dyDescent="0.35">
      <c r="A237" s="178" t="s">
        <v>606</v>
      </c>
      <c r="B237" s="178" t="s">
        <v>963</v>
      </c>
      <c r="C237" s="178" t="s">
        <v>441</v>
      </c>
      <c r="D237" s="178" t="s">
        <v>63</v>
      </c>
      <c r="E237">
        <v>9435</v>
      </c>
      <c r="F237">
        <v>1415.26</v>
      </c>
      <c r="G237">
        <v>10850.26</v>
      </c>
    </row>
    <row r="238" spans="1:7" x14ac:dyDescent="0.35">
      <c r="A238" s="178" t="s">
        <v>964</v>
      </c>
      <c r="B238" s="178" t="s">
        <v>965</v>
      </c>
      <c r="C238" s="178" t="s">
        <v>441</v>
      </c>
      <c r="D238" s="178" t="s">
        <v>63</v>
      </c>
      <c r="E238">
        <v>769.7</v>
      </c>
      <c r="F238">
        <v>115.46</v>
      </c>
      <c r="G238">
        <v>885.16</v>
      </c>
    </row>
    <row r="239" spans="1:7" x14ac:dyDescent="0.35">
      <c r="A239" s="178" t="s">
        <v>966</v>
      </c>
      <c r="B239" s="178" t="s">
        <v>967</v>
      </c>
      <c r="C239" s="178" t="s">
        <v>441</v>
      </c>
      <c r="D239" s="178" t="s">
        <v>63</v>
      </c>
      <c r="E239">
        <v>2401.3000000000002</v>
      </c>
      <c r="F239">
        <v>360.2</v>
      </c>
      <c r="G239">
        <v>2761.5</v>
      </c>
    </row>
    <row r="240" spans="1:7" x14ac:dyDescent="0.35">
      <c r="A240" s="178" t="s">
        <v>968</v>
      </c>
      <c r="B240" s="178" t="s">
        <v>969</v>
      </c>
      <c r="C240" s="178" t="s">
        <v>441</v>
      </c>
      <c r="D240" s="178" t="s">
        <v>63</v>
      </c>
      <c r="E240">
        <v>29067.65</v>
      </c>
      <c r="F240">
        <v>4360.1499999999996</v>
      </c>
      <c r="G240">
        <v>33427.800000000003</v>
      </c>
    </row>
    <row r="241" spans="1:7" x14ac:dyDescent="0.35">
      <c r="A241" s="178" t="s">
        <v>970</v>
      </c>
      <c r="B241" s="178" t="s">
        <v>971</v>
      </c>
      <c r="C241" s="178" t="s">
        <v>441</v>
      </c>
      <c r="D241" s="178" t="s">
        <v>972</v>
      </c>
      <c r="E241">
        <v>2891.4</v>
      </c>
      <c r="F241">
        <v>433.71</v>
      </c>
      <c r="G241">
        <v>3325.11</v>
      </c>
    </row>
    <row r="242" spans="1:7" x14ac:dyDescent="0.35">
      <c r="A242" s="178" t="s">
        <v>973</v>
      </c>
      <c r="B242" s="178" t="s">
        <v>974</v>
      </c>
      <c r="C242" s="178" t="s">
        <v>441</v>
      </c>
      <c r="D242" s="178" t="s">
        <v>63</v>
      </c>
      <c r="E242">
        <v>2365</v>
      </c>
      <c r="F242">
        <v>354.76</v>
      </c>
      <c r="G242">
        <v>2719.76</v>
      </c>
    </row>
    <row r="243" spans="1:7" x14ac:dyDescent="0.35">
      <c r="A243" s="178" t="s">
        <v>590</v>
      </c>
      <c r="B243" s="178" t="s">
        <v>975</v>
      </c>
      <c r="C243" s="178" t="s">
        <v>441</v>
      </c>
      <c r="D243" s="178" t="s">
        <v>63</v>
      </c>
      <c r="E243">
        <v>12623</v>
      </c>
      <c r="F243">
        <v>1893.45</v>
      </c>
      <c r="G243">
        <v>14516.45</v>
      </c>
    </row>
    <row r="244" spans="1:7" x14ac:dyDescent="0.35">
      <c r="A244" s="178" t="s">
        <v>976</v>
      </c>
      <c r="B244" s="178" t="s">
        <v>977</v>
      </c>
      <c r="C244" s="178" t="s">
        <v>441</v>
      </c>
      <c r="D244" s="178" t="s">
        <v>63</v>
      </c>
      <c r="E244">
        <v>2866.65</v>
      </c>
      <c r="F244">
        <v>430</v>
      </c>
      <c r="G244">
        <v>3296.65</v>
      </c>
    </row>
    <row r="245" spans="1:7" x14ac:dyDescent="0.35">
      <c r="A245" s="178" t="s">
        <v>978</v>
      </c>
      <c r="B245" s="178" t="s">
        <v>979</v>
      </c>
      <c r="C245" s="178" t="s">
        <v>441</v>
      </c>
      <c r="D245" s="178" t="s">
        <v>63</v>
      </c>
      <c r="E245">
        <v>964.1</v>
      </c>
      <c r="F245">
        <v>144.62</v>
      </c>
      <c r="G245">
        <v>1108.72</v>
      </c>
    </row>
    <row r="246" spans="1:7" x14ac:dyDescent="0.35">
      <c r="A246" s="178" t="s">
        <v>968</v>
      </c>
      <c r="B246" s="178" t="s">
        <v>980</v>
      </c>
      <c r="C246" s="178" t="s">
        <v>441</v>
      </c>
      <c r="D246" s="178" t="s">
        <v>63</v>
      </c>
      <c r="E246">
        <v>1582.6</v>
      </c>
      <c r="F246">
        <v>237.39</v>
      </c>
      <c r="G246">
        <v>1819.99</v>
      </c>
    </row>
    <row r="247" spans="1:7" x14ac:dyDescent="0.35">
      <c r="A247" s="178" t="s">
        <v>981</v>
      </c>
      <c r="B247" s="178" t="s">
        <v>982</v>
      </c>
      <c r="C247" s="178" t="s">
        <v>441</v>
      </c>
      <c r="D247" s="178" t="s">
        <v>983</v>
      </c>
      <c r="E247">
        <v>1544</v>
      </c>
      <c r="F247">
        <v>231.6</v>
      </c>
      <c r="G247">
        <v>1775.6</v>
      </c>
    </row>
    <row r="248" spans="1:7" x14ac:dyDescent="0.35">
      <c r="A248" s="178" t="s">
        <v>984</v>
      </c>
      <c r="B248" s="178" t="s">
        <v>985</v>
      </c>
      <c r="C248" s="178" t="s">
        <v>441</v>
      </c>
      <c r="D248" s="178" t="s">
        <v>63</v>
      </c>
      <c r="E248">
        <v>1674.75</v>
      </c>
      <c r="F248">
        <v>251.21</v>
      </c>
      <c r="G248">
        <v>1925.96</v>
      </c>
    </row>
    <row r="249" spans="1:7" x14ac:dyDescent="0.35">
      <c r="A249" s="178" t="s">
        <v>463</v>
      </c>
      <c r="B249" s="178" t="s">
        <v>986</v>
      </c>
      <c r="C249" s="178" t="s">
        <v>441</v>
      </c>
      <c r="D249" s="178" t="s">
        <v>63</v>
      </c>
      <c r="E249">
        <v>2433.75</v>
      </c>
      <c r="F249">
        <v>365.06</v>
      </c>
      <c r="G249">
        <v>2798.81</v>
      </c>
    </row>
    <row r="250" spans="1:7" x14ac:dyDescent="0.35">
      <c r="A250" s="178" t="s">
        <v>987</v>
      </c>
      <c r="B250" s="178" t="s">
        <v>988</v>
      </c>
      <c r="C250" s="178" t="s">
        <v>441</v>
      </c>
      <c r="D250" s="178" t="s">
        <v>63</v>
      </c>
      <c r="E250">
        <v>14085</v>
      </c>
      <c r="F250">
        <v>2112.75</v>
      </c>
      <c r="G250">
        <v>16197.75</v>
      </c>
    </row>
    <row r="251" spans="1:7" x14ac:dyDescent="0.35">
      <c r="A251" s="178" t="s">
        <v>989</v>
      </c>
      <c r="B251" s="178" t="s">
        <v>990</v>
      </c>
      <c r="C251" s="178" t="s">
        <v>441</v>
      </c>
      <c r="D251" s="178" t="s">
        <v>63</v>
      </c>
      <c r="E251">
        <v>1304.3499999999999</v>
      </c>
      <c r="F251">
        <v>195.65</v>
      </c>
      <c r="G251">
        <v>1500</v>
      </c>
    </row>
    <row r="252" spans="1:7" x14ac:dyDescent="0.35">
      <c r="A252" s="178" t="s">
        <v>991</v>
      </c>
      <c r="B252" s="178" t="s">
        <v>992</v>
      </c>
      <c r="C252" s="178" t="s">
        <v>441</v>
      </c>
      <c r="D252" s="178" t="s">
        <v>993</v>
      </c>
      <c r="E252">
        <v>4699.5</v>
      </c>
      <c r="F252">
        <v>704.93</v>
      </c>
      <c r="G252">
        <v>5404.43</v>
      </c>
    </row>
    <row r="253" spans="1:7" x14ac:dyDescent="0.35">
      <c r="A253" s="178" t="s">
        <v>994</v>
      </c>
      <c r="B253" s="178" t="s">
        <v>995</v>
      </c>
      <c r="C253" s="178" t="s">
        <v>441</v>
      </c>
      <c r="D253" s="178" t="s">
        <v>63</v>
      </c>
      <c r="E253">
        <v>1383.2</v>
      </c>
      <c r="F253">
        <v>207.48</v>
      </c>
      <c r="G253">
        <v>1590.68</v>
      </c>
    </row>
    <row r="254" spans="1:7" x14ac:dyDescent="0.35">
      <c r="A254" s="178" t="s">
        <v>587</v>
      </c>
      <c r="B254" s="178" t="s">
        <v>996</v>
      </c>
      <c r="C254" s="178" t="s">
        <v>441</v>
      </c>
      <c r="D254" s="178" t="s">
        <v>63</v>
      </c>
      <c r="E254">
        <v>3353.25</v>
      </c>
      <c r="F254">
        <v>502.99</v>
      </c>
      <c r="G254">
        <v>3856.24</v>
      </c>
    </row>
    <row r="255" spans="1:7" x14ac:dyDescent="0.35">
      <c r="A255" s="178" t="s">
        <v>997</v>
      </c>
      <c r="B255" s="178" t="s">
        <v>998</v>
      </c>
      <c r="C255" s="178" t="s">
        <v>441</v>
      </c>
      <c r="D255" s="178" t="s">
        <v>63</v>
      </c>
      <c r="E255">
        <v>2846.25</v>
      </c>
      <c r="F255">
        <v>426.94</v>
      </c>
      <c r="G255">
        <v>3273.19</v>
      </c>
    </row>
    <row r="256" spans="1:7" x14ac:dyDescent="0.35">
      <c r="A256" s="178" t="s">
        <v>999</v>
      </c>
      <c r="B256" s="178" t="s">
        <v>1000</v>
      </c>
      <c r="C256" s="178" t="s">
        <v>441</v>
      </c>
      <c r="D256" s="178" t="s">
        <v>63</v>
      </c>
      <c r="E256">
        <v>1251.3</v>
      </c>
      <c r="F256">
        <v>187.7</v>
      </c>
      <c r="G256">
        <v>1439</v>
      </c>
    </row>
    <row r="257" spans="1:7" x14ac:dyDescent="0.35">
      <c r="A257" s="178" t="s">
        <v>1001</v>
      </c>
      <c r="B257" s="178" t="s">
        <v>1002</v>
      </c>
      <c r="C257" s="178" t="s">
        <v>441</v>
      </c>
      <c r="D257" s="178" t="s">
        <v>63</v>
      </c>
      <c r="E257">
        <v>1588</v>
      </c>
      <c r="F257">
        <v>238.2</v>
      </c>
      <c r="G257">
        <v>1826.2</v>
      </c>
    </row>
    <row r="258" spans="1:7" x14ac:dyDescent="0.35">
      <c r="A258" s="178" t="s">
        <v>684</v>
      </c>
      <c r="B258" s="178" t="s">
        <v>1003</v>
      </c>
      <c r="C258" s="178" t="s">
        <v>441</v>
      </c>
      <c r="D258" s="178" t="s">
        <v>63</v>
      </c>
      <c r="E258">
        <v>4285.1000000000004</v>
      </c>
      <c r="F258">
        <v>642.77</v>
      </c>
      <c r="G258">
        <v>4927.87</v>
      </c>
    </row>
    <row r="259" spans="1:7" x14ac:dyDescent="0.35">
      <c r="A259" s="178" t="s">
        <v>443</v>
      </c>
      <c r="B259" s="178" t="s">
        <v>1004</v>
      </c>
      <c r="C259" s="178" t="s">
        <v>441</v>
      </c>
      <c r="D259" s="178" t="s">
        <v>63</v>
      </c>
      <c r="E259">
        <v>1909.6</v>
      </c>
      <c r="F259">
        <v>286.44</v>
      </c>
      <c r="G259">
        <v>2196.04</v>
      </c>
    </row>
    <row r="260" spans="1:7" x14ac:dyDescent="0.35">
      <c r="A260" s="178" t="s">
        <v>882</v>
      </c>
      <c r="B260" s="178" t="s">
        <v>1005</v>
      </c>
      <c r="C260" s="178" t="s">
        <v>441</v>
      </c>
      <c r="D260" s="178" t="s">
        <v>63</v>
      </c>
      <c r="E260">
        <v>1536.55</v>
      </c>
      <c r="F260">
        <v>230.48</v>
      </c>
      <c r="G260">
        <v>1767.03</v>
      </c>
    </row>
    <row r="261" spans="1:7" x14ac:dyDescent="0.35">
      <c r="A261" s="178" t="s">
        <v>1006</v>
      </c>
      <c r="B261" s="178" t="s">
        <v>1007</v>
      </c>
      <c r="C261" s="178" t="s">
        <v>441</v>
      </c>
      <c r="D261" s="178" t="s">
        <v>1008</v>
      </c>
      <c r="E261">
        <v>8411.1</v>
      </c>
      <c r="F261">
        <v>1261.67</v>
      </c>
      <c r="G261">
        <v>9672.77</v>
      </c>
    </row>
    <row r="262" spans="1:7" x14ac:dyDescent="0.35">
      <c r="A262" s="178" t="s">
        <v>1006</v>
      </c>
      <c r="B262" s="178" t="s">
        <v>1009</v>
      </c>
      <c r="C262" s="178" t="s">
        <v>441</v>
      </c>
      <c r="D262">
        <v>4816</v>
      </c>
      <c r="E262">
        <v>5791.4</v>
      </c>
      <c r="F262">
        <v>868.71</v>
      </c>
      <c r="G262">
        <v>6660.11</v>
      </c>
    </row>
    <row r="263" spans="1:7" x14ac:dyDescent="0.35">
      <c r="A263" s="178" t="s">
        <v>1010</v>
      </c>
      <c r="B263" s="178" t="s">
        <v>1011</v>
      </c>
      <c r="C263" s="178" t="s">
        <v>441</v>
      </c>
      <c r="D263" s="178" t="s">
        <v>63</v>
      </c>
      <c r="E263">
        <v>10976</v>
      </c>
      <c r="F263">
        <v>1646.4</v>
      </c>
      <c r="G263">
        <v>12622.4</v>
      </c>
    </row>
    <row r="264" spans="1:7" x14ac:dyDescent="0.35">
      <c r="A264" s="178" t="s">
        <v>466</v>
      </c>
      <c r="B264" s="178" t="s">
        <v>1012</v>
      </c>
      <c r="C264" s="178" t="s">
        <v>441</v>
      </c>
      <c r="D264" s="178" t="s">
        <v>63</v>
      </c>
      <c r="E264">
        <v>4927.1000000000004</v>
      </c>
      <c r="F264">
        <v>739.06</v>
      </c>
      <c r="G264">
        <v>5666.16</v>
      </c>
    </row>
    <row r="265" spans="1:7" x14ac:dyDescent="0.35">
      <c r="A265" s="178" t="s">
        <v>1013</v>
      </c>
      <c r="B265" s="178" t="s">
        <v>1014</v>
      </c>
      <c r="C265" s="178" t="s">
        <v>441</v>
      </c>
      <c r="D265" s="178" t="s">
        <v>63</v>
      </c>
      <c r="E265">
        <v>1169.9000000000001</v>
      </c>
      <c r="F265">
        <v>175.49</v>
      </c>
      <c r="G265">
        <v>1345.39</v>
      </c>
    </row>
    <row r="266" spans="1:7" x14ac:dyDescent="0.35">
      <c r="A266" s="178" t="s">
        <v>1015</v>
      </c>
      <c r="B266" s="178" t="s">
        <v>1016</v>
      </c>
      <c r="C266" s="178" t="s">
        <v>441</v>
      </c>
      <c r="D266" s="178" t="s">
        <v>1017</v>
      </c>
      <c r="E266">
        <v>5350</v>
      </c>
      <c r="F266">
        <v>802.5</v>
      </c>
      <c r="G266">
        <v>6152.5</v>
      </c>
    </row>
    <row r="267" spans="1:7" x14ac:dyDescent="0.35">
      <c r="A267" s="178" t="s">
        <v>460</v>
      </c>
      <c r="B267" s="178" t="s">
        <v>1018</v>
      </c>
      <c r="C267" s="178" t="s">
        <v>441</v>
      </c>
      <c r="D267" s="178" t="s">
        <v>1019</v>
      </c>
      <c r="E267">
        <v>1536.5</v>
      </c>
      <c r="F267">
        <v>230.48</v>
      </c>
      <c r="G267">
        <v>1766.98</v>
      </c>
    </row>
    <row r="268" spans="1:7" x14ac:dyDescent="0.35">
      <c r="A268" s="178" t="s">
        <v>889</v>
      </c>
      <c r="B268" s="178" t="s">
        <v>1020</v>
      </c>
      <c r="C268" s="178" t="s">
        <v>441</v>
      </c>
      <c r="D268" s="178" t="s">
        <v>63</v>
      </c>
      <c r="E268">
        <v>820</v>
      </c>
      <c r="F268">
        <v>123</v>
      </c>
      <c r="G268">
        <v>943</v>
      </c>
    </row>
    <row r="269" spans="1:7" x14ac:dyDescent="0.35">
      <c r="A269" s="178" t="s">
        <v>889</v>
      </c>
      <c r="B269" s="178" t="s">
        <v>1021</v>
      </c>
      <c r="C269" s="178" t="s">
        <v>441</v>
      </c>
      <c r="D269" s="178" t="s">
        <v>63</v>
      </c>
      <c r="E269">
        <v>713.4</v>
      </c>
      <c r="F269">
        <v>107.01</v>
      </c>
      <c r="G269">
        <v>820.41</v>
      </c>
    </row>
    <row r="270" spans="1:7" x14ac:dyDescent="0.35">
      <c r="A270" s="178" t="s">
        <v>1022</v>
      </c>
      <c r="B270" s="178" t="s">
        <v>1023</v>
      </c>
      <c r="C270" s="178" t="s">
        <v>441</v>
      </c>
      <c r="D270" s="178" t="s">
        <v>63</v>
      </c>
      <c r="E270">
        <v>2097.1999999999998</v>
      </c>
      <c r="F270">
        <v>314.58</v>
      </c>
      <c r="G270">
        <v>2411.7800000000002</v>
      </c>
    </row>
    <row r="271" spans="1:7" x14ac:dyDescent="0.35">
      <c r="A271" s="178" t="s">
        <v>795</v>
      </c>
      <c r="B271" s="178" t="s">
        <v>1024</v>
      </c>
      <c r="C271" s="178" t="s">
        <v>441</v>
      </c>
      <c r="D271" s="178" t="s">
        <v>1025</v>
      </c>
      <c r="E271">
        <v>2842.85</v>
      </c>
      <c r="F271">
        <v>426.43</v>
      </c>
      <c r="G271">
        <v>3269.28</v>
      </c>
    </row>
    <row r="272" spans="1:7" x14ac:dyDescent="0.35">
      <c r="A272" s="178" t="s">
        <v>1026</v>
      </c>
      <c r="B272" s="178" t="s">
        <v>1027</v>
      </c>
      <c r="C272" s="178" t="s">
        <v>441</v>
      </c>
      <c r="D272" s="178" t="s">
        <v>63</v>
      </c>
      <c r="E272">
        <v>23967.5</v>
      </c>
      <c r="F272">
        <v>3595.13</v>
      </c>
      <c r="G272">
        <v>27562.63</v>
      </c>
    </row>
    <row r="273" spans="1:7" x14ac:dyDescent="0.35">
      <c r="A273" s="178" t="s">
        <v>1028</v>
      </c>
      <c r="B273" s="178" t="s">
        <v>1029</v>
      </c>
      <c r="C273" s="178" t="s">
        <v>441</v>
      </c>
      <c r="D273" s="178" t="s">
        <v>63</v>
      </c>
      <c r="E273">
        <v>1354.85</v>
      </c>
      <c r="F273">
        <v>203.23</v>
      </c>
      <c r="G273">
        <v>1558.08</v>
      </c>
    </row>
    <row r="274" spans="1:7" x14ac:dyDescent="0.35">
      <c r="A274" s="178" t="s">
        <v>1030</v>
      </c>
      <c r="B274" s="178" t="s">
        <v>1031</v>
      </c>
      <c r="C274" s="178" t="s">
        <v>441</v>
      </c>
      <c r="D274" s="178" t="s">
        <v>63</v>
      </c>
      <c r="E274">
        <v>2373.6</v>
      </c>
      <c r="F274">
        <v>356.05</v>
      </c>
      <c r="G274">
        <v>2729.65</v>
      </c>
    </row>
    <row r="275" spans="1:7" x14ac:dyDescent="0.35">
      <c r="A275" s="178" t="s">
        <v>551</v>
      </c>
      <c r="B275" s="178" t="s">
        <v>1032</v>
      </c>
      <c r="C275" s="178" t="s">
        <v>441</v>
      </c>
      <c r="D275" s="178" t="s">
        <v>63</v>
      </c>
      <c r="E275">
        <v>1591</v>
      </c>
      <c r="F275">
        <v>238.65</v>
      </c>
      <c r="G275">
        <v>1829.65</v>
      </c>
    </row>
    <row r="276" spans="1:7" x14ac:dyDescent="0.35">
      <c r="A276" s="178" t="s">
        <v>1033</v>
      </c>
      <c r="B276" s="178" t="s">
        <v>1034</v>
      </c>
      <c r="C276" s="178" t="s">
        <v>441</v>
      </c>
      <c r="D276" s="178" t="s">
        <v>63</v>
      </c>
      <c r="E276">
        <v>1389.6</v>
      </c>
      <c r="F276">
        <v>208.44</v>
      </c>
      <c r="G276">
        <v>1598.04</v>
      </c>
    </row>
    <row r="277" spans="1:7" x14ac:dyDescent="0.35">
      <c r="A277" s="178" t="s">
        <v>1035</v>
      </c>
      <c r="B277" s="178" t="s">
        <v>1036</v>
      </c>
      <c r="C277" s="178" t="s">
        <v>441</v>
      </c>
      <c r="D277" s="178" t="s">
        <v>63</v>
      </c>
      <c r="E277">
        <v>31691</v>
      </c>
      <c r="F277">
        <v>4753.6499999999996</v>
      </c>
      <c r="G277">
        <v>36444.65</v>
      </c>
    </row>
    <row r="278" spans="1:7" x14ac:dyDescent="0.35">
      <c r="A278" s="178" t="s">
        <v>450</v>
      </c>
      <c r="B278" s="178" t="s">
        <v>1037</v>
      </c>
      <c r="C278" s="178" t="s">
        <v>441</v>
      </c>
      <c r="D278" s="178" t="s">
        <v>63</v>
      </c>
      <c r="E278">
        <v>35438.449999999997</v>
      </c>
      <c r="F278">
        <v>5315.77</v>
      </c>
      <c r="G278">
        <v>40754.22</v>
      </c>
    </row>
    <row r="279" spans="1:7" x14ac:dyDescent="0.35">
      <c r="A279" s="178" t="s">
        <v>1038</v>
      </c>
      <c r="B279" s="178" t="s">
        <v>1039</v>
      </c>
      <c r="C279" s="178" t="s">
        <v>441</v>
      </c>
      <c r="D279">
        <v>11988</v>
      </c>
      <c r="E279">
        <v>6620.55</v>
      </c>
      <c r="F279">
        <v>993.08</v>
      </c>
      <c r="G279">
        <v>7613.63</v>
      </c>
    </row>
    <row r="280" spans="1:7" x14ac:dyDescent="0.35">
      <c r="A280" s="178" t="s">
        <v>999</v>
      </c>
      <c r="B280" s="178" t="s">
        <v>1040</v>
      </c>
      <c r="C280" s="178" t="s">
        <v>441</v>
      </c>
      <c r="D280" s="178" t="s">
        <v>63</v>
      </c>
      <c r="E280">
        <v>748.2</v>
      </c>
      <c r="F280">
        <v>112.23</v>
      </c>
      <c r="G280">
        <v>860.43</v>
      </c>
    </row>
    <row r="281" spans="1:7" x14ac:dyDescent="0.35">
      <c r="A281" s="178" t="s">
        <v>1041</v>
      </c>
      <c r="B281" s="178" t="s">
        <v>1042</v>
      </c>
      <c r="C281" s="178" t="s">
        <v>441</v>
      </c>
      <c r="D281" s="178" t="s">
        <v>63</v>
      </c>
      <c r="E281">
        <v>8129.7</v>
      </c>
      <c r="F281">
        <v>1219.46</v>
      </c>
      <c r="G281">
        <v>9349.16</v>
      </c>
    </row>
    <row r="282" spans="1:7" x14ac:dyDescent="0.35">
      <c r="A282" s="178" t="s">
        <v>1043</v>
      </c>
      <c r="B282" s="178" t="s">
        <v>1044</v>
      </c>
      <c r="C282" s="178" t="s">
        <v>441</v>
      </c>
      <c r="D282" s="178" t="s">
        <v>63</v>
      </c>
      <c r="E282">
        <v>722.4</v>
      </c>
      <c r="F282">
        <v>108.36</v>
      </c>
      <c r="G282">
        <v>830.76</v>
      </c>
    </row>
    <row r="283" spans="1:7" x14ac:dyDescent="0.35">
      <c r="A283" s="178" t="s">
        <v>1045</v>
      </c>
      <c r="B283" s="178" t="s">
        <v>1046</v>
      </c>
      <c r="C283" s="178" t="s">
        <v>441</v>
      </c>
      <c r="D283" s="178" t="s">
        <v>63</v>
      </c>
      <c r="E283">
        <v>2165.4</v>
      </c>
      <c r="F283">
        <v>324.81</v>
      </c>
      <c r="G283">
        <v>2490.21</v>
      </c>
    </row>
    <row r="284" spans="1:7" x14ac:dyDescent="0.35">
      <c r="A284" s="178" t="s">
        <v>1047</v>
      </c>
      <c r="B284" s="178" t="s">
        <v>1048</v>
      </c>
      <c r="C284" s="178" t="s">
        <v>441</v>
      </c>
      <c r="D284" s="178" t="s">
        <v>63</v>
      </c>
      <c r="E284">
        <v>11693.65</v>
      </c>
      <c r="F284">
        <v>1754.05</v>
      </c>
      <c r="G284">
        <v>13447.7</v>
      </c>
    </row>
    <row r="285" spans="1:7" x14ac:dyDescent="0.35">
      <c r="A285" s="178" t="s">
        <v>1049</v>
      </c>
      <c r="B285" s="178" t="s">
        <v>1050</v>
      </c>
      <c r="C285" s="178" t="s">
        <v>441</v>
      </c>
      <c r="D285" s="178" t="s">
        <v>63</v>
      </c>
      <c r="E285">
        <v>1413.75</v>
      </c>
      <c r="F285">
        <v>212.06</v>
      </c>
      <c r="G285">
        <v>1625.81</v>
      </c>
    </row>
    <row r="286" spans="1:7" x14ac:dyDescent="0.35">
      <c r="A286" s="178" t="s">
        <v>460</v>
      </c>
      <c r="B286" s="178" t="s">
        <v>1051</v>
      </c>
      <c r="C286" s="178" t="s">
        <v>441</v>
      </c>
      <c r="D286" s="178" t="s">
        <v>1052</v>
      </c>
      <c r="E286">
        <v>961.2</v>
      </c>
      <c r="F286">
        <v>144.18</v>
      </c>
      <c r="G286">
        <v>1105.3800000000001</v>
      </c>
    </row>
    <row r="287" spans="1:7" x14ac:dyDescent="0.35">
      <c r="A287" s="178" t="s">
        <v>1053</v>
      </c>
      <c r="B287" s="178" t="s">
        <v>1054</v>
      </c>
      <c r="C287" s="178" t="s">
        <v>441</v>
      </c>
      <c r="D287" s="178" t="s">
        <v>63</v>
      </c>
      <c r="E287">
        <v>6523.8</v>
      </c>
      <c r="F287">
        <v>978.57</v>
      </c>
      <c r="G287">
        <v>7502.37</v>
      </c>
    </row>
    <row r="288" spans="1:7" x14ac:dyDescent="0.35">
      <c r="A288" s="178" t="s">
        <v>1055</v>
      </c>
      <c r="B288" s="178" t="s">
        <v>1056</v>
      </c>
      <c r="C288" s="178" t="s">
        <v>441</v>
      </c>
      <c r="D288" s="178" t="s">
        <v>63</v>
      </c>
      <c r="E288">
        <v>2564.6999999999998</v>
      </c>
      <c r="F288">
        <v>384.7</v>
      </c>
      <c r="G288">
        <v>2949.4</v>
      </c>
    </row>
    <row r="289" spans="1:7" x14ac:dyDescent="0.35">
      <c r="A289" s="178" t="s">
        <v>1057</v>
      </c>
      <c r="B289" s="178" t="s">
        <v>1058</v>
      </c>
      <c r="C289" s="178" t="s">
        <v>441</v>
      </c>
      <c r="D289" s="178" t="s">
        <v>63</v>
      </c>
      <c r="E289">
        <v>6901.15</v>
      </c>
      <c r="F289">
        <v>1035.17</v>
      </c>
      <c r="G289">
        <v>7936.32</v>
      </c>
    </row>
    <row r="290" spans="1:7" x14ac:dyDescent="0.35">
      <c r="A290" s="178" t="s">
        <v>793</v>
      </c>
      <c r="B290" s="178" t="s">
        <v>1059</v>
      </c>
      <c r="C290" s="178" t="s">
        <v>441</v>
      </c>
      <c r="D290" s="178" t="s">
        <v>63</v>
      </c>
      <c r="E290">
        <v>3232.82</v>
      </c>
      <c r="F290">
        <v>484.93</v>
      </c>
      <c r="G290">
        <v>3717.75</v>
      </c>
    </row>
    <row r="291" spans="1:7" x14ac:dyDescent="0.35">
      <c r="A291" s="178" t="s">
        <v>468</v>
      </c>
      <c r="B291" s="178" t="s">
        <v>1060</v>
      </c>
      <c r="C291" s="178" t="s">
        <v>441</v>
      </c>
      <c r="D291" s="178" t="s">
        <v>1061</v>
      </c>
      <c r="E291">
        <v>1756</v>
      </c>
      <c r="F291">
        <v>263.39999999999998</v>
      </c>
      <c r="G291">
        <v>2019.4</v>
      </c>
    </row>
    <row r="292" spans="1:7" x14ac:dyDescent="0.35">
      <c r="A292" s="178" t="s">
        <v>623</v>
      </c>
      <c r="B292" s="178" t="s">
        <v>1062</v>
      </c>
      <c r="C292" s="178" t="s">
        <v>441</v>
      </c>
      <c r="D292" s="178" t="s">
        <v>63</v>
      </c>
      <c r="E292">
        <v>14099</v>
      </c>
      <c r="F292">
        <v>2114.85</v>
      </c>
      <c r="G292">
        <v>16213.85</v>
      </c>
    </row>
    <row r="293" spans="1:7" x14ac:dyDescent="0.35">
      <c r="A293" s="178" t="s">
        <v>901</v>
      </c>
      <c r="B293" s="178" t="s">
        <v>1063</v>
      </c>
      <c r="C293" s="178" t="s">
        <v>441</v>
      </c>
      <c r="D293" s="178" t="s">
        <v>63</v>
      </c>
      <c r="E293">
        <v>1430.8</v>
      </c>
      <c r="F293">
        <v>214.62</v>
      </c>
      <c r="G293">
        <v>1645.42</v>
      </c>
    </row>
    <row r="294" spans="1:7" x14ac:dyDescent="0.35">
      <c r="A294" s="178" t="s">
        <v>1038</v>
      </c>
      <c r="B294" s="178" t="s">
        <v>1064</v>
      </c>
      <c r="C294" s="178" t="s">
        <v>441</v>
      </c>
      <c r="D294" s="178" t="s">
        <v>63</v>
      </c>
      <c r="E294">
        <v>7953.2</v>
      </c>
      <c r="F294">
        <v>1192.98</v>
      </c>
      <c r="G294">
        <v>9146.18</v>
      </c>
    </row>
    <row r="295" spans="1:7" x14ac:dyDescent="0.35">
      <c r="A295" s="178" t="s">
        <v>634</v>
      </c>
      <c r="B295" s="178" t="s">
        <v>1065</v>
      </c>
      <c r="C295" s="178" t="s">
        <v>441</v>
      </c>
      <c r="D295" s="178" t="s">
        <v>63</v>
      </c>
      <c r="E295">
        <v>12790.8</v>
      </c>
      <c r="F295">
        <v>1918.62</v>
      </c>
      <c r="G295">
        <v>14709.42</v>
      </c>
    </row>
    <row r="296" spans="1:7" x14ac:dyDescent="0.35">
      <c r="A296" s="178" t="s">
        <v>1066</v>
      </c>
      <c r="B296" s="178" t="s">
        <v>1067</v>
      </c>
      <c r="C296" s="178" t="s">
        <v>448</v>
      </c>
      <c r="D296" s="178" t="s">
        <v>63</v>
      </c>
      <c r="E296">
        <v>805.1</v>
      </c>
      <c r="F296">
        <v>120.77</v>
      </c>
      <c r="G296">
        <v>925.87</v>
      </c>
    </row>
    <row r="297" spans="1:7" x14ac:dyDescent="0.35">
      <c r="A297" s="178" t="s">
        <v>548</v>
      </c>
      <c r="B297" s="178" t="s">
        <v>1068</v>
      </c>
      <c r="C297" s="178" t="s">
        <v>448</v>
      </c>
      <c r="D297" s="178" t="s">
        <v>63</v>
      </c>
      <c r="E297">
        <v>666.5</v>
      </c>
      <c r="F297">
        <v>99.98</v>
      </c>
      <c r="G297">
        <v>766.48</v>
      </c>
    </row>
    <row r="298" spans="1:7" x14ac:dyDescent="0.35">
      <c r="A298" s="178" t="s">
        <v>1069</v>
      </c>
      <c r="B298" s="178" t="s">
        <v>1070</v>
      </c>
      <c r="C298" s="178" t="s">
        <v>448</v>
      </c>
      <c r="D298" s="178" t="s">
        <v>1071</v>
      </c>
      <c r="E298">
        <v>1638.6</v>
      </c>
      <c r="F298">
        <v>245.79</v>
      </c>
      <c r="G298">
        <v>1884.39</v>
      </c>
    </row>
    <row r="299" spans="1:7" x14ac:dyDescent="0.35">
      <c r="A299" s="178" t="s">
        <v>1072</v>
      </c>
      <c r="B299" s="178" t="s">
        <v>1073</v>
      </c>
      <c r="C299" s="178" t="s">
        <v>448</v>
      </c>
      <c r="D299" s="178" t="s">
        <v>63</v>
      </c>
      <c r="E299">
        <v>1241</v>
      </c>
      <c r="F299">
        <v>186.15</v>
      </c>
      <c r="G299">
        <v>1427.15</v>
      </c>
    </row>
    <row r="300" spans="1:7" x14ac:dyDescent="0.35">
      <c r="A300" s="178" t="s">
        <v>1074</v>
      </c>
      <c r="B300" s="178" t="s">
        <v>1075</v>
      </c>
      <c r="C300" s="178" t="s">
        <v>448</v>
      </c>
      <c r="D300" s="178" t="s">
        <v>63</v>
      </c>
      <c r="E300">
        <v>5517.5</v>
      </c>
      <c r="F300">
        <v>827.63</v>
      </c>
      <c r="G300">
        <v>6345.13</v>
      </c>
    </row>
    <row r="301" spans="1:7" x14ac:dyDescent="0.35">
      <c r="A301" s="178" t="s">
        <v>522</v>
      </c>
      <c r="B301" s="178" t="s">
        <v>1076</v>
      </c>
      <c r="C301" s="178" t="s">
        <v>448</v>
      </c>
      <c r="D301" s="178" t="s">
        <v>63</v>
      </c>
      <c r="E301">
        <v>837.25</v>
      </c>
      <c r="F301">
        <v>125.59</v>
      </c>
      <c r="G301">
        <v>962.84</v>
      </c>
    </row>
    <row r="302" spans="1:7" x14ac:dyDescent="0.35">
      <c r="A302" s="178" t="s">
        <v>671</v>
      </c>
      <c r="B302" s="178" t="s">
        <v>1077</v>
      </c>
      <c r="C302" s="178" t="s">
        <v>448</v>
      </c>
      <c r="D302" s="178" t="s">
        <v>63</v>
      </c>
      <c r="E302">
        <v>5056.8</v>
      </c>
      <c r="F302">
        <v>758.52</v>
      </c>
      <c r="G302">
        <v>5815.32</v>
      </c>
    </row>
    <row r="303" spans="1:7" x14ac:dyDescent="0.35">
      <c r="A303" s="178" t="s">
        <v>1078</v>
      </c>
      <c r="B303" s="178" t="s">
        <v>1079</v>
      </c>
      <c r="C303" s="178" t="s">
        <v>448</v>
      </c>
      <c r="D303" s="178" t="s">
        <v>63</v>
      </c>
      <c r="E303">
        <v>10249.75</v>
      </c>
      <c r="F303">
        <v>1537.48</v>
      </c>
      <c r="G303">
        <v>11787.23</v>
      </c>
    </row>
    <row r="304" spans="1:7" x14ac:dyDescent="0.35">
      <c r="A304" s="178" t="s">
        <v>1080</v>
      </c>
      <c r="B304" s="178" t="s">
        <v>1081</v>
      </c>
      <c r="C304" s="178" t="s">
        <v>448</v>
      </c>
      <c r="D304" s="178" t="s">
        <v>63</v>
      </c>
      <c r="E304">
        <v>7207.4</v>
      </c>
      <c r="F304">
        <v>1081.1099999999999</v>
      </c>
      <c r="G304">
        <v>8288.51</v>
      </c>
    </row>
    <row r="305" spans="1:7" x14ac:dyDescent="0.35">
      <c r="A305" s="178" t="s">
        <v>976</v>
      </c>
      <c r="B305" s="178" t="s">
        <v>1082</v>
      </c>
      <c r="C305" s="178" t="s">
        <v>448</v>
      </c>
      <c r="D305" s="178" t="s">
        <v>63</v>
      </c>
      <c r="E305">
        <v>232</v>
      </c>
      <c r="F305">
        <v>34.799999999999997</v>
      </c>
      <c r="G305">
        <v>266.8</v>
      </c>
    </row>
    <row r="306" spans="1:7" x14ac:dyDescent="0.35">
      <c r="A306" s="178" t="s">
        <v>529</v>
      </c>
      <c r="B306" s="178" t="s">
        <v>1083</v>
      </c>
      <c r="C306" s="178" t="s">
        <v>448</v>
      </c>
      <c r="D306" s="178" t="s">
        <v>63</v>
      </c>
      <c r="E306">
        <v>6887.55</v>
      </c>
      <c r="F306">
        <v>1033.1300000000001</v>
      </c>
      <c r="G306">
        <v>7920.68</v>
      </c>
    </row>
    <row r="307" spans="1:7" x14ac:dyDescent="0.35">
      <c r="A307" s="178" t="s">
        <v>1084</v>
      </c>
      <c r="B307" s="178" t="s">
        <v>1085</v>
      </c>
      <c r="C307" s="178" t="s">
        <v>448</v>
      </c>
      <c r="D307" s="178" t="s">
        <v>1086</v>
      </c>
      <c r="E307">
        <v>19946.48</v>
      </c>
      <c r="F307">
        <v>2991.98</v>
      </c>
      <c r="G307">
        <v>22938.46</v>
      </c>
    </row>
    <row r="308" spans="1:7" x14ac:dyDescent="0.35">
      <c r="A308" s="178" t="s">
        <v>772</v>
      </c>
      <c r="B308" s="178" t="s">
        <v>1087</v>
      </c>
      <c r="C308" s="178" t="s">
        <v>448</v>
      </c>
      <c r="D308" s="178" t="s">
        <v>63</v>
      </c>
      <c r="E308">
        <v>2771</v>
      </c>
      <c r="F308">
        <v>415.65</v>
      </c>
      <c r="G308">
        <v>3186.65</v>
      </c>
    </row>
    <row r="309" spans="1:7" x14ac:dyDescent="0.35">
      <c r="A309" s="178" t="s">
        <v>1088</v>
      </c>
      <c r="B309" s="178" t="s">
        <v>1089</v>
      </c>
      <c r="C309" s="178" t="s">
        <v>448</v>
      </c>
      <c r="D309" s="178" t="s">
        <v>1090</v>
      </c>
      <c r="E309">
        <v>1559.25</v>
      </c>
      <c r="F309">
        <v>233.89</v>
      </c>
      <c r="G309">
        <v>1793.14</v>
      </c>
    </row>
    <row r="310" spans="1:7" x14ac:dyDescent="0.35">
      <c r="A310" s="178" t="s">
        <v>1078</v>
      </c>
      <c r="B310" s="178" t="s">
        <v>1091</v>
      </c>
      <c r="C310" s="178" t="s">
        <v>448</v>
      </c>
      <c r="D310" s="178" t="s">
        <v>63</v>
      </c>
      <c r="E310">
        <v>2524.1</v>
      </c>
      <c r="F310">
        <v>378.62</v>
      </c>
      <c r="G310">
        <v>2902.72</v>
      </c>
    </row>
    <row r="311" spans="1:7" x14ac:dyDescent="0.35">
      <c r="A311" s="178" t="s">
        <v>933</v>
      </c>
      <c r="B311" s="178" t="s">
        <v>1092</v>
      </c>
      <c r="C311" s="178" t="s">
        <v>448</v>
      </c>
      <c r="D311" s="178" t="s">
        <v>935</v>
      </c>
      <c r="E311">
        <v>669.9</v>
      </c>
      <c r="F311">
        <v>100.49</v>
      </c>
      <c r="G311">
        <v>770.39</v>
      </c>
    </row>
    <row r="312" spans="1:7" x14ac:dyDescent="0.35">
      <c r="A312" s="178" t="s">
        <v>761</v>
      </c>
      <c r="B312" s="178" t="s">
        <v>1093</v>
      </c>
      <c r="C312" s="178" t="s">
        <v>448</v>
      </c>
      <c r="D312" s="178" t="s">
        <v>1094</v>
      </c>
      <c r="E312">
        <v>1757.4</v>
      </c>
      <c r="F312">
        <v>263.61</v>
      </c>
      <c r="G312">
        <v>2021.01</v>
      </c>
    </row>
    <row r="313" spans="1:7" x14ac:dyDescent="0.35">
      <c r="A313" s="178" t="s">
        <v>522</v>
      </c>
      <c r="B313" s="178" t="s">
        <v>1095</v>
      </c>
      <c r="C313" s="178" t="s">
        <v>448</v>
      </c>
      <c r="D313" s="178" t="s">
        <v>63</v>
      </c>
      <c r="E313">
        <v>10217</v>
      </c>
      <c r="F313">
        <v>1532.56</v>
      </c>
      <c r="G313">
        <v>11749.56</v>
      </c>
    </row>
    <row r="314" spans="1:7" x14ac:dyDescent="0.35">
      <c r="A314" s="178" t="s">
        <v>522</v>
      </c>
      <c r="B314" s="178" t="s">
        <v>1096</v>
      </c>
      <c r="C314" s="178" t="s">
        <v>448</v>
      </c>
      <c r="D314" s="178" t="s">
        <v>63</v>
      </c>
      <c r="E314">
        <v>3123.75</v>
      </c>
      <c r="F314">
        <v>468.57</v>
      </c>
      <c r="G314">
        <v>3592.32</v>
      </c>
    </row>
    <row r="315" spans="1:7" x14ac:dyDescent="0.35">
      <c r="A315" s="178" t="s">
        <v>617</v>
      </c>
      <c r="B315" s="178" t="s">
        <v>1097</v>
      </c>
      <c r="C315" s="178" t="s">
        <v>448</v>
      </c>
      <c r="D315" s="178" t="s">
        <v>63</v>
      </c>
      <c r="E315">
        <v>2212.1</v>
      </c>
      <c r="F315">
        <v>331.82</v>
      </c>
      <c r="G315">
        <v>2543.92</v>
      </c>
    </row>
    <row r="316" spans="1:7" x14ac:dyDescent="0.35">
      <c r="A316" s="178" t="s">
        <v>1098</v>
      </c>
      <c r="B316" s="178" t="s">
        <v>1099</v>
      </c>
      <c r="C316" s="178" t="s">
        <v>448</v>
      </c>
      <c r="D316" s="178" t="s">
        <v>63</v>
      </c>
      <c r="E316">
        <v>1382.4</v>
      </c>
      <c r="F316">
        <v>207.36</v>
      </c>
      <c r="G316">
        <v>1589.76</v>
      </c>
    </row>
    <row r="317" spans="1:7" x14ac:dyDescent="0.35">
      <c r="A317" s="178" t="s">
        <v>1100</v>
      </c>
      <c r="B317" s="178" t="s">
        <v>1101</v>
      </c>
      <c r="C317" s="178" t="s">
        <v>448</v>
      </c>
      <c r="D317" s="178" t="s">
        <v>63</v>
      </c>
      <c r="E317">
        <v>1711.1</v>
      </c>
      <c r="F317">
        <v>256.67</v>
      </c>
      <c r="G317">
        <v>1967.77</v>
      </c>
    </row>
    <row r="318" spans="1:7" x14ac:dyDescent="0.35">
      <c r="A318" s="178" t="s">
        <v>1102</v>
      </c>
      <c r="B318" s="178" t="s">
        <v>1103</v>
      </c>
      <c r="C318" s="178" t="s">
        <v>448</v>
      </c>
      <c r="D318" s="178" t="s">
        <v>63</v>
      </c>
      <c r="E318">
        <v>1150</v>
      </c>
      <c r="F318">
        <v>172.5</v>
      </c>
      <c r="G318">
        <v>1322.5</v>
      </c>
    </row>
    <row r="319" spans="1:7" x14ac:dyDescent="0.35">
      <c r="A319" s="178" t="s">
        <v>450</v>
      </c>
      <c r="B319" s="178" t="s">
        <v>1104</v>
      </c>
      <c r="C319" s="178" t="s">
        <v>448</v>
      </c>
      <c r="D319" s="178" t="s">
        <v>63</v>
      </c>
      <c r="E319">
        <v>13912.5</v>
      </c>
      <c r="F319">
        <v>2086.88</v>
      </c>
      <c r="G319">
        <v>15999.38</v>
      </c>
    </row>
    <row r="320" spans="1:7" x14ac:dyDescent="0.35">
      <c r="A320" s="178" t="s">
        <v>795</v>
      </c>
      <c r="B320" s="178" t="s">
        <v>1105</v>
      </c>
      <c r="C320" s="178" t="s">
        <v>448</v>
      </c>
      <c r="D320" s="178" t="s">
        <v>63</v>
      </c>
      <c r="E320">
        <v>5252.3</v>
      </c>
      <c r="F320">
        <v>787.85</v>
      </c>
      <c r="G320">
        <v>6040.15</v>
      </c>
    </row>
    <row r="321" spans="1:7" x14ac:dyDescent="0.35">
      <c r="A321" s="178" t="s">
        <v>487</v>
      </c>
      <c r="B321" s="178" t="s">
        <v>1106</v>
      </c>
      <c r="C321" s="178" t="s">
        <v>448</v>
      </c>
      <c r="D321" s="178" t="s">
        <v>63</v>
      </c>
      <c r="E321">
        <v>3240.9</v>
      </c>
      <c r="F321">
        <v>486.14</v>
      </c>
      <c r="G321">
        <v>3727.04</v>
      </c>
    </row>
    <row r="322" spans="1:7" x14ac:dyDescent="0.35">
      <c r="A322" s="178" t="s">
        <v>694</v>
      </c>
      <c r="B322" s="178" t="s">
        <v>1107</v>
      </c>
      <c r="C322" s="178" t="s">
        <v>448</v>
      </c>
      <c r="D322" s="178" t="s">
        <v>63</v>
      </c>
      <c r="E322">
        <v>885.8</v>
      </c>
      <c r="F322">
        <v>132.87</v>
      </c>
      <c r="G322">
        <v>1018.67</v>
      </c>
    </row>
    <row r="323" spans="1:7" x14ac:dyDescent="0.35">
      <c r="A323" s="178" t="s">
        <v>446</v>
      </c>
      <c r="B323" s="178" t="s">
        <v>1108</v>
      </c>
      <c r="C323" s="178" t="s">
        <v>448</v>
      </c>
      <c r="D323" s="178" t="s">
        <v>63</v>
      </c>
      <c r="E323">
        <v>3131.7</v>
      </c>
      <c r="F323">
        <v>469.76</v>
      </c>
      <c r="G323">
        <v>3601.46</v>
      </c>
    </row>
    <row r="324" spans="1:7" x14ac:dyDescent="0.35">
      <c r="A324" s="178" t="s">
        <v>772</v>
      </c>
      <c r="B324" s="178" t="s">
        <v>1109</v>
      </c>
      <c r="C324" s="178" t="s">
        <v>448</v>
      </c>
      <c r="D324" s="178" t="s">
        <v>63</v>
      </c>
      <c r="E324">
        <v>2420.65</v>
      </c>
      <c r="F324">
        <v>363.1</v>
      </c>
      <c r="G324">
        <v>2783.75</v>
      </c>
    </row>
    <row r="325" spans="1:7" x14ac:dyDescent="0.35">
      <c r="A325" s="178" t="s">
        <v>617</v>
      </c>
      <c r="B325" s="178" t="s">
        <v>1110</v>
      </c>
      <c r="C325" s="178" t="s">
        <v>448</v>
      </c>
      <c r="D325" s="178" t="s">
        <v>63</v>
      </c>
      <c r="E325">
        <v>1368</v>
      </c>
      <c r="F325">
        <v>205.2</v>
      </c>
      <c r="G325">
        <v>1573.2</v>
      </c>
    </row>
    <row r="326" spans="1:7" x14ac:dyDescent="0.35">
      <c r="A326" s="178" t="s">
        <v>466</v>
      </c>
      <c r="B326" s="178" t="s">
        <v>1111</v>
      </c>
      <c r="C326" s="178" t="s">
        <v>448</v>
      </c>
      <c r="D326" s="178" t="s">
        <v>63</v>
      </c>
      <c r="E326">
        <v>861</v>
      </c>
      <c r="F326">
        <v>129.15</v>
      </c>
      <c r="G326">
        <v>990.15</v>
      </c>
    </row>
    <row r="327" spans="1:7" x14ac:dyDescent="0.35">
      <c r="A327" s="178" t="s">
        <v>1112</v>
      </c>
      <c r="B327" s="178" t="s">
        <v>1113</v>
      </c>
      <c r="C327" s="178" t="s">
        <v>448</v>
      </c>
      <c r="D327" s="178" t="s">
        <v>63</v>
      </c>
      <c r="E327">
        <v>4404.25</v>
      </c>
      <c r="F327">
        <v>660.64</v>
      </c>
      <c r="G327">
        <v>5064.8900000000003</v>
      </c>
    </row>
    <row r="328" spans="1:7" x14ac:dyDescent="0.35">
      <c r="A328" s="178" t="s">
        <v>978</v>
      </c>
      <c r="B328" s="178" t="s">
        <v>1114</v>
      </c>
      <c r="C328" s="178" t="s">
        <v>448</v>
      </c>
      <c r="D328" s="178" t="s">
        <v>1115</v>
      </c>
      <c r="E328">
        <v>913.5</v>
      </c>
      <c r="F328">
        <v>137.03</v>
      </c>
      <c r="G328">
        <v>1050.53</v>
      </c>
    </row>
    <row r="329" spans="1:7" x14ac:dyDescent="0.35">
      <c r="A329" s="178" t="s">
        <v>1116</v>
      </c>
      <c r="B329" s="178" t="s">
        <v>1117</v>
      </c>
      <c r="C329" s="178" t="s">
        <v>448</v>
      </c>
      <c r="D329" s="178" t="s">
        <v>63</v>
      </c>
      <c r="E329">
        <v>4781.95</v>
      </c>
      <c r="F329">
        <v>717.29</v>
      </c>
      <c r="G329">
        <v>5499.24</v>
      </c>
    </row>
    <row r="330" spans="1:7" x14ac:dyDescent="0.35">
      <c r="A330" s="178" t="s">
        <v>535</v>
      </c>
      <c r="B330" s="178" t="s">
        <v>1118</v>
      </c>
      <c r="C330" s="178" t="s">
        <v>448</v>
      </c>
      <c r="D330" s="178" t="s">
        <v>1119</v>
      </c>
      <c r="E330">
        <v>14387.25</v>
      </c>
      <c r="F330">
        <v>2158.09</v>
      </c>
      <c r="G330">
        <v>16545.34</v>
      </c>
    </row>
    <row r="331" spans="1:7" x14ac:dyDescent="0.35">
      <c r="A331" s="178" t="s">
        <v>1120</v>
      </c>
      <c r="B331" s="178" t="s">
        <v>1121</v>
      </c>
      <c r="C331" s="178" t="s">
        <v>448</v>
      </c>
      <c r="D331" s="178" t="s">
        <v>63</v>
      </c>
      <c r="E331">
        <v>1985</v>
      </c>
      <c r="F331">
        <v>297.75</v>
      </c>
      <c r="G331">
        <v>2282.75</v>
      </c>
    </row>
    <row r="332" spans="1:7" x14ac:dyDescent="0.35">
      <c r="A332" s="178" t="s">
        <v>508</v>
      </c>
      <c r="B332" s="178" t="s">
        <v>1122</v>
      </c>
      <c r="C332" s="178" t="s">
        <v>458</v>
      </c>
      <c r="D332" s="178" t="s">
        <v>63</v>
      </c>
      <c r="E332">
        <v>1810.8</v>
      </c>
      <c r="F332">
        <v>271.62</v>
      </c>
      <c r="G332">
        <v>2082.42</v>
      </c>
    </row>
    <row r="333" spans="1:7" x14ac:dyDescent="0.35">
      <c r="A333" s="178" t="s">
        <v>1123</v>
      </c>
      <c r="B333" s="178" t="s">
        <v>1124</v>
      </c>
      <c r="C333" s="178" t="s">
        <v>448</v>
      </c>
      <c r="D333" s="178" t="s">
        <v>63</v>
      </c>
      <c r="E333">
        <v>4137.3</v>
      </c>
      <c r="F333">
        <v>620.6</v>
      </c>
      <c r="G333">
        <v>4757.8999999999996</v>
      </c>
    </row>
    <row r="334" spans="1:7" x14ac:dyDescent="0.35">
      <c r="A334" s="178" t="s">
        <v>1123</v>
      </c>
      <c r="B334" s="178" t="s">
        <v>1125</v>
      </c>
      <c r="C334" s="178" t="s">
        <v>448</v>
      </c>
      <c r="D334" s="178" t="s">
        <v>63</v>
      </c>
      <c r="E334">
        <v>145.75</v>
      </c>
      <c r="F334">
        <v>21.86</v>
      </c>
      <c r="G334">
        <v>167.61</v>
      </c>
    </row>
    <row r="335" spans="1:7" x14ac:dyDescent="0.35">
      <c r="A335" s="178" t="s">
        <v>623</v>
      </c>
      <c r="B335" s="178" t="s">
        <v>1126</v>
      </c>
      <c r="C335" s="178" t="s">
        <v>458</v>
      </c>
      <c r="D335" s="178" t="s">
        <v>1127</v>
      </c>
      <c r="E335">
        <v>900</v>
      </c>
      <c r="F335">
        <v>135</v>
      </c>
      <c r="G335">
        <v>1035</v>
      </c>
    </row>
    <row r="336" spans="1:7" x14ac:dyDescent="0.35">
      <c r="A336" s="178" t="s">
        <v>634</v>
      </c>
      <c r="B336" s="178" t="s">
        <v>1128</v>
      </c>
      <c r="C336" s="178" t="s">
        <v>448</v>
      </c>
      <c r="D336" s="178" t="s">
        <v>63</v>
      </c>
      <c r="E336">
        <v>2447.6</v>
      </c>
      <c r="F336">
        <v>367.14</v>
      </c>
      <c r="G336">
        <v>2814.74</v>
      </c>
    </row>
    <row r="337" spans="1:7" x14ac:dyDescent="0.35">
      <c r="A337" s="178" t="s">
        <v>505</v>
      </c>
      <c r="B337" s="178" t="s">
        <v>1129</v>
      </c>
      <c r="C337" s="178" t="s">
        <v>448</v>
      </c>
      <c r="D337" s="178" t="s">
        <v>63</v>
      </c>
      <c r="E337">
        <v>11169.95</v>
      </c>
      <c r="F337">
        <v>1675.49</v>
      </c>
      <c r="G337">
        <v>12845.44</v>
      </c>
    </row>
    <row r="338" spans="1:7" x14ac:dyDescent="0.35">
      <c r="A338" s="178" t="s">
        <v>691</v>
      </c>
      <c r="B338" s="178" t="s">
        <v>1130</v>
      </c>
      <c r="C338" s="178" t="s">
        <v>448</v>
      </c>
      <c r="D338" s="178" t="s">
        <v>63</v>
      </c>
      <c r="E338">
        <v>3372.83</v>
      </c>
      <c r="F338">
        <v>505.93</v>
      </c>
      <c r="G338">
        <v>3878.76</v>
      </c>
    </row>
    <row r="339" spans="1:7" x14ac:dyDescent="0.35">
      <c r="A339" s="178" t="s">
        <v>1131</v>
      </c>
      <c r="B339" s="178" t="s">
        <v>1132</v>
      </c>
      <c r="C339" s="178" t="s">
        <v>448</v>
      </c>
      <c r="D339" s="178" t="s">
        <v>1133</v>
      </c>
      <c r="E339">
        <v>8101.1</v>
      </c>
      <c r="F339">
        <v>1215.17</v>
      </c>
      <c r="G339">
        <v>9316.27</v>
      </c>
    </row>
    <row r="340" spans="1:7" x14ac:dyDescent="0.35">
      <c r="A340" s="178" t="s">
        <v>1134</v>
      </c>
      <c r="B340" s="178" t="s">
        <v>1135</v>
      </c>
      <c r="C340" s="178" t="s">
        <v>448</v>
      </c>
      <c r="D340" s="178" t="s">
        <v>63</v>
      </c>
      <c r="E340">
        <v>1496</v>
      </c>
      <c r="F340">
        <v>224.4</v>
      </c>
      <c r="G340">
        <v>1720.4</v>
      </c>
    </row>
    <row r="341" spans="1:7" x14ac:dyDescent="0.35">
      <c r="A341" s="178" t="s">
        <v>1136</v>
      </c>
      <c r="B341" s="178" t="s">
        <v>1137</v>
      </c>
      <c r="C341" s="178" t="s">
        <v>448</v>
      </c>
      <c r="D341" s="178" t="s">
        <v>63</v>
      </c>
      <c r="E341">
        <v>703.1</v>
      </c>
      <c r="F341">
        <v>105.47</v>
      </c>
      <c r="G341">
        <v>808.57</v>
      </c>
    </row>
    <row r="342" spans="1:7" x14ac:dyDescent="0.35">
      <c r="A342" s="178" t="s">
        <v>1136</v>
      </c>
      <c r="B342" s="178" t="s">
        <v>1138</v>
      </c>
      <c r="C342" s="178" t="s">
        <v>448</v>
      </c>
      <c r="D342" s="178" t="s">
        <v>63</v>
      </c>
      <c r="E342">
        <v>500.55</v>
      </c>
      <c r="F342">
        <v>75.08</v>
      </c>
      <c r="G342">
        <v>575.63</v>
      </c>
    </row>
    <row r="343" spans="1:7" x14ac:dyDescent="0.35">
      <c r="A343" s="178" t="s">
        <v>623</v>
      </c>
      <c r="B343" s="178" t="s">
        <v>1139</v>
      </c>
      <c r="C343" s="178" t="s">
        <v>448</v>
      </c>
      <c r="D343" s="178" t="s">
        <v>1140</v>
      </c>
      <c r="E343">
        <v>10394.4</v>
      </c>
      <c r="F343">
        <v>1559.16</v>
      </c>
      <c r="G343">
        <v>11953.56</v>
      </c>
    </row>
    <row r="344" spans="1:7" x14ac:dyDescent="0.35">
      <c r="A344" s="178" t="s">
        <v>623</v>
      </c>
      <c r="B344" s="178" t="s">
        <v>1141</v>
      </c>
      <c r="C344" s="178" t="s">
        <v>448</v>
      </c>
      <c r="D344" s="178" t="s">
        <v>1142</v>
      </c>
      <c r="E344">
        <v>18583.2</v>
      </c>
      <c r="F344">
        <v>2787.48</v>
      </c>
      <c r="G344">
        <v>21370.68</v>
      </c>
    </row>
    <row r="345" spans="1:7" x14ac:dyDescent="0.35">
      <c r="A345" s="178" t="s">
        <v>623</v>
      </c>
      <c r="B345" s="178" t="s">
        <v>1143</v>
      </c>
      <c r="C345" s="178" t="s">
        <v>448</v>
      </c>
      <c r="D345" s="178" t="s">
        <v>1144</v>
      </c>
      <c r="E345">
        <v>8830</v>
      </c>
      <c r="F345">
        <v>1324.5</v>
      </c>
      <c r="G345">
        <v>10154.5</v>
      </c>
    </row>
    <row r="346" spans="1:7" x14ac:dyDescent="0.35">
      <c r="A346" s="178" t="s">
        <v>1145</v>
      </c>
      <c r="B346" s="178" t="s">
        <v>1146</v>
      </c>
      <c r="C346" s="178" t="s">
        <v>448</v>
      </c>
      <c r="D346" s="178" t="s">
        <v>63</v>
      </c>
      <c r="E346">
        <v>1843</v>
      </c>
      <c r="F346">
        <v>276.45</v>
      </c>
      <c r="G346">
        <v>2119.4499999999998</v>
      </c>
    </row>
    <row r="347" spans="1:7" x14ac:dyDescent="0.35">
      <c r="A347" s="178" t="s">
        <v>623</v>
      </c>
      <c r="B347" s="178" t="s">
        <v>1147</v>
      </c>
      <c r="C347" s="178" t="s">
        <v>448</v>
      </c>
      <c r="D347" s="178" t="s">
        <v>1148</v>
      </c>
      <c r="E347">
        <v>19320</v>
      </c>
      <c r="F347">
        <v>2898</v>
      </c>
      <c r="G347">
        <v>22218</v>
      </c>
    </row>
    <row r="348" spans="1:7" x14ac:dyDescent="0.35">
      <c r="A348" s="178" t="s">
        <v>1149</v>
      </c>
      <c r="B348" s="178" t="s">
        <v>1150</v>
      </c>
      <c r="C348" s="178" t="s">
        <v>448</v>
      </c>
      <c r="D348" s="178" t="s">
        <v>63</v>
      </c>
      <c r="E348">
        <v>176.33</v>
      </c>
      <c r="F348">
        <v>26.45</v>
      </c>
      <c r="G348">
        <v>202.78</v>
      </c>
    </row>
    <row r="349" spans="1:7" x14ac:dyDescent="0.35">
      <c r="A349" s="178" t="s">
        <v>1151</v>
      </c>
      <c r="B349" s="178" t="s">
        <v>1152</v>
      </c>
      <c r="C349" s="178" t="s">
        <v>448</v>
      </c>
      <c r="D349" s="178" t="s">
        <v>63</v>
      </c>
      <c r="E349">
        <v>1504.95</v>
      </c>
      <c r="F349">
        <v>225.74</v>
      </c>
      <c r="G349">
        <v>1730.69</v>
      </c>
    </row>
    <row r="350" spans="1:7" x14ac:dyDescent="0.35">
      <c r="A350" s="178" t="s">
        <v>745</v>
      </c>
      <c r="B350" s="178" t="s">
        <v>1153</v>
      </c>
      <c r="C350" s="178" t="s">
        <v>448</v>
      </c>
      <c r="D350" s="178" t="s">
        <v>63</v>
      </c>
      <c r="E350">
        <v>13446.6</v>
      </c>
      <c r="F350">
        <v>2016.99</v>
      </c>
      <c r="G350">
        <v>15463.59</v>
      </c>
    </row>
    <row r="351" spans="1:7" x14ac:dyDescent="0.35">
      <c r="A351" s="178" t="s">
        <v>1154</v>
      </c>
      <c r="B351" s="178" t="s">
        <v>1155</v>
      </c>
      <c r="C351" s="178" t="s">
        <v>448</v>
      </c>
      <c r="D351" s="178" t="s">
        <v>1156</v>
      </c>
      <c r="E351">
        <v>1425.6</v>
      </c>
      <c r="F351">
        <v>213.84</v>
      </c>
      <c r="G351">
        <v>1639.44</v>
      </c>
    </row>
    <row r="352" spans="1:7" x14ac:dyDescent="0.35">
      <c r="A352" s="178" t="s">
        <v>756</v>
      </c>
      <c r="B352" s="178" t="s">
        <v>1157</v>
      </c>
      <c r="C352" s="178" t="s">
        <v>448</v>
      </c>
      <c r="D352" s="178" t="s">
        <v>63</v>
      </c>
      <c r="E352">
        <v>1493.4</v>
      </c>
      <c r="F352">
        <v>224.01</v>
      </c>
      <c r="G352">
        <v>1717.41</v>
      </c>
    </row>
    <row r="353" spans="1:7" x14ac:dyDescent="0.35">
      <c r="A353" s="178" t="s">
        <v>623</v>
      </c>
      <c r="B353" s="178" t="s">
        <v>1158</v>
      </c>
      <c r="C353" s="178" t="s">
        <v>448</v>
      </c>
      <c r="D353" s="178" t="s">
        <v>1159</v>
      </c>
      <c r="E353">
        <v>4202.3999999999996</v>
      </c>
      <c r="F353">
        <v>630.36</v>
      </c>
      <c r="G353">
        <v>4832.76</v>
      </c>
    </row>
    <row r="354" spans="1:7" x14ac:dyDescent="0.35">
      <c r="A354" s="178" t="s">
        <v>1160</v>
      </c>
      <c r="B354" s="178" t="s">
        <v>1161</v>
      </c>
      <c r="C354" s="178" t="s">
        <v>448</v>
      </c>
      <c r="D354" s="178" t="s">
        <v>63</v>
      </c>
      <c r="E354">
        <v>642.54999999999995</v>
      </c>
      <c r="F354">
        <v>96.38</v>
      </c>
      <c r="G354">
        <v>738.93</v>
      </c>
    </row>
    <row r="355" spans="1:7" x14ac:dyDescent="0.35">
      <c r="A355" s="178" t="s">
        <v>863</v>
      </c>
      <c r="B355" s="178" t="s">
        <v>1162</v>
      </c>
      <c r="C355" s="178" t="s">
        <v>448</v>
      </c>
      <c r="D355" s="178" t="s">
        <v>63</v>
      </c>
      <c r="E355">
        <v>1447.5</v>
      </c>
      <c r="F355">
        <v>217.13</v>
      </c>
      <c r="G355">
        <v>1664.63</v>
      </c>
    </row>
    <row r="356" spans="1:7" x14ac:dyDescent="0.35">
      <c r="A356" s="178" t="s">
        <v>1163</v>
      </c>
      <c r="B356" s="178" t="s">
        <v>1164</v>
      </c>
      <c r="C356" s="178" t="s">
        <v>448</v>
      </c>
      <c r="D356" s="178" t="s">
        <v>63</v>
      </c>
      <c r="E356">
        <v>2644.75</v>
      </c>
      <c r="F356">
        <v>396.71</v>
      </c>
      <c r="G356">
        <v>3041.46</v>
      </c>
    </row>
    <row r="357" spans="1:7" x14ac:dyDescent="0.35">
      <c r="A357" s="178" t="s">
        <v>634</v>
      </c>
      <c r="B357" s="178" t="s">
        <v>1165</v>
      </c>
      <c r="C357" s="178" t="s">
        <v>448</v>
      </c>
      <c r="D357" s="178" t="s">
        <v>63</v>
      </c>
      <c r="E357">
        <v>500</v>
      </c>
      <c r="F357">
        <v>75</v>
      </c>
      <c r="G357">
        <v>575</v>
      </c>
    </row>
    <row r="358" spans="1:7" x14ac:dyDescent="0.35">
      <c r="A358" s="178" t="s">
        <v>1166</v>
      </c>
      <c r="B358" s="178" t="s">
        <v>1167</v>
      </c>
      <c r="C358" s="178" t="s">
        <v>448</v>
      </c>
      <c r="D358" s="178" t="s">
        <v>1168</v>
      </c>
      <c r="E358">
        <v>7440.95</v>
      </c>
      <c r="F358" s="178" t="s">
        <v>63</v>
      </c>
      <c r="G358">
        <v>7440.95</v>
      </c>
    </row>
    <row r="359" spans="1:7" x14ac:dyDescent="0.35">
      <c r="A359" s="178" t="s">
        <v>538</v>
      </c>
      <c r="B359" s="178" t="s">
        <v>1169</v>
      </c>
      <c r="C359" s="178" t="s">
        <v>448</v>
      </c>
      <c r="D359" s="178" t="s">
        <v>63</v>
      </c>
      <c r="E359">
        <v>7152.75</v>
      </c>
      <c r="F359">
        <v>1072.9100000000001</v>
      </c>
      <c r="G359">
        <v>8225.66</v>
      </c>
    </row>
    <row r="360" spans="1:7" x14ac:dyDescent="0.35">
      <c r="A360" s="178" t="s">
        <v>456</v>
      </c>
      <c r="B360" s="178" t="s">
        <v>1170</v>
      </c>
      <c r="C360" s="178" t="s">
        <v>448</v>
      </c>
      <c r="D360" s="178" t="s">
        <v>1171</v>
      </c>
      <c r="E360">
        <v>1817.6</v>
      </c>
      <c r="F360">
        <v>272.64</v>
      </c>
      <c r="G360">
        <v>2090.2399999999998</v>
      </c>
    </row>
    <row r="361" spans="1:7" x14ac:dyDescent="0.35">
      <c r="A361" s="178" t="s">
        <v>526</v>
      </c>
      <c r="B361" s="178" t="s">
        <v>1172</v>
      </c>
      <c r="C361" s="178" t="s">
        <v>448</v>
      </c>
      <c r="D361" s="178" t="s">
        <v>63</v>
      </c>
      <c r="E361">
        <v>4914</v>
      </c>
      <c r="F361">
        <v>737.1</v>
      </c>
      <c r="G361">
        <v>5651.1</v>
      </c>
    </row>
    <row r="362" spans="1:7" x14ac:dyDescent="0.35">
      <c r="A362" s="178" t="s">
        <v>1173</v>
      </c>
      <c r="B362" s="178" t="s">
        <v>1174</v>
      </c>
      <c r="C362" s="178" t="s">
        <v>448</v>
      </c>
      <c r="D362" s="178" t="s">
        <v>63</v>
      </c>
      <c r="E362">
        <v>30002.7</v>
      </c>
      <c r="F362">
        <v>4500.41</v>
      </c>
      <c r="G362">
        <v>34503.11</v>
      </c>
    </row>
    <row r="363" spans="1:7" x14ac:dyDescent="0.35">
      <c r="A363" s="178" t="s">
        <v>772</v>
      </c>
      <c r="B363" s="178" t="s">
        <v>1175</v>
      </c>
      <c r="C363" s="178" t="s">
        <v>458</v>
      </c>
      <c r="D363" s="178" t="s">
        <v>63</v>
      </c>
      <c r="E363">
        <v>1648.2</v>
      </c>
      <c r="F363">
        <v>247.23</v>
      </c>
      <c r="G363">
        <v>1895.43</v>
      </c>
    </row>
    <row r="364" spans="1:7" x14ac:dyDescent="0.35">
      <c r="A364" s="178" t="s">
        <v>593</v>
      </c>
      <c r="B364" s="178" t="s">
        <v>1176</v>
      </c>
      <c r="C364" s="178" t="s">
        <v>458</v>
      </c>
      <c r="D364" s="178" t="s">
        <v>63</v>
      </c>
      <c r="E364">
        <v>2778.75</v>
      </c>
      <c r="F364">
        <v>416.81</v>
      </c>
      <c r="G364">
        <v>3195.56</v>
      </c>
    </row>
    <row r="365" spans="1:7" x14ac:dyDescent="0.35">
      <c r="A365" s="178" t="s">
        <v>959</v>
      </c>
      <c r="B365" s="178" t="s">
        <v>1177</v>
      </c>
      <c r="C365" s="178" t="s">
        <v>458</v>
      </c>
      <c r="D365" s="178" t="s">
        <v>1178</v>
      </c>
      <c r="E365">
        <v>17769.599999999999</v>
      </c>
      <c r="F365">
        <v>2665.44</v>
      </c>
      <c r="G365">
        <v>20435.04</v>
      </c>
    </row>
    <row r="366" spans="1:7" x14ac:dyDescent="0.35">
      <c r="A366" s="178" t="s">
        <v>791</v>
      </c>
      <c r="B366" s="178" t="s">
        <v>1179</v>
      </c>
      <c r="C366" s="178" t="s">
        <v>458</v>
      </c>
      <c r="D366" s="178" t="s">
        <v>63</v>
      </c>
      <c r="E366">
        <v>28537.599999999999</v>
      </c>
      <c r="F366">
        <v>4280.6400000000003</v>
      </c>
      <c r="G366">
        <v>32818.239999999998</v>
      </c>
    </row>
    <row r="367" spans="1:7" x14ac:dyDescent="0.35">
      <c r="A367" s="178" t="s">
        <v>541</v>
      </c>
      <c r="B367" s="178" t="s">
        <v>1180</v>
      </c>
      <c r="C367" s="178" t="s">
        <v>458</v>
      </c>
      <c r="D367" s="178" t="s">
        <v>63</v>
      </c>
      <c r="E367">
        <v>11544.1</v>
      </c>
      <c r="F367">
        <v>1731.62</v>
      </c>
      <c r="G367">
        <v>13275.72</v>
      </c>
    </row>
    <row r="368" spans="1:7" x14ac:dyDescent="0.35">
      <c r="A368" s="178" t="s">
        <v>1181</v>
      </c>
      <c r="B368" s="178" t="s">
        <v>1182</v>
      </c>
      <c r="C368" s="178" t="s">
        <v>458</v>
      </c>
      <c r="D368" s="178" t="s">
        <v>63</v>
      </c>
      <c r="E368">
        <v>1801.9</v>
      </c>
      <c r="F368">
        <v>270.29000000000002</v>
      </c>
      <c r="G368">
        <v>2072.19</v>
      </c>
    </row>
    <row r="369" spans="1:7" x14ac:dyDescent="0.35">
      <c r="A369" s="178" t="s">
        <v>747</v>
      </c>
      <c r="B369" s="178" t="s">
        <v>1183</v>
      </c>
      <c r="C369" s="178" t="s">
        <v>458</v>
      </c>
      <c r="D369" s="178" t="s">
        <v>63</v>
      </c>
      <c r="E369">
        <v>1303.2</v>
      </c>
      <c r="F369">
        <v>195.48</v>
      </c>
      <c r="G369">
        <v>1498.68</v>
      </c>
    </row>
    <row r="370" spans="1:7" x14ac:dyDescent="0.35">
      <c r="A370" s="178" t="s">
        <v>1184</v>
      </c>
      <c r="B370" s="178" t="s">
        <v>1185</v>
      </c>
      <c r="C370" s="178" t="s">
        <v>458</v>
      </c>
      <c r="D370" s="178" t="s">
        <v>1186</v>
      </c>
      <c r="E370">
        <v>6540.75</v>
      </c>
      <c r="F370">
        <v>981.11</v>
      </c>
      <c r="G370">
        <v>7521.86</v>
      </c>
    </row>
    <row r="371" spans="1:7" x14ac:dyDescent="0.35">
      <c r="A371" s="178" t="s">
        <v>1187</v>
      </c>
      <c r="B371" s="178" t="s">
        <v>1188</v>
      </c>
      <c r="C371" s="178" t="s">
        <v>458</v>
      </c>
      <c r="D371" s="178" t="s">
        <v>1189</v>
      </c>
      <c r="E371">
        <v>1176</v>
      </c>
      <c r="F371">
        <v>176.4</v>
      </c>
      <c r="G371">
        <v>1352.4</v>
      </c>
    </row>
    <row r="372" spans="1:7" x14ac:dyDescent="0.35">
      <c r="A372" s="178" t="s">
        <v>922</v>
      </c>
      <c r="B372" s="178" t="s">
        <v>1190</v>
      </c>
      <c r="C372" s="178" t="s">
        <v>458</v>
      </c>
      <c r="D372" s="178" t="s">
        <v>63</v>
      </c>
      <c r="E372">
        <v>20107.599999999999</v>
      </c>
      <c r="F372">
        <v>3016.14</v>
      </c>
      <c r="G372">
        <v>23123.74</v>
      </c>
    </row>
    <row r="373" spans="1:7" x14ac:dyDescent="0.35">
      <c r="A373" s="178" t="s">
        <v>940</v>
      </c>
      <c r="B373" s="178" t="s">
        <v>1191</v>
      </c>
      <c r="C373" s="178" t="s">
        <v>458</v>
      </c>
      <c r="D373" s="178" t="s">
        <v>63</v>
      </c>
      <c r="E373">
        <v>700.9</v>
      </c>
      <c r="F373">
        <v>105.14</v>
      </c>
      <c r="G373">
        <v>806.04</v>
      </c>
    </row>
    <row r="374" spans="1:7" x14ac:dyDescent="0.35">
      <c r="A374" s="178" t="s">
        <v>938</v>
      </c>
      <c r="B374" s="178" t="s">
        <v>1192</v>
      </c>
      <c r="C374" s="178" t="s">
        <v>458</v>
      </c>
      <c r="D374" s="178" t="s">
        <v>63</v>
      </c>
      <c r="E374">
        <v>1142.7</v>
      </c>
      <c r="F374">
        <v>171.41</v>
      </c>
      <c r="G374">
        <v>1314.11</v>
      </c>
    </row>
    <row r="375" spans="1:7" x14ac:dyDescent="0.35">
      <c r="A375" s="178" t="s">
        <v>1120</v>
      </c>
      <c r="B375" s="178" t="s">
        <v>1193</v>
      </c>
      <c r="C375" s="178" t="s">
        <v>458</v>
      </c>
      <c r="D375" s="178" t="s">
        <v>63</v>
      </c>
      <c r="E375">
        <v>3613.8</v>
      </c>
      <c r="F375">
        <v>542.07000000000005</v>
      </c>
      <c r="G375">
        <v>4155.87</v>
      </c>
    </row>
    <row r="376" spans="1:7" x14ac:dyDescent="0.35">
      <c r="A376" s="178" t="s">
        <v>1194</v>
      </c>
      <c r="B376" s="178" t="s">
        <v>1195</v>
      </c>
      <c r="C376" s="178" t="s">
        <v>458</v>
      </c>
      <c r="D376" s="178" t="s">
        <v>63</v>
      </c>
      <c r="E376">
        <v>14980.8</v>
      </c>
      <c r="F376">
        <v>2247.12</v>
      </c>
      <c r="G376">
        <v>17227.919999999998</v>
      </c>
    </row>
    <row r="377" spans="1:7" x14ac:dyDescent="0.35">
      <c r="A377" s="178" t="s">
        <v>522</v>
      </c>
      <c r="B377" s="178" t="s">
        <v>1196</v>
      </c>
      <c r="C377" s="178" t="s">
        <v>458</v>
      </c>
      <c r="D377" s="178" t="s">
        <v>63</v>
      </c>
      <c r="E377">
        <v>2788</v>
      </c>
      <c r="F377">
        <v>418.2</v>
      </c>
      <c r="G377">
        <v>3206.2</v>
      </c>
    </row>
    <row r="378" spans="1:7" x14ac:dyDescent="0.35">
      <c r="A378" s="178" t="s">
        <v>460</v>
      </c>
      <c r="B378" s="178" t="s">
        <v>1197</v>
      </c>
      <c r="C378" s="178" t="s">
        <v>458</v>
      </c>
      <c r="D378" s="178" t="s">
        <v>1198</v>
      </c>
      <c r="E378">
        <v>2166.3000000000002</v>
      </c>
      <c r="F378">
        <v>324.94</v>
      </c>
      <c r="G378">
        <v>2491.2399999999998</v>
      </c>
    </row>
    <row r="379" spans="1:7" x14ac:dyDescent="0.35">
      <c r="A379" s="178" t="s">
        <v>968</v>
      </c>
      <c r="B379" s="178" t="s">
        <v>1199</v>
      </c>
      <c r="C379" s="178" t="s">
        <v>458</v>
      </c>
      <c r="D379" s="178" t="s">
        <v>63</v>
      </c>
      <c r="E379">
        <v>53097.1</v>
      </c>
      <c r="F379">
        <v>7964.57</v>
      </c>
      <c r="G379">
        <v>61061.67</v>
      </c>
    </row>
    <row r="380" spans="1:7" x14ac:dyDescent="0.35">
      <c r="A380" s="178" t="s">
        <v>761</v>
      </c>
      <c r="B380" s="178" t="s">
        <v>1200</v>
      </c>
      <c r="C380" s="178" t="s">
        <v>458</v>
      </c>
      <c r="D380" s="178" t="s">
        <v>1201</v>
      </c>
      <c r="E380">
        <v>1353.2</v>
      </c>
      <c r="F380">
        <v>202.98</v>
      </c>
      <c r="G380">
        <v>1556.18</v>
      </c>
    </row>
    <row r="381" spans="1:7" x14ac:dyDescent="0.35">
      <c r="A381" s="178" t="s">
        <v>634</v>
      </c>
      <c r="B381" s="178" t="s">
        <v>1202</v>
      </c>
      <c r="C381" s="178" t="s">
        <v>458</v>
      </c>
      <c r="D381" s="178" t="s">
        <v>63</v>
      </c>
      <c r="E381">
        <v>500</v>
      </c>
      <c r="F381">
        <v>75</v>
      </c>
      <c r="G381">
        <v>575</v>
      </c>
    </row>
    <row r="382" spans="1:7" x14ac:dyDescent="0.35">
      <c r="A382" s="178" t="s">
        <v>791</v>
      </c>
      <c r="B382" s="178" t="s">
        <v>1203</v>
      </c>
      <c r="C382" s="178" t="s">
        <v>458</v>
      </c>
      <c r="D382" s="178" t="s">
        <v>1204</v>
      </c>
      <c r="E382">
        <v>8347.2000000000007</v>
      </c>
      <c r="F382">
        <v>1252.08</v>
      </c>
      <c r="G382">
        <v>9599.2800000000007</v>
      </c>
    </row>
    <row r="383" spans="1:7" x14ac:dyDescent="0.35">
      <c r="A383" s="178" t="s">
        <v>501</v>
      </c>
      <c r="B383" s="178" t="s">
        <v>1205</v>
      </c>
      <c r="C383" s="178" t="s">
        <v>458</v>
      </c>
      <c r="D383" s="178" t="s">
        <v>1206</v>
      </c>
      <c r="E383">
        <v>68419.649999999994</v>
      </c>
      <c r="F383">
        <v>10262.950000000001</v>
      </c>
      <c r="G383">
        <v>78682.600000000006</v>
      </c>
    </row>
    <row r="384" spans="1:7" x14ac:dyDescent="0.35">
      <c r="A384" s="178" t="s">
        <v>463</v>
      </c>
      <c r="B384" s="178" t="s">
        <v>1207</v>
      </c>
      <c r="C384" s="178" t="s">
        <v>458</v>
      </c>
      <c r="D384" s="178" t="s">
        <v>63</v>
      </c>
      <c r="E384">
        <v>2775.55</v>
      </c>
      <c r="F384">
        <v>416.33</v>
      </c>
      <c r="G384">
        <v>3191.88</v>
      </c>
    </row>
    <row r="385" spans="1:7" x14ac:dyDescent="0.35">
      <c r="A385" s="178" t="s">
        <v>1208</v>
      </c>
      <c r="B385" s="178" t="s">
        <v>1209</v>
      </c>
      <c r="C385" s="178" t="s">
        <v>458</v>
      </c>
      <c r="D385" s="178" t="s">
        <v>1210</v>
      </c>
      <c r="E385">
        <v>4331.25</v>
      </c>
      <c r="F385">
        <v>649.69000000000005</v>
      </c>
      <c r="G385">
        <v>4980.9399999999996</v>
      </c>
    </row>
    <row r="386" spans="1:7" x14ac:dyDescent="0.35">
      <c r="A386" s="178" t="s">
        <v>812</v>
      </c>
      <c r="B386" s="178" t="s">
        <v>1211</v>
      </c>
      <c r="C386" s="178" t="s">
        <v>458</v>
      </c>
      <c r="D386" s="178" t="s">
        <v>814</v>
      </c>
      <c r="E386">
        <v>1872.3</v>
      </c>
      <c r="F386">
        <v>280.85000000000002</v>
      </c>
      <c r="G386">
        <v>2153.15</v>
      </c>
    </row>
    <row r="387" spans="1:7" x14ac:dyDescent="0.35">
      <c r="A387" s="178" t="s">
        <v>470</v>
      </c>
      <c r="B387" s="178" t="s">
        <v>1212</v>
      </c>
      <c r="C387" s="178" t="s">
        <v>458</v>
      </c>
      <c r="D387" s="178" t="s">
        <v>63</v>
      </c>
      <c r="E387">
        <v>1465.4</v>
      </c>
      <c r="F387">
        <v>219.81</v>
      </c>
      <c r="G387">
        <v>1685.21</v>
      </c>
    </row>
    <row r="388" spans="1:7" x14ac:dyDescent="0.35">
      <c r="A388" s="178" t="s">
        <v>511</v>
      </c>
      <c r="B388" s="178" t="s">
        <v>1213</v>
      </c>
      <c r="C388" s="178" t="s">
        <v>458</v>
      </c>
      <c r="D388" s="178" t="s">
        <v>63</v>
      </c>
      <c r="E388">
        <v>1533</v>
      </c>
      <c r="F388">
        <v>229.95</v>
      </c>
      <c r="G388">
        <v>1762.95</v>
      </c>
    </row>
    <row r="389" spans="1:7" x14ac:dyDescent="0.35">
      <c r="A389" s="178" t="s">
        <v>889</v>
      </c>
      <c r="B389" s="178" t="s">
        <v>1214</v>
      </c>
      <c r="C389" s="178" t="s">
        <v>458</v>
      </c>
      <c r="D389" s="178" t="s">
        <v>63</v>
      </c>
      <c r="E389">
        <v>7840.8</v>
      </c>
      <c r="F389">
        <v>1176.1199999999999</v>
      </c>
      <c r="G389">
        <v>9016.92</v>
      </c>
    </row>
    <row r="390" spans="1:7" x14ac:dyDescent="0.35">
      <c r="A390" s="178" t="s">
        <v>1116</v>
      </c>
      <c r="B390" s="178" t="s">
        <v>1215</v>
      </c>
      <c r="C390" s="178" t="s">
        <v>458</v>
      </c>
      <c r="D390" s="178" t="s">
        <v>63</v>
      </c>
      <c r="E390">
        <v>1050.2</v>
      </c>
      <c r="F390">
        <v>157.53</v>
      </c>
      <c r="G390">
        <v>1207.73</v>
      </c>
    </row>
    <row r="391" spans="1:7" x14ac:dyDescent="0.35">
      <c r="A391" s="178" t="s">
        <v>968</v>
      </c>
      <c r="B391" s="178" t="s">
        <v>1216</v>
      </c>
      <c r="C391" s="178" t="s">
        <v>458</v>
      </c>
      <c r="D391" s="178" t="s">
        <v>63</v>
      </c>
      <c r="E391">
        <v>1342.8</v>
      </c>
      <c r="F391">
        <v>201.42</v>
      </c>
      <c r="G391">
        <v>1544.22</v>
      </c>
    </row>
    <row r="392" spans="1:7" x14ac:dyDescent="0.35">
      <c r="A392" s="178" t="s">
        <v>857</v>
      </c>
      <c r="B392" s="178" t="s">
        <v>1217</v>
      </c>
      <c r="C392" s="178" t="s">
        <v>458</v>
      </c>
      <c r="D392" s="178" t="s">
        <v>63</v>
      </c>
      <c r="E392">
        <v>1000</v>
      </c>
      <c r="F392">
        <v>150</v>
      </c>
      <c r="G392">
        <v>1150</v>
      </c>
    </row>
    <row r="393" spans="1:7" x14ac:dyDescent="0.35">
      <c r="A393" s="178" t="s">
        <v>1218</v>
      </c>
      <c r="B393" s="178" t="s">
        <v>1219</v>
      </c>
      <c r="C393" s="178" t="s">
        <v>458</v>
      </c>
      <c r="D393" s="178" t="s">
        <v>63</v>
      </c>
      <c r="E393">
        <v>13339.2</v>
      </c>
      <c r="F393">
        <v>2000.88</v>
      </c>
      <c r="G393">
        <v>15340.08</v>
      </c>
    </row>
    <row r="394" spans="1:7" x14ac:dyDescent="0.35">
      <c r="A394" s="178" t="s">
        <v>1220</v>
      </c>
      <c r="B394" s="178" t="s">
        <v>1221</v>
      </c>
      <c r="C394" s="178" t="s">
        <v>458</v>
      </c>
      <c r="D394" s="178" t="s">
        <v>63</v>
      </c>
      <c r="E394">
        <v>7170.5</v>
      </c>
      <c r="F394">
        <v>1075.58</v>
      </c>
      <c r="G394">
        <v>8246.08</v>
      </c>
    </row>
    <row r="395" spans="1:7" x14ac:dyDescent="0.35">
      <c r="A395" s="178" t="s">
        <v>987</v>
      </c>
      <c r="B395" s="178" t="s">
        <v>1222</v>
      </c>
      <c r="C395" s="178" t="s">
        <v>458</v>
      </c>
      <c r="D395" s="178" t="s">
        <v>63</v>
      </c>
      <c r="E395">
        <v>1470.95</v>
      </c>
      <c r="F395">
        <v>220.64</v>
      </c>
      <c r="G395">
        <v>1691.59</v>
      </c>
    </row>
    <row r="396" spans="1:7" x14ac:dyDescent="0.35">
      <c r="A396" s="178" t="s">
        <v>917</v>
      </c>
      <c r="B396" s="178" t="s">
        <v>1223</v>
      </c>
      <c r="C396" s="178" t="s">
        <v>458</v>
      </c>
      <c r="D396" s="178" t="s">
        <v>63</v>
      </c>
      <c r="E396">
        <v>9275.2000000000007</v>
      </c>
      <c r="F396">
        <v>1391.28</v>
      </c>
      <c r="G396">
        <v>10666.48</v>
      </c>
    </row>
    <row r="397" spans="1:7" x14ac:dyDescent="0.35">
      <c r="A397" s="178" t="s">
        <v>606</v>
      </c>
      <c r="B397" s="178" t="s">
        <v>1224</v>
      </c>
      <c r="C397" s="178" t="s">
        <v>458</v>
      </c>
      <c r="D397" s="178" t="s">
        <v>63</v>
      </c>
      <c r="E397">
        <v>3604.5</v>
      </c>
      <c r="F397">
        <v>540.67999999999995</v>
      </c>
      <c r="G397">
        <v>4145.18</v>
      </c>
    </row>
    <row r="398" spans="1:7" x14ac:dyDescent="0.35">
      <c r="A398" s="178" t="s">
        <v>470</v>
      </c>
      <c r="B398" s="178" t="s">
        <v>1225</v>
      </c>
      <c r="C398" s="178" t="s">
        <v>458</v>
      </c>
      <c r="D398" s="178" t="s">
        <v>63</v>
      </c>
      <c r="E398">
        <v>2939.4</v>
      </c>
      <c r="F398">
        <v>440.91</v>
      </c>
      <c r="G398">
        <v>3380.31</v>
      </c>
    </row>
    <row r="399" spans="1:7" x14ac:dyDescent="0.35">
      <c r="A399" s="178" t="s">
        <v>529</v>
      </c>
      <c r="B399" s="178" t="s">
        <v>1226</v>
      </c>
      <c r="C399" s="178" t="s">
        <v>458</v>
      </c>
      <c r="D399" s="178" t="s">
        <v>63</v>
      </c>
      <c r="E399">
        <v>11462.25</v>
      </c>
      <c r="F399">
        <v>1719.34</v>
      </c>
      <c r="G399">
        <v>13181.59</v>
      </c>
    </row>
    <row r="400" spans="1:7" x14ac:dyDescent="0.35">
      <c r="A400" s="178" t="s">
        <v>560</v>
      </c>
      <c r="B400" s="178" t="s">
        <v>1227</v>
      </c>
      <c r="C400" s="178" t="s">
        <v>458</v>
      </c>
      <c r="D400">
        <v>105962</v>
      </c>
      <c r="E400">
        <v>4671.6000000000004</v>
      </c>
      <c r="F400">
        <v>700.74</v>
      </c>
      <c r="G400">
        <v>5372.34</v>
      </c>
    </row>
    <row r="401" spans="1:7" x14ac:dyDescent="0.35">
      <c r="A401" s="178" t="s">
        <v>747</v>
      </c>
      <c r="B401" s="178" t="s">
        <v>1228</v>
      </c>
      <c r="C401" s="178" t="s">
        <v>458</v>
      </c>
      <c r="D401" s="178" t="s">
        <v>63</v>
      </c>
      <c r="E401">
        <v>8081.65</v>
      </c>
      <c r="F401">
        <v>1212.25</v>
      </c>
      <c r="G401">
        <v>9293.9</v>
      </c>
    </row>
    <row r="402" spans="1:7" x14ac:dyDescent="0.35">
      <c r="A402" s="178" t="s">
        <v>1229</v>
      </c>
      <c r="B402" s="178" t="s">
        <v>1230</v>
      </c>
      <c r="C402" s="178" t="s">
        <v>458</v>
      </c>
      <c r="D402" s="178" t="s">
        <v>63</v>
      </c>
      <c r="E402">
        <v>903</v>
      </c>
      <c r="F402">
        <v>135.44999999999999</v>
      </c>
      <c r="G402">
        <v>1038.45</v>
      </c>
    </row>
    <row r="403" spans="1:7" x14ac:dyDescent="0.35">
      <c r="A403" s="178" t="s">
        <v>1231</v>
      </c>
      <c r="B403" s="178" t="s">
        <v>1232</v>
      </c>
      <c r="C403" s="178" t="s">
        <v>458</v>
      </c>
      <c r="D403" s="178" t="s">
        <v>63</v>
      </c>
      <c r="E403">
        <v>5622.25</v>
      </c>
      <c r="F403">
        <v>843.34</v>
      </c>
      <c r="G403">
        <v>6465.59</v>
      </c>
    </row>
    <row r="404" spans="1:7" x14ac:dyDescent="0.35">
      <c r="A404" s="178" t="s">
        <v>1233</v>
      </c>
      <c r="B404" s="178" t="s">
        <v>1234</v>
      </c>
      <c r="C404" s="178" t="s">
        <v>458</v>
      </c>
      <c r="D404" s="178" t="s">
        <v>63</v>
      </c>
      <c r="E404">
        <v>1537.15</v>
      </c>
      <c r="F404">
        <v>230.57</v>
      </c>
      <c r="G404">
        <v>1767.72</v>
      </c>
    </row>
    <row r="405" spans="1:7" x14ac:dyDescent="0.35">
      <c r="A405" s="178" t="s">
        <v>973</v>
      </c>
      <c r="B405" s="178" t="s">
        <v>1235</v>
      </c>
      <c r="C405" s="178" t="s">
        <v>458</v>
      </c>
      <c r="D405" s="178" t="s">
        <v>63</v>
      </c>
      <c r="E405">
        <v>2988</v>
      </c>
      <c r="F405">
        <v>448.2</v>
      </c>
      <c r="G405">
        <v>3436.2</v>
      </c>
    </row>
    <row r="406" spans="1:7" x14ac:dyDescent="0.35">
      <c r="A406" s="178" t="s">
        <v>1236</v>
      </c>
      <c r="B406" s="178" t="s">
        <v>1237</v>
      </c>
      <c r="C406" s="178" t="s">
        <v>458</v>
      </c>
      <c r="D406" s="178" t="s">
        <v>63</v>
      </c>
      <c r="E406">
        <v>35398</v>
      </c>
      <c r="F406">
        <v>5309.71</v>
      </c>
      <c r="G406">
        <v>40707.71</v>
      </c>
    </row>
    <row r="407" spans="1:7" x14ac:dyDescent="0.35">
      <c r="A407" s="178" t="s">
        <v>1238</v>
      </c>
      <c r="B407" s="178" t="s">
        <v>1239</v>
      </c>
      <c r="C407" s="178" t="s">
        <v>458</v>
      </c>
      <c r="D407" s="178" t="s">
        <v>63</v>
      </c>
      <c r="E407">
        <v>1741.5</v>
      </c>
      <c r="F407">
        <v>261.23</v>
      </c>
      <c r="G407">
        <v>2002.73</v>
      </c>
    </row>
    <row r="408" spans="1:7" x14ac:dyDescent="0.35">
      <c r="A408" s="178" t="s">
        <v>614</v>
      </c>
      <c r="B408" s="178" t="s">
        <v>1240</v>
      </c>
      <c r="C408" s="178" t="s">
        <v>458</v>
      </c>
      <c r="D408" s="178" t="s">
        <v>63</v>
      </c>
      <c r="E408">
        <v>11847.65</v>
      </c>
      <c r="F408">
        <v>1777.15</v>
      </c>
      <c r="G408">
        <v>13624.8</v>
      </c>
    </row>
    <row r="409" spans="1:7" x14ac:dyDescent="0.35">
      <c r="A409" s="178" t="s">
        <v>443</v>
      </c>
      <c r="B409" s="178" t="s">
        <v>1241</v>
      </c>
      <c r="C409" s="178" t="s">
        <v>458</v>
      </c>
      <c r="D409" s="178" t="s">
        <v>63</v>
      </c>
      <c r="E409">
        <v>2282</v>
      </c>
      <c r="F409">
        <v>342.3</v>
      </c>
      <c r="G409">
        <v>2624.3</v>
      </c>
    </row>
    <row r="410" spans="1:7" x14ac:dyDescent="0.35">
      <c r="A410" s="178" t="s">
        <v>1242</v>
      </c>
      <c r="B410" s="178" t="s">
        <v>1243</v>
      </c>
      <c r="C410" s="178" t="s">
        <v>458</v>
      </c>
      <c r="D410" s="178" t="s">
        <v>1244</v>
      </c>
      <c r="E410">
        <v>2953.85</v>
      </c>
      <c r="F410">
        <v>443.08</v>
      </c>
      <c r="G410">
        <v>3396.93</v>
      </c>
    </row>
    <row r="411" spans="1:7" x14ac:dyDescent="0.35">
      <c r="A411" s="178" t="s">
        <v>1245</v>
      </c>
      <c r="B411" s="178" t="s">
        <v>1246</v>
      </c>
      <c r="C411" s="178" t="s">
        <v>458</v>
      </c>
      <c r="D411" s="178" t="s">
        <v>63</v>
      </c>
      <c r="E411">
        <v>78050.05</v>
      </c>
      <c r="F411">
        <v>11707.51</v>
      </c>
      <c r="G411">
        <v>89757.56</v>
      </c>
    </row>
    <row r="412" spans="1:7" x14ac:dyDescent="0.35">
      <c r="A412" s="178" t="s">
        <v>788</v>
      </c>
      <c r="B412" s="178" t="s">
        <v>1247</v>
      </c>
      <c r="C412" s="178" t="s">
        <v>458</v>
      </c>
      <c r="D412" s="178" t="s">
        <v>790</v>
      </c>
      <c r="E412">
        <v>2818.8</v>
      </c>
      <c r="F412">
        <v>422.82</v>
      </c>
      <c r="G412">
        <v>3241.62</v>
      </c>
    </row>
    <row r="413" spans="1:7" x14ac:dyDescent="0.35">
      <c r="A413" s="178" t="s">
        <v>889</v>
      </c>
      <c r="B413" s="178" t="s">
        <v>1248</v>
      </c>
      <c r="C413" s="178" t="s">
        <v>458</v>
      </c>
      <c r="D413" s="178" t="s">
        <v>63</v>
      </c>
      <c r="E413">
        <v>713.4</v>
      </c>
      <c r="F413">
        <v>107.01</v>
      </c>
      <c r="G413">
        <v>820.41</v>
      </c>
    </row>
    <row r="414" spans="1:7" x14ac:dyDescent="0.35">
      <c r="A414" s="178" t="s">
        <v>684</v>
      </c>
      <c r="B414" s="178" t="s">
        <v>1249</v>
      </c>
      <c r="C414" s="178" t="s">
        <v>458</v>
      </c>
      <c r="D414" s="178" t="s">
        <v>63</v>
      </c>
      <c r="E414">
        <v>14507.56</v>
      </c>
      <c r="F414">
        <v>2176.14</v>
      </c>
      <c r="G414">
        <v>16683.7</v>
      </c>
    </row>
    <row r="415" spans="1:7" x14ac:dyDescent="0.35">
      <c r="A415" s="178" t="s">
        <v>1250</v>
      </c>
      <c r="B415" s="178" t="s">
        <v>1251</v>
      </c>
      <c r="C415" s="178" t="s">
        <v>458</v>
      </c>
      <c r="D415" s="178" t="s">
        <v>63</v>
      </c>
      <c r="E415">
        <v>1568.15</v>
      </c>
      <c r="F415">
        <v>235.22</v>
      </c>
      <c r="G415">
        <v>1803.37</v>
      </c>
    </row>
    <row r="416" spans="1:7" x14ac:dyDescent="0.35">
      <c r="A416" s="178" t="s">
        <v>925</v>
      </c>
      <c r="B416" s="178" t="s">
        <v>1252</v>
      </c>
      <c r="C416" s="178" t="s">
        <v>458</v>
      </c>
      <c r="D416" s="178" t="s">
        <v>63</v>
      </c>
      <c r="E416">
        <v>20400.55</v>
      </c>
      <c r="F416">
        <v>3060.1</v>
      </c>
      <c r="G416">
        <v>23460.65</v>
      </c>
    </row>
    <row r="417" spans="1:7" x14ac:dyDescent="0.35">
      <c r="A417" s="178" t="s">
        <v>1253</v>
      </c>
      <c r="B417" s="178" t="s">
        <v>1254</v>
      </c>
      <c r="C417" s="178" t="s">
        <v>458</v>
      </c>
      <c r="D417" s="178" t="s">
        <v>63</v>
      </c>
      <c r="E417">
        <v>1540</v>
      </c>
      <c r="F417">
        <v>231</v>
      </c>
      <c r="G417">
        <v>1771</v>
      </c>
    </row>
    <row r="418" spans="1:7" x14ac:dyDescent="0.35">
      <c r="A418" s="178" t="s">
        <v>505</v>
      </c>
      <c r="B418" s="178" t="s">
        <v>1255</v>
      </c>
      <c r="C418" s="178" t="s">
        <v>458</v>
      </c>
      <c r="D418" s="178" t="s">
        <v>63</v>
      </c>
      <c r="E418">
        <v>2227</v>
      </c>
      <c r="F418">
        <v>334.05</v>
      </c>
      <c r="G418">
        <v>2561.0500000000002</v>
      </c>
    </row>
    <row r="419" spans="1:7" x14ac:dyDescent="0.35">
      <c r="A419" s="178" t="s">
        <v>1256</v>
      </c>
      <c r="B419" s="178" t="s">
        <v>1257</v>
      </c>
      <c r="C419" s="178" t="s">
        <v>458</v>
      </c>
      <c r="D419" s="178" t="s">
        <v>63</v>
      </c>
      <c r="E419">
        <v>1462.6</v>
      </c>
      <c r="F419">
        <v>219.39</v>
      </c>
      <c r="G419">
        <v>1681.99</v>
      </c>
    </row>
    <row r="420" spans="1:7" x14ac:dyDescent="0.35">
      <c r="A420" s="178" t="s">
        <v>1022</v>
      </c>
      <c r="B420" s="178" t="s">
        <v>1258</v>
      </c>
      <c r="C420" s="178" t="s">
        <v>458</v>
      </c>
      <c r="D420" s="178" t="s">
        <v>63</v>
      </c>
      <c r="E420">
        <v>1338.4</v>
      </c>
      <c r="F420">
        <v>200.76</v>
      </c>
      <c r="G420">
        <v>1539.16</v>
      </c>
    </row>
    <row r="421" spans="1:7" x14ac:dyDescent="0.35">
      <c r="A421" s="178" t="s">
        <v>1242</v>
      </c>
      <c r="B421" s="178" t="s">
        <v>1259</v>
      </c>
      <c r="C421" s="178" t="s">
        <v>458</v>
      </c>
      <c r="D421" s="178" t="s">
        <v>1260</v>
      </c>
      <c r="E421">
        <v>1398</v>
      </c>
      <c r="F421">
        <v>209.7</v>
      </c>
      <c r="G421">
        <v>1607.7</v>
      </c>
    </row>
    <row r="422" spans="1:7" x14ac:dyDescent="0.35">
      <c r="A422" s="178" t="s">
        <v>1261</v>
      </c>
      <c r="B422" s="178" t="s">
        <v>1262</v>
      </c>
      <c r="C422" s="178" t="s">
        <v>458</v>
      </c>
      <c r="D422" s="178" t="s">
        <v>63</v>
      </c>
      <c r="E422">
        <v>1738</v>
      </c>
      <c r="F422">
        <v>260.7</v>
      </c>
      <c r="G422">
        <v>1998.7</v>
      </c>
    </row>
    <row r="423" spans="1:7" x14ac:dyDescent="0.35">
      <c r="A423" s="178" t="s">
        <v>468</v>
      </c>
      <c r="B423" s="178" t="s">
        <v>1263</v>
      </c>
      <c r="C423" s="178" t="s">
        <v>458</v>
      </c>
      <c r="D423" s="178" t="s">
        <v>63</v>
      </c>
      <c r="E423">
        <v>1643.95</v>
      </c>
      <c r="F423">
        <v>246.59</v>
      </c>
      <c r="G423">
        <v>1890.54</v>
      </c>
    </row>
    <row r="424" spans="1:7" x14ac:dyDescent="0.35">
      <c r="A424" s="178" t="s">
        <v>1264</v>
      </c>
      <c r="B424" s="178" t="s">
        <v>1265</v>
      </c>
      <c r="C424" s="178" t="s">
        <v>458</v>
      </c>
      <c r="D424" s="178" t="s">
        <v>63</v>
      </c>
      <c r="E424">
        <v>3038.1</v>
      </c>
      <c r="F424">
        <v>455.72</v>
      </c>
      <c r="G424">
        <v>3493.82</v>
      </c>
    </row>
    <row r="425" spans="1:7" x14ac:dyDescent="0.35">
      <c r="A425" s="178" t="s">
        <v>1057</v>
      </c>
      <c r="B425" s="178" t="s">
        <v>1266</v>
      </c>
      <c r="C425" s="178" t="s">
        <v>458</v>
      </c>
      <c r="D425" s="178" t="s">
        <v>63</v>
      </c>
      <c r="E425">
        <v>3751.3</v>
      </c>
      <c r="F425">
        <v>562.70000000000005</v>
      </c>
      <c r="G425">
        <v>4314</v>
      </c>
    </row>
    <row r="426" spans="1:7" x14ac:dyDescent="0.35">
      <c r="A426" s="178" t="s">
        <v>1267</v>
      </c>
      <c r="B426" s="178" t="s">
        <v>1268</v>
      </c>
      <c r="C426" s="178" t="s">
        <v>458</v>
      </c>
      <c r="D426" s="178" t="s">
        <v>63</v>
      </c>
      <c r="E426">
        <v>2818.5</v>
      </c>
      <c r="F426">
        <v>422.78</v>
      </c>
      <c r="G426">
        <v>3241.28</v>
      </c>
    </row>
    <row r="427" spans="1:7" x14ac:dyDescent="0.35">
      <c r="A427" s="178" t="s">
        <v>1269</v>
      </c>
      <c r="B427" s="178" t="s">
        <v>1270</v>
      </c>
      <c r="C427" s="178" t="s">
        <v>458</v>
      </c>
      <c r="D427" s="178" t="s">
        <v>63</v>
      </c>
      <c r="E427">
        <v>5676.1</v>
      </c>
      <c r="F427">
        <v>851.42</v>
      </c>
      <c r="G427">
        <v>6527.52</v>
      </c>
    </row>
    <row r="428" spans="1:7" x14ac:dyDescent="0.35">
      <c r="A428" s="178" t="s">
        <v>508</v>
      </c>
      <c r="B428" s="178" t="s">
        <v>1271</v>
      </c>
      <c r="C428" s="178" t="s">
        <v>458</v>
      </c>
      <c r="D428" s="178" t="s">
        <v>63</v>
      </c>
      <c r="E428">
        <v>1468.8</v>
      </c>
      <c r="F428">
        <v>220.32</v>
      </c>
      <c r="G428">
        <v>1689.12</v>
      </c>
    </row>
    <row r="429" spans="1:7" x14ac:dyDescent="0.35">
      <c r="A429" s="178" t="s">
        <v>1272</v>
      </c>
      <c r="B429" s="178" t="s">
        <v>1273</v>
      </c>
      <c r="C429" s="178" t="s">
        <v>458</v>
      </c>
      <c r="D429" s="178" t="s">
        <v>63</v>
      </c>
      <c r="E429">
        <v>5468.4</v>
      </c>
      <c r="F429">
        <v>820.26</v>
      </c>
      <c r="G429">
        <v>6288.66</v>
      </c>
    </row>
    <row r="430" spans="1:7" x14ac:dyDescent="0.35">
      <c r="A430" s="178" t="s">
        <v>508</v>
      </c>
      <c r="B430" s="178" t="s">
        <v>1274</v>
      </c>
      <c r="C430" s="178" t="s">
        <v>458</v>
      </c>
      <c r="D430" s="178" t="s">
        <v>63</v>
      </c>
      <c r="E430">
        <v>2765.7</v>
      </c>
      <c r="F430">
        <v>414.86</v>
      </c>
      <c r="G430">
        <v>3180.56</v>
      </c>
    </row>
    <row r="431" spans="1:7" x14ac:dyDescent="0.35">
      <c r="A431" s="178" t="s">
        <v>1275</v>
      </c>
      <c r="B431" s="178" t="s">
        <v>1276</v>
      </c>
      <c r="C431" s="178" t="s">
        <v>458</v>
      </c>
      <c r="D431" s="178" t="s">
        <v>63</v>
      </c>
      <c r="E431">
        <v>4984.75</v>
      </c>
      <c r="F431">
        <v>747.72</v>
      </c>
      <c r="G431">
        <v>5732.47</v>
      </c>
    </row>
    <row r="432" spans="1:7" x14ac:dyDescent="0.35">
      <c r="A432" s="178" t="s">
        <v>460</v>
      </c>
      <c r="B432" s="178" t="s">
        <v>1277</v>
      </c>
      <c r="C432" s="178" t="s">
        <v>458</v>
      </c>
      <c r="D432" s="178" t="s">
        <v>1278</v>
      </c>
      <c r="E432">
        <v>1756</v>
      </c>
      <c r="F432">
        <v>263.39999999999998</v>
      </c>
      <c r="G432">
        <v>2019.4</v>
      </c>
    </row>
    <row r="433" spans="1:7" x14ac:dyDescent="0.35">
      <c r="A433" s="178" t="s">
        <v>1279</v>
      </c>
      <c r="B433" s="178" t="s">
        <v>1280</v>
      </c>
      <c r="C433" s="178" t="s">
        <v>472</v>
      </c>
      <c r="D433" s="178" t="s">
        <v>63</v>
      </c>
      <c r="E433">
        <v>1436.4</v>
      </c>
      <c r="F433">
        <v>215.46</v>
      </c>
      <c r="G433">
        <v>1651.86</v>
      </c>
    </row>
    <row r="434" spans="1:7" x14ac:dyDescent="0.35">
      <c r="A434" s="178" t="s">
        <v>1281</v>
      </c>
      <c r="B434" s="178" t="s">
        <v>1282</v>
      </c>
      <c r="C434" s="178" t="s">
        <v>472</v>
      </c>
      <c r="D434" s="178" t="s">
        <v>63</v>
      </c>
      <c r="E434">
        <v>9209.2000000000007</v>
      </c>
      <c r="F434">
        <v>1381.38</v>
      </c>
      <c r="G434">
        <v>10590.58</v>
      </c>
    </row>
    <row r="435" spans="1:7" x14ac:dyDescent="0.35">
      <c r="A435" s="178" t="s">
        <v>1283</v>
      </c>
      <c r="B435" s="178" t="s">
        <v>1284</v>
      </c>
      <c r="C435" s="178" t="s">
        <v>472</v>
      </c>
      <c r="D435" s="178" t="s">
        <v>63</v>
      </c>
      <c r="E435">
        <v>7011.25</v>
      </c>
      <c r="F435">
        <v>1051.69</v>
      </c>
      <c r="G435">
        <v>8062.94</v>
      </c>
    </row>
    <row r="436" spans="1:7" x14ac:dyDescent="0.35">
      <c r="A436" s="178" t="s">
        <v>1285</v>
      </c>
      <c r="B436" s="178" t="s">
        <v>1286</v>
      </c>
      <c r="C436" s="178" t="s">
        <v>472</v>
      </c>
      <c r="D436" s="178" t="s">
        <v>63</v>
      </c>
      <c r="E436">
        <v>1828.75</v>
      </c>
      <c r="F436">
        <v>274.31</v>
      </c>
      <c r="G436">
        <v>2103.06</v>
      </c>
    </row>
    <row r="437" spans="1:7" x14ac:dyDescent="0.35">
      <c r="A437" s="178" t="s">
        <v>573</v>
      </c>
      <c r="B437" s="178" t="s">
        <v>1287</v>
      </c>
      <c r="C437" s="178" t="s">
        <v>472</v>
      </c>
      <c r="D437" s="178" t="s">
        <v>63</v>
      </c>
      <c r="E437">
        <v>8572.1</v>
      </c>
      <c r="F437">
        <v>1285.82</v>
      </c>
      <c r="G437">
        <v>9857.92</v>
      </c>
    </row>
    <row r="438" spans="1:7" x14ac:dyDescent="0.35">
      <c r="A438" s="178" t="s">
        <v>573</v>
      </c>
      <c r="B438" s="178" t="s">
        <v>1288</v>
      </c>
      <c r="C438" s="178" t="s">
        <v>472</v>
      </c>
      <c r="D438" s="178" t="s">
        <v>63</v>
      </c>
      <c r="E438">
        <v>4374.6000000000004</v>
      </c>
      <c r="F438">
        <v>656.19</v>
      </c>
      <c r="G438">
        <v>5030.79</v>
      </c>
    </row>
    <row r="439" spans="1:7" x14ac:dyDescent="0.35">
      <c r="A439" s="178" t="s">
        <v>573</v>
      </c>
      <c r="B439" s="178" t="s">
        <v>1289</v>
      </c>
      <c r="C439" s="178" t="s">
        <v>472</v>
      </c>
      <c r="D439" s="178" t="s">
        <v>63</v>
      </c>
      <c r="E439">
        <v>3985.9</v>
      </c>
      <c r="F439">
        <v>597.89</v>
      </c>
      <c r="G439">
        <v>4583.79</v>
      </c>
    </row>
    <row r="440" spans="1:7" x14ac:dyDescent="0.35">
      <c r="A440" s="178" t="s">
        <v>1290</v>
      </c>
      <c r="B440" s="178" t="s">
        <v>1291</v>
      </c>
      <c r="C440" s="178" t="s">
        <v>458</v>
      </c>
      <c r="D440" s="178" t="s">
        <v>1292</v>
      </c>
      <c r="E440">
        <v>6093.9</v>
      </c>
      <c r="F440">
        <v>914.09</v>
      </c>
      <c r="G440">
        <v>7007.99</v>
      </c>
    </row>
    <row r="441" spans="1:7" x14ac:dyDescent="0.35">
      <c r="A441" s="178" t="s">
        <v>1293</v>
      </c>
      <c r="B441" s="178" t="s">
        <v>1294</v>
      </c>
      <c r="C441" s="178" t="s">
        <v>472</v>
      </c>
      <c r="D441" s="178" t="s">
        <v>63</v>
      </c>
      <c r="E441">
        <v>1489.2</v>
      </c>
      <c r="F441">
        <v>223.38</v>
      </c>
      <c r="G441">
        <v>1712.58</v>
      </c>
    </row>
    <row r="442" spans="1:7" x14ac:dyDescent="0.35">
      <c r="A442" s="178" t="s">
        <v>544</v>
      </c>
      <c r="B442" s="178" t="s">
        <v>1295</v>
      </c>
      <c r="C442" s="178" t="s">
        <v>472</v>
      </c>
      <c r="D442" s="178" t="s">
        <v>63</v>
      </c>
      <c r="E442">
        <v>3938.6</v>
      </c>
      <c r="F442">
        <v>590.79999999999995</v>
      </c>
      <c r="G442">
        <v>4529.3999999999996</v>
      </c>
    </row>
    <row r="443" spans="1:7" x14ac:dyDescent="0.35">
      <c r="A443" s="178" t="s">
        <v>1296</v>
      </c>
      <c r="B443" s="178" t="s">
        <v>1297</v>
      </c>
      <c r="C443" s="178" t="s">
        <v>472</v>
      </c>
      <c r="D443" s="178" t="s">
        <v>63</v>
      </c>
      <c r="E443">
        <v>91890.4</v>
      </c>
      <c r="F443">
        <v>13783.56</v>
      </c>
      <c r="G443">
        <v>105673.96</v>
      </c>
    </row>
    <row r="444" spans="1:7" x14ac:dyDescent="0.35">
      <c r="A444" s="178" t="s">
        <v>597</v>
      </c>
      <c r="B444" s="178" t="s">
        <v>1298</v>
      </c>
      <c r="C444" s="178" t="s">
        <v>472</v>
      </c>
      <c r="D444" s="178" t="s">
        <v>63</v>
      </c>
      <c r="E444">
        <v>2584</v>
      </c>
      <c r="F444">
        <v>387.61</v>
      </c>
      <c r="G444">
        <v>2971.61</v>
      </c>
    </row>
    <row r="445" spans="1:7" x14ac:dyDescent="0.35">
      <c r="A445" s="178" t="s">
        <v>1299</v>
      </c>
      <c r="B445" s="178" t="s">
        <v>1300</v>
      </c>
      <c r="C445" s="178" t="s">
        <v>472</v>
      </c>
      <c r="D445" s="178" t="s">
        <v>1301</v>
      </c>
      <c r="E445">
        <v>2567</v>
      </c>
      <c r="F445">
        <v>385.05</v>
      </c>
      <c r="G445">
        <v>2952.05</v>
      </c>
    </row>
    <row r="446" spans="1:7" x14ac:dyDescent="0.35">
      <c r="A446" s="178" t="s">
        <v>623</v>
      </c>
      <c r="B446" s="178" t="s">
        <v>1302</v>
      </c>
      <c r="C446" s="178" t="s">
        <v>472</v>
      </c>
      <c r="D446" s="178" t="s">
        <v>1303</v>
      </c>
      <c r="E446">
        <v>1099.2</v>
      </c>
      <c r="F446">
        <v>164.88</v>
      </c>
      <c r="G446">
        <v>1264.08</v>
      </c>
    </row>
    <row r="447" spans="1:7" x14ac:dyDescent="0.35">
      <c r="A447" s="178" t="s">
        <v>623</v>
      </c>
      <c r="B447" s="178" t="s">
        <v>1304</v>
      </c>
      <c r="C447" s="178" t="s">
        <v>472</v>
      </c>
      <c r="D447" s="178" t="s">
        <v>1305</v>
      </c>
      <c r="E447">
        <v>18960</v>
      </c>
      <c r="F447">
        <v>2844</v>
      </c>
      <c r="G447">
        <v>21804</v>
      </c>
    </row>
    <row r="448" spans="1:7" x14ac:dyDescent="0.35">
      <c r="A448" s="178" t="s">
        <v>593</v>
      </c>
      <c r="B448" s="178" t="s">
        <v>1306</v>
      </c>
      <c r="C448" s="178" t="s">
        <v>472</v>
      </c>
      <c r="D448" s="178" t="s">
        <v>1307</v>
      </c>
      <c r="E448">
        <v>851</v>
      </c>
      <c r="F448">
        <v>127.65</v>
      </c>
      <c r="G448">
        <v>978.65</v>
      </c>
    </row>
    <row r="449" spans="1:7" x14ac:dyDescent="0.35">
      <c r="A449" s="178" t="s">
        <v>1194</v>
      </c>
      <c r="B449" s="178" t="s">
        <v>1308</v>
      </c>
      <c r="C449" s="178" t="s">
        <v>472</v>
      </c>
      <c r="D449" s="178" t="s">
        <v>63</v>
      </c>
      <c r="E449">
        <v>14265.6</v>
      </c>
      <c r="F449">
        <v>2139.84</v>
      </c>
      <c r="G449">
        <v>16405.439999999999</v>
      </c>
    </row>
    <row r="450" spans="1:7" x14ac:dyDescent="0.35">
      <c r="A450" s="178" t="s">
        <v>1194</v>
      </c>
      <c r="B450" s="178" t="s">
        <v>1309</v>
      </c>
      <c r="C450" s="178" t="s">
        <v>472</v>
      </c>
      <c r="D450" s="178" t="s">
        <v>63</v>
      </c>
      <c r="E450">
        <v>12146.4</v>
      </c>
      <c r="F450">
        <v>1821.96</v>
      </c>
      <c r="G450">
        <v>13968.36</v>
      </c>
    </row>
    <row r="451" spans="1:7" x14ac:dyDescent="0.35">
      <c r="A451" s="178" t="s">
        <v>857</v>
      </c>
      <c r="B451" s="178" t="s">
        <v>1310</v>
      </c>
      <c r="C451" s="178" t="s">
        <v>472</v>
      </c>
      <c r="D451" s="178" t="s">
        <v>63</v>
      </c>
      <c r="E451">
        <v>2144</v>
      </c>
      <c r="F451">
        <v>321.60000000000002</v>
      </c>
      <c r="G451">
        <v>2465.6</v>
      </c>
    </row>
    <row r="452" spans="1:7" x14ac:dyDescent="0.35">
      <c r="A452" s="178" t="s">
        <v>1311</v>
      </c>
      <c r="B452" s="178" t="s">
        <v>1312</v>
      </c>
      <c r="C452" s="178" t="s">
        <v>472</v>
      </c>
      <c r="D452" s="178" t="s">
        <v>63</v>
      </c>
      <c r="E452">
        <v>2520</v>
      </c>
      <c r="F452">
        <v>378</v>
      </c>
      <c r="G452">
        <v>2898</v>
      </c>
    </row>
    <row r="453" spans="1:7" x14ac:dyDescent="0.35">
      <c r="A453" s="178" t="s">
        <v>466</v>
      </c>
      <c r="B453" s="178" t="s">
        <v>1313</v>
      </c>
      <c r="C453" s="178" t="s">
        <v>472</v>
      </c>
      <c r="D453" s="178" t="s">
        <v>63</v>
      </c>
      <c r="E453">
        <v>7876.7</v>
      </c>
      <c r="F453">
        <v>1181.51</v>
      </c>
      <c r="G453">
        <v>9058.2099999999991</v>
      </c>
    </row>
    <row r="454" spans="1:7" x14ac:dyDescent="0.35">
      <c r="A454" s="178" t="s">
        <v>1314</v>
      </c>
      <c r="B454" s="178" t="s">
        <v>1315</v>
      </c>
      <c r="C454" s="178" t="s">
        <v>472</v>
      </c>
      <c r="D454" s="178" t="s">
        <v>63</v>
      </c>
      <c r="E454">
        <v>952.2</v>
      </c>
      <c r="F454">
        <v>142.83000000000001</v>
      </c>
      <c r="G454">
        <v>1095.03</v>
      </c>
    </row>
    <row r="455" spans="1:7" x14ac:dyDescent="0.35">
      <c r="A455" s="178" t="s">
        <v>1316</v>
      </c>
      <c r="B455" s="178" t="s">
        <v>1317</v>
      </c>
      <c r="C455" s="178" t="s">
        <v>472</v>
      </c>
      <c r="D455" s="178" t="s">
        <v>63</v>
      </c>
      <c r="E455">
        <v>5876.5</v>
      </c>
      <c r="F455">
        <v>881.48</v>
      </c>
      <c r="G455">
        <v>6757.98</v>
      </c>
    </row>
    <row r="456" spans="1:7" x14ac:dyDescent="0.35">
      <c r="A456" s="178" t="s">
        <v>1318</v>
      </c>
      <c r="B456" s="178" t="s">
        <v>1319</v>
      </c>
      <c r="C456" s="178" t="s">
        <v>472</v>
      </c>
      <c r="D456" s="178" t="s">
        <v>1320</v>
      </c>
      <c r="E456">
        <v>8127</v>
      </c>
      <c r="F456">
        <v>1219.05</v>
      </c>
      <c r="G456">
        <v>9346.0499999999993</v>
      </c>
    </row>
    <row r="457" spans="1:7" x14ac:dyDescent="0.35">
      <c r="A457" s="178" t="s">
        <v>917</v>
      </c>
      <c r="B457" s="178" t="s">
        <v>1321</v>
      </c>
      <c r="C457" s="178" t="s">
        <v>472</v>
      </c>
      <c r="D457" s="178" t="s">
        <v>63</v>
      </c>
      <c r="E457">
        <v>17319</v>
      </c>
      <c r="F457">
        <v>2597.85</v>
      </c>
      <c r="G457">
        <v>19916.849999999999</v>
      </c>
    </row>
    <row r="458" spans="1:7" x14ac:dyDescent="0.35">
      <c r="A458" s="178" t="s">
        <v>484</v>
      </c>
      <c r="B458" s="178" t="s">
        <v>1322</v>
      </c>
      <c r="C458" s="178" t="s">
        <v>472</v>
      </c>
      <c r="D458" s="178" t="s">
        <v>63</v>
      </c>
      <c r="E458">
        <v>647.4</v>
      </c>
      <c r="F458">
        <v>97.11</v>
      </c>
      <c r="G458">
        <v>744.51</v>
      </c>
    </row>
    <row r="459" spans="1:7" x14ac:dyDescent="0.35">
      <c r="A459" s="178" t="s">
        <v>617</v>
      </c>
      <c r="B459" s="178" t="s">
        <v>1323</v>
      </c>
      <c r="C459" s="178" t="s">
        <v>472</v>
      </c>
      <c r="D459" s="178" t="s">
        <v>63</v>
      </c>
      <c r="E459">
        <v>1824</v>
      </c>
      <c r="F459">
        <v>273.60000000000002</v>
      </c>
      <c r="G459">
        <v>2097.6</v>
      </c>
    </row>
    <row r="460" spans="1:7" x14ac:dyDescent="0.35">
      <c r="A460" s="178" t="s">
        <v>1324</v>
      </c>
      <c r="B460" s="178" t="s">
        <v>1325</v>
      </c>
      <c r="C460" s="178" t="s">
        <v>472</v>
      </c>
      <c r="D460" s="178" t="s">
        <v>63</v>
      </c>
      <c r="E460">
        <v>1316.1</v>
      </c>
      <c r="F460">
        <v>197.42</v>
      </c>
      <c r="G460">
        <v>1513.52</v>
      </c>
    </row>
    <row r="461" spans="1:7" x14ac:dyDescent="0.35">
      <c r="A461" s="178" t="s">
        <v>1326</v>
      </c>
      <c r="B461" s="178" t="s">
        <v>1327</v>
      </c>
      <c r="C461" s="178" t="s">
        <v>472</v>
      </c>
      <c r="D461" s="178" t="s">
        <v>63</v>
      </c>
      <c r="E461">
        <v>700.9</v>
      </c>
      <c r="F461">
        <v>105.14</v>
      </c>
      <c r="G461">
        <v>806.04</v>
      </c>
    </row>
    <row r="462" spans="1:7" x14ac:dyDescent="0.35">
      <c r="A462" s="178" t="s">
        <v>1328</v>
      </c>
      <c r="B462" s="178" t="s">
        <v>1329</v>
      </c>
      <c r="C462" s="178" t="s">
        <v>472</v>
      </c>
      <c r="D462" s="178" t="s">
        <v>63</v>
      </c>
      <c r="E462">
        <v>9300.1</v>
      </c>
      <c r="F462">
        <v>1395.02</v>
      </c>
      <c r="G462">
        <v>10695.12</v>
      </c>
    </row>
    <row r="463" spans="1:7" x14ac:dyDescent="0.35">
      <c r="A463" s="178" t="s">
        <v>976</v>
      </c>
      <c r="B463" s="178" t="s">
        <v>1330</v>
      </c>
      <c r="C463" s="178" t="s">
        <v>472</v>
      </c>
      <c r="D463" s="178" t="s">
        <v>63</v>
      </c>
      <c r="E463">
        <v>629.29999999999995</v>
      </c>
      <c r="F463">
        <v>94.4</v>
      </c>
      <c r="G463">
        <v>723.7</v>
      </c>
    </row>
    <row r="464" spans="1:7" x14ac:dyDescent="0.35">
      <c r="A464" s="178" t="s">
        <v>1331</v>
      </c>
      <c r="B464" s="178" t="s">
        <v>1332</v>
      </c>
      <c r="C464" s="178" t="s">
        <v>472</v>
      </c>
      <c r="D464" s="178" t="s">
        <v>63</v>
      </c>
      <c r="E464">
        <v>2377.9499999999998</v>
      </c>
      <c r="F464">
        <v>356.7</v>
      </c>
      <c r="G464">
        <v>2734.65</v>
      </c>
    </row>
    <row r="465" spans="1:7" x14ac:dyDescent="0.35">
      <c r="A465" s="178" t="s">
        <v>1333</v>
      </c>
      <c r="B465" s="178" t="s">
        <v>1334</v>
      </c>
      <c r="C465" s="178" t="s">
        <v>472</v>
      </c>
      <c r="D465" s="178" t="s">
        <v>63</v>
      </c>
      <c r="E465">
        <v>1625.4</v>
      </c>
      <c r="F465">
        <v>243.81</v>
      </c>
      <c r="G465">
        <v>1869.21</v>
      </c>
    </row>
    <row r="466" spans="1:7" x14ac:dyDescent="0.35">
      <c r="A466" s="178" t="s">
        <v>1335</v>
      </c>
      <c r="B466" s="178" t="s">
        <v>1336</v>
      </c>
      <c r="C466" s="178" t="s">
        <v>472</v>
      </c>
      <c r="D466" s="178" t="s">
        <v>63</v>
      </c>
      <c r="E466">
        <v>1438.5</v>
      </c>
      <c r="F466">
        <v>215.78</v>
      </c>
      <c r="G466">
        <v>1654.28</v>
      </c>
    </row>
    <row r="467" spans="1:7" x14ac:dyDescent="0.35">
      <c r="A467" s="178" t="s">
        <v>466</v>
      </c>
      <c r="B467" s="178" t="s">
        <v>1337</v>
      </c>
      <c r="C467" s="178" t="s">
        <v>472</v>
      </c>
      <c r="D467" s="178" t="s">
        <v>1338</v>
      </c>
      <c r="E467">
        <v>1631.8</v>
      </c>
      <c r="F467">
        <v>244.77</v>
      </c>
      <c r="G467">
        <v>1876.57</v>
      </c>
    </row>
    <row r="468" spans="1:7" x14ac:dyDescent="0.35">
      <c r="A468" s="178" t="s">
        <v>1339</v>
      </c>
      <c r="B468" s="178" t="s">
        <v>1340</v>
      </c>
      <c r="C468" s="178" t="s">
        <v>472</v>
      </c>
      <c r="D468" s="178" t="s">
        <v>1341</v>
      </c>
      <c r="E468">
        <v>1672.65</v>
      </c>
      <c r="F468">
        <v>250.9</v>
      </c>
      <c r="G468">
        <v>1923.55</v>
      </c>
    </row>
    <row r="469" spans="1:7" x14ac:dyDescent="0.35">
      <c r="A469" s="178" t="s">
        <v>1342</v>
      </c>
      <c r="B469" s="178" t="s">
        <v>1343</v>
      </c>
      <c r="C469" s="178" t="s">
        <v>472</v>
      </c>
      <c r="D469" s="178" t="s">
        <v>63</v>
      </c>
      <c r="E469">
        <v>1514.75</v>
      </c>
      <c r="F469">
        <v>227.21</v>
      </c>
      <c r="G469">
        <v>1741.96</v>
      </c>
    </row>
    <row r="470" spans="1:7" x14ac:dyDescent="0.35">
      <c r="A470" s="178" t="s">
        <v>976</v>
      </c>
      <c r="B470" s="178" t="s">
        <v>1344</v>
      </c>
      <c r="C470" s="178" t="s">
        <v>472</v>
      </c>
      <c r="D470" s="178" t="s">
        <v>63</v>
      </c>
      <c r="E470">
        <v>10677.95</v>
      </c>
      <c r="F470">
        <v>1601.69</v>
      </c>
      <c r="G470">
        <v>12279.64</v>
      </c>
    </row>
    <row r="471" spans="1:7" x14ac:dyDescent="0.35">
      <c r="A471" s="178" t="s">
        <v>491</v>
      </c>
      <c r="B471" s="178" t="s">
        <v>1345</v>
      </c>
      <c r="C471" s="178" t="s">
        <v>472</v>
      </c>
      <c r="D471" s="178" t="s">
        <v>63</v>
      </c>
      <c r="E471">
        <v>9131.5</v>
      </c>
      <c r="F471">
        <v>1369.73</v>
      </c>
      <c r="G471">
        <v>10501.23</v>
      </c>
    </row>
    <row r="472" spans="1:7" x14ac:dyDescent="0.35">
      <c r="A472" s="178" t="s">
        <v>535</v>
      </c>
      <c r="B472" s="178" t="s">
        <v>1346</v>
      </c>
      <c r="C472" s="178" t="s">
        <v>472</v>
      </c>
      <c r="D472" s="178" t="s">
        <v>63</v>
      </c>
      <c r="E472">
        <v>3878.85</v>
      </c>
      <c r="F472">
        <v>581.83000000000004</v>
      </c>
      <c r="G472">
        <v>4460.68</v>
      </c>
    </row>
    <row r="473" spans="1:7" x14ac:dyDescent="0.35">
      <c r="A473" s="178" t="s">
        <v>1347</v>
      </c>
      <c r="B473" s="178" t="s">
        <v>1348</v>
      </c>
      <c r="C473" s="178" t="s">
        <v>472</v>
      </c>
      <c r="D473" s="178" t="s">
        <v>63</v>
      </c>
      <c r="E473">
        <v>872.95</v>
      </c>
      <c r="F473">
        <v>130.94</v>
      </c>
      <c r="G473">
        <v>1003.89</v>
      </c>
    </row>
    <row r="474" spans="1:7" x14ac:dyDescent="0.35">
      <c r="A474" s="178" t="s">
        <v>1035</v>
      </c>
      <c r="B474" s="178" t="s">
        <v>1349</v>
      </c>
      <c r="C474" s="178" t="s">
        <v>472</v>
      </c>
      <c r="D474" s="178" t="s">
        <v>63</v>
      </c>
      <c r="E474">
        <v>34904.400000000001</v>
      </c>
      <c r="F474">
        <v>5235.66</v>
      </c>
      <c r="G474">
        <v>40140.06</v>
      </c>
    </row>
    <row r="475" spans="1:7" x14ac:dyDescent="0.35">
      <c r="A475" s="178" t="s">
        <v>1350</v>
      </c>
      <c r="B475" s="178" t="s">
        <v>1351</v>
      </c>
      <c r="C475" s="178" t="s">
        <v>472</v>
      </c>
      <c r="D475" s="178" t="s">
        <v>63</v>
      </c>
      <c r="E475">
        <v>2101.0500000000002</v>
      </c>
      <c r="F475">
        <v>315.16000000000003</v>
      </c>
      <c r="G475">
        <v>2416.21</v>
      </c>
    </row>
    <row r="476" spans="1:7" x14ac:dyDescent="0.35">
      <c r="A476" s="178" t="s">
        <v>1352</v>
      </c>
      <c r="B476" s="178" t="s">
        <v>1353</v>
      </c>
      <c r="C476" s="178" t="s">
        <v>472</v>
      </c>
      <c r="D476" s="178" t="s">
        <v>63</v>
      </c>
      <c r="E476">
        <v>1470</v>
      </c>
      <c r="F476">
        <v>220.5</v>
      </c>
      <c r="G476">
        <v>1690.5</v>
      </c>
    </row>
    <row r="477" spans="1:7" x14ac:dyDescent="0.35">
      <c r="A477" s="178" t="s">
        <v>1354</v>
      </c>
      <c r="B477" s="178" t="s">
        <v>1355</v>
      </c>
      <c r="C477" s="178" t="s">
        <v>472</v>
      </c>
      <c r="D477" s="178" t="s">
        <v>63</v>
      </c>
      <c r="E477">
        <v>4565.8500000000004</v>
      </c>
      <c r="F477">
        <v>684.88</v>
      </c>
      <c r="G477">
        <v>5250.73</v>
      </c>
    </row>
    <row r="478" spans="1:7" x14ac:dyDescent="0.35">
      <c r="A478" s="178" t="s">
        <v>1356</v>
      </c>
      <c r="B478" s="178" t="s">
        <v>1357</v>
      </c>
      <c r="C478" s="178" t="s">
        <v>472</v>
      </c>
      <c r="D478" s="178" t="s">
        <v>63</v>
      </c>
      <c r="E478">
        <v>1436.65</v>
      </c>
      <c r="F478">
        <v>215.5</v>
      </c>
      <c r="G478">
        <v>1652.15</v>
      </c>
    </row>
    <row r="479" spans="1:7" x14ac:dyDescent="0.35">
      <c r="A479" s="178" t="s">
        <v>691</v>
      </c>
      <c r="B479" s="178" t="s">
        <v>1358</v>
      </c>
      <c r="C479" s="178" t="s">
        <v>472</v>
      </c>
      <c r="D479" s="178" t="s">
        <v>63</v>
      </c>
      <c r="E479">
        <v>3359.95</v>
      </c>
      <c r="F479">
        <v>504</v>
      </c>
      <c r="G479">
        <v>3863.95</v>
      </c>
    </row>
    <row r="480" spans="1:7" x14ac:dyDescent="0.35">
      <c r="A480" s="178" t="s">
        <v>691</v>
      </c>
      <c r="B480" s="178" t="s">
        <v>1359</v>
      </c>
      <c r="C480" s="178" t="s">
        <v>472</v>
      </c>
      <c r="D480" s="178" t="s">
        <v>63</v>
      </c>
      <c r="E480">
        <v>1661.1</v>
      </c>
      <c r="F480">
        <v>249.17</v>
      </c>
      <c r="G480">
        <v>1910.27</v>
      </c>
    </row>
    <row r="481" spans="1:7" x14ac:dyDescent="0.35">
      <c r="A481" s="178" t="s">
        <v>460</v>
      </c>
      <c r="B481" s="178" t="s">
        <v>1360</v>
      </c>
      <c r="C481" s="178" t="s">
        <v>472</v>
      </c>
      <c r="D481" s="178" t="s">
        <v>1361</v>
      </c>
      <c r="E481">
        <v>4850.6000000000004</v>
      </c>
      <c r="F481">
        <v>727.59</v>
      </c>
      <c r="G481">
        <v>5578.19</v>
      </c>
    </row>
    <row r="482" spans="1:7" x14ac:dyDescent="0.35">
      <c r="A482" s="178" t="s">
        <v>623</v>
      </c>
      <c r="B482" s="178" t="s">
        <v>1362</v>
      </c>
      <c r="C482" s="178" t="s">
        <v>472</v>
      </c>
      <c r="D482" s="178" t="s">
        <v>1363</v>
      </c>
      <c r="E482">
        <v>2267.8000000000002</v>
      </c>
      <c r="F482">
        <v>340.17</v>
      </c>
      <c r="G482">
        <v>2607.9699999999998</v>
      </c>
    </row>
    <row r="483" spans="1:7" x14ac:dyDescent="0.35">
      <c r="A483" s="178" t="s">
        <v>1364</v>
      </c>
      <c r="B483" s="178" t="s">
        <v>1365</v>
      </c>
      <c r="C483" s="178" t="s">
        <v>472</v>
      </c>
      <c r="D483" s="178" t="s">
        <v>63</v>
      </c>
      <c r="E483">
        <v>1252.25</v>
      </c>
      <c r="F483">
        <v>187.84</v>
      </c>
      <c r="G483">
        <v>1440.09</v>
      </c>
    </row>
    <row r="484" spans="1:7" x14ac:dyDescent="0.35">
      <c r="A484" s="178" t="s">
        <v>460</v>
      </c>
      <c r="B484" s="178" t="s">
        <v>1366</v>
      </c>
      <c r="C484" s="178" t="s">
        <v>472</v>
      </c>
      <c r="D484" s="178" t="s">
        <v>1367</v>
      </c>
      <c r="E484">
        <v>864.3</v>
      </c>
      <c r="F484">
        <v>129.65</v>
      </c>
      <c r="G484">
        <v>993.95</v>
      </c>
    </row>
    <row r="485" spans="1:7" x14ac:dyDescent="0.35">
      <c r="A485" s="178" t="s">
        <v>1281</v>
      </c>
      <c r="B485" s="178" t="s">
        <v>1368</v>
      </c>
      <c r="C485" s="178" t="s">
        <v>472</v>
      </c>
      <c r="D485" s="178" t="s">
        <v>63</v>
      </c>
      <c r="E485">
        <v>22310.6</v>
      </c>
      <c r="F485">
        <v>3346.59</v>
      </c>
      <c r="G485">
        <v>25657.19</v>
      </c>
    </row>
    <row r="486" spans="1:7" x14ac:dyDescent="0.35">
      <c r="A486" s="178" t="s">
        <v>1369</v>
      </c>
      <c r="B486" s="178" t="s">
        <v>1370</v>
      </c>
      <c r="C486" s="178" t="s">
        <v>472</v>
      </c>
      <c r="D486" s="178" t="s">
        <v>63</v>
      </c>
      <c r="E486">
        <v>836.4</v>
      </c>
      <c r="F486">
        <v>125.46</v>
      </c>
      <c r="G486">
        <v>961.86</v>
      </c>
    </row>
    <row r="487" spans="1:7" x14ac:dyDescent="0.35">
      <c r="A487" s="178" t="s">
        <v>1371</v>
      </c>
      <c r="B487" s="178" t="s">
        <v>1372</v>
      </c>
      <c r="C487" s="178" t="s">
        <v>472</v>
      </c>
      <c r="D487" s="178" t="s">
        <v>63</v>
      </c>
      <c r="E487">
        <v>1551.7</v>
      </c>
      <c r="F487">
        <v>232.76</v>
      </c>
      <c r="G487">
        <v>1784.46</v>
      </c>
    </row>
    <row r="488" spans="1:7" x14ac:dyDescent="0.35">
      <c r="A488" s="178" t="s">
        <v>1373</v>
      </c>
      <c r="B488" s="178" t="s">
        <v>1374</v>
      </c>
      <c r="C488" s="178" t="s">
        <v>472</v>
      </c>
      <c r="D488" s="178" t="s">
        <v>63</v>
      </c>
      <c r="E488">
        <v>1428</v>
      </c>
      <c r="F488">
        <v>214.2</v>
      </c>
      <c r="G488">
        <v>1642.2</v>
      </c>
    </row>
    <row r="489" spans="1:7" x14ac:dyDescent="0.35">
      <c r="A489" s="178" t="s">
        <v>791</v>
      </c>
      <c r="B489" s="178" t="s">
        <v>1375</v>
      </c>
      <c r="C489" s="178" t="s">
        <v>489</v>
      </c>
      <c r="D489" s="178" t="s">
        <v>1376</v>
      </c>
      <c r="E489">
        <v>11882.4</v>
      </c>
      <c r="F489">
        <v>1782.36</v>
      </c>
      <c r="G489">
        <v>13664.76</v>
      </c>
    </row>
    <row r="490" spans="1:7" x14ac:dyDescent="0.35">
      <c r="A490" s="178" t="s">
        <v>538</v>
      </c>
      <c r="B490" s="178" t="s">
        <v>1377</v>
      </c>
      <c r="C490" s="178" t="s">
        <v>489</v>
      </c>
      <c r="D490" s="178" t="s">
        <v>63</v>
      </c>
      <c r="E490">
        <v>2417.85</v>
      </c>
      <c r="F490">
        <v>362.68</v>
      </c>
      <c r="G490">
        <v>2780.53</v>
      </c>
    </row>
    <row r="491" spans="1:7" x14ac:dyDescent="0.35">
      <c r="A491" s="178" t="s">
        <v>687</v>
      </c>
      <c r="B491" s="178" t="s">
        <v>1378</v>
      </c>
      <c r="C491" s="178" t="s">
        <v>489</v>
      </c>
      <c r="D491" s="178" t="s">
        <v>1379</v>
      </c>
      <c r="E491">
        <v>7964.25</v>
      </c>
      <c r="F491">
        <v>1194.6600000000001</v>
      </c>
      <c r="G491">
        <v>9158.91</v>
      </c>
    </row>
    <row r="492" spans="1:7" x14ac:dyDescent="0.35">
      <c r="A492" s="178" t="s">
        <v>795</v>
      </c>
      <c r="B492" s="178" t="s">
        <v>1380</v>
      </c>
      <c r="C492" s="178" t="s">
        <v>489</v>
      </c>
      <c r="D492" s="178" t="s">
        <v>63</v>
      </c>
      <c r="E492">
        <v>181268.15</v>
      </c>
      <c r="F492">
        <v>27190.22</v>
      </c>
      <c r="G492">
        <v>208458.37</v>
      </c>
    </row>
    <row r="493" spans="1:7" x14ac:dyDescent="0.35">
      <c r="A493" s="178" t="s">
        <v>1381</v>
      </c>
      <c r="B493" s="178" t="s">
        <v>1382</v>
      </c>
      <c r="C493" s="178" t="s">
        <v>489</v>
      </c>
      <c r="D493" s="178" t="s">
        <v>63</v>
      </c>
      <c r="E493">
        <v>915.9</v>
      </c>
      <c r="F493">
        <v>137.38999999999999</v>
      </c>
      <c r="G493">
        <v>1053.29</v>
      </c>
    </row>
    <row r="494" spans="1:7" x14ac:dyDescent="0.35">
      <c r="A494" s="178" t="s">
        <v>687</v>
      </c>
      <c r="B494" s="178" t="s">
        <v>1383</v>
      </c>
      <c r="C494" s="178" t="s">
        <v>489</v>
      </c>
      <c r="D494" s="178" t="s">
        <v>1379</v>
      </c>
      <c r="E494">
        <v>11101.5</v>
      </c>
      <c r="F494">
        <v>1665.23</v>
      </c>
      <c r="G494">
        <v>12766.73</v>
      </c>
    </row>
    <row r="495" spans="1:7" x14ac:dyDescent="0.35">
      <c r="A495" s="178" t="s">
        <v>450</v>
      </c>
      <c r="B495" s="178" t="s">
        <v>1384</v>
      </c>
      <c r="C495" s="178" t="s">
        <v>489</v>
      </c>
      <c r="D495" s="178" t="s">
        <v>63</v>
      </c>
      <c r="E495">
        <v>9301.5</v>
      </c>
      <c r="F495">
        <v>1395.23</v>
      </c>
      <c r="G495">
        <v>10696.73</v>
      </c>
    </row>
    <row r="496" spans="1:7" x14ac:dyDescent="0.35">
      <c r="A496" s="178" t="s">
        <v>529</v>
      </c>
      <c r="B496" s="178" t="s">
        <v>1385</v>
      </c>
      <c r="C496" s="178" t="s">
        <v>489</v>
      </c>
      <c r="D496" s="178" t="s">
        <v>63</v>
      </c>
      <c r="E496">
        <v>3982.25</v>
      </c>
      <c r="F496">
        <v>597.34</v>
      </c>
      <c r="G496">
        <v>4579.59</v>
      </c>
    </row>
    <row r="497" spans="1:7" x14ac:dyDescent="0.35">
      <c r="A497" s="178" t="s">
        <v>687</v>
      </c>
      <c r="B497" s="178" t="s">
        <v>1386</v>
      </c>
      <c r="C497" s="178" t="s">
        <v>489</v>
      </c>
      <c r="D497" s="178" t="s">
        <v>1379</v>
      </c>
      <c r="E497">
        <v>9743.35</v>
      </c>
      <c r="F497">
        <v>1461.5</v>
      </c>
      <c r="G497">
        <v>11204.85</v>
      </c>
    </row>
    <row r="498" spans="1:7" x14ac:dyDescent="0.35">
      <c r="A498" s="178" t="s">
        <v>587</v>
      </c>
      <c r="B498" s="178" t="s">
        <v>1387</v>
      </c>
      <c r="C498" s="178" t="s">
        <v>489</v>
      </c>
      <c r="D498" s="178" t="s">
        <v>63</v>
      </c>
      <c r="E498">
        <v>16728</v>
      </c>
      <c r="F498">
        <v>2509.1999999999998</v>
      </c>
      <c r="G498">
        <v>19237.2</v>
      </c>
    </row>
    <row r="499" spans="1:7" x14ac:dyDescent="0.35">
      <c r="A499" s="178" t="s">
        <v>1388</v>
      </c>
      <c r="B499" s="178" t="s">
        <v>1389</v>
      </c>
      <c r="C499" s="178" t="s">
        <v>489</v>
      </c>
      <c r="D499" s="178" t="s">
        <v>1390</v>
      </c>
      <c r="E499">
        <v>994.3</v>
      </c>
      <c r="F499">
        <v>149.15</v>
      </c>
      <c r="G499">
        <v>1143.45</v>
      </c>
    </row>
    <row r="500" spans="1:7" x14ac:dyDescent="0.35">
      <c r="A500" s="178" t="s">
        <v>1391</v>
      </c>
      <c r="B500" s="178" t="s">
        <v>1392</v>
      </c>
      <c r="C500" s="178" t="s">
        <v>489</v>
      </c>
      <c r="D500" s="178" t="s">
        <v>63</v>
      </c>
      <c r="E500">
        <v>1440</v>
      </c>
      <c r="F500">
        <v>216</v>
      </c>
      <c r="G500">
        <v>1656</v>
      </c>
    </row>
    <row r="501" spans="1:7" x14ac:dyDescent="0.35">
      <c r="A501" s="178" t="s">
        <v>606</v>
      </c>
      <c r="B501" s="178" t="s">
        <v>1393</v>
      </c>
      <c r="C501" s="178" t="s">
        <v>489</v>
      </c>
      <c r="D501" s="178" t="s">
        <v>63</v>
      </c>
      <c r="E501">
        <v>4897.8</v>
      </c>
      <c r="F501">
        <v>734.67</v>
      </c>
      <c r="G501">
        <v>5632.47</v>
      </c>
    </row>
    <row r="502" spans="1:7" x14ac:dyDescent="0.35">
      <c r="A502" s="178" t="s">
        <v>959</v>
      </c>
      <c r="B502" s="178" t="s">
        <v>1394</v>
      </c>
      <c r="C502" s="178" t="s">
        <v>489</v>
      </c>
      <c r="D502" s="178" t="s">
        <v>1395</v>
      </c>
      <c r="E502">
        <v>37614.199999999997</v>
      </c>
      <c r="F502">
        <v>5642.13</v>
      </c>
      <c r="G502">
        <v>43256.33</v>
      </c>
    </row>
    <row r="503" spans="1:7" x14ac:dyDescent="0.35">
      <c r="A503" s="178" t="s">
        <v>1396</v>
      </c>
      <c r="B503" s="178" t="s">
        <v>1397</v>
      </c>
      <c r="C503" s="178" t="s">
        <v>489</v>
      </c>
      <c r="D503" s="178" t="s">
        <v>63</v>
      </c>
      <c r="E503">
        <v>3332</v>
      </c>
      <c r="F503">
        <v>499.8</v>
      </c>
      <c r="G503">
        <v>3831.8</v>
      </c>
    </row>
    <row r="504" spans="1:7" x14ac:dyDescent="0.35">
      <c r="A504" s="178" t="s">
        <v>634</v>
      </c>
      <c r="B504" s="178" t="s">
        <v>1398</v>
      </c>
      <c r="C504" s="178" t="s">
        <v>489</v>
      </c>
      <c r="D504" s="178" t="s">
        <v>63</v>
      </c>
      <c r="E504">
        <v>6153.7</v>
      </c>
      <c r="F504">
        <v>923.05</v>
      </c>
      <c r="G504">
        <v>7076.75</v>
      </c>
    </row>
    <row r="505" spans="1:7" x14ac:dyDescent="0.35">
      <c r="A505" s="178" t="s">
        <v>587</v>
      </c>
      <c r="B505" s="178" t="s">
        <v>1399</v>
      </c>
      <c r="C505" s="178" t="s">
        <v>489</v>
      </c>
      <c r="D505" s="178" t="s">
        <v>63</v>
      </c>
      <c r="E505">
        <v>3217.25</v>
      </c>
      <c r="F505">
        <v>482.59</v>
      </c>
      <c r="G505">
        <v>3699.84</v>
      </c>
    </row>
    <row r="506" spans="1:7" x14ac:dyDescent="0.35">
      <c r="A506" s="178" t="s">
        <v>968</v>
      </c>
      <c r="B506" s="178" t="s">
        <v>1400</v>
      </c>
      <c r="C506" s="178" t="s">
        <v>489</v>
      </c>
      <c r="D506" s="178" t="s">
        <v>63</v>
      </c>
      <c r="E506">
        <v>10490.4</v>
      </c>
      <c r="F506">
        <v>1573.56</v>
      </c>
      <c r="G506">
        <v>12063.96</v>
      </c>
    </row>
    <row r="507" spans="1:7" x14ac:dyDescent="0.35">
      <c r="A507" s="178" t="s">
        <v>522</v>
      </c>
      <c r="B507" s="178" t="s">
        <v>1401</v>
      </c>
      <c r="C507" s="178" t="s">
        <v>489</v>
      </c>
      <c r="D507" s="178" t="s">
        <v>63</v>
      </c>
      <c r="E507">
        <v>3228.7</v>
      </c>
      <c r="F507">
        <v>484.31</v>
      </c>
      <c r="G507">
        <v>3713.01</v>
      </c>
    </row>
    <row r="508" spans="1:7" x14ac:dyDescent="0.35">
      <c r="A508" s="178" t="s">
        <v>1402</v>
      </c>
      <c r="B508" s="178" t="s">
        <v>1403</v>
      </c>
      <c r="C508" s="178" t="s">
        <v>489</v>
      </c>
      <c r="D508" s="178" t="s">
        <v>63</v>
      </c>
      <c r="E508">
        <v>6004.8</v>
      </c>
      <c r="F508">
        <v>900.72</v>
      </c>
      <c r="G508">
        <v>6905.52</v>
      </c>
    </row>
    <row r="509" spans="1:7" x14ac:dyDescent="0.35">
      <c r="A509" s="178" t="s">
        <v>1404</v>
      </c>
      <c r="B509" s="178" t="s">
        <v>1405</v>
      </c>
      <c r="C509" s="178" t="s">
        <v>489</v>
      </c>
      <c r="D509" s="178" t="s">
        <v>1406</v>
      </c>
      <c r="E509">
        <v>13365</v>
      </c>
      <c r="F509">
        <v>2004.75</v>
      </c>
      <c r="G509">
        <v>15369.75</v>
      </c>
    </row>
    <row r="510" spans="1:7" x14ac:dyDescent="0.35">
      <c r="A510" s="178" t="s">
        <v>1407</v>
      </c>
      <c r="B510" s="178" t="s">
        <v>1408</v>
      </c>
      <c r="C510" s="178" t="s">
        <v>489</v>
      </c>
      <c r="D510" s="178" t="s">
        <v>63</v>
      </c>
      <c r="E510">
        <v>1267.2</v>
      </c>
      <c r="F510">
        <v>190.08</v>
      </c>
      <c r="G510">
        <v>1457.28</v>
      </c>
    </row>
    <row r="511" spans="1:7" x14ac:dyDescent="0.35">
      <c r="A511" s="178" t="s">
        <v>772</v>
      </c>
      <c r="B511" s="178" t="s">
        <v>1409</v>
      </c>
      <c r="C511" s="178" t="s">
        <v>489</v>
      </c>
      <c r="D511" s="178" t="s">
        <v>63</v>
      </c>
      <c r="E511">
        <v>3381.75</v>
      </c>
      <c r="F511">
        <v>507.26</v>
      </c>
      <c r="G511">
        <v>3889.01</v>
      </c>
    </row>
    <row r="512" spans="1:7" x14ac:dyDescent="0.35">
      <c r="A512" s="178" t="s">
        <v>1410</v>
      </c>
      <c r="B512" s="178" t="s">
        <v>1411</v>
      </c>
      <c r="C512" s="178" t="s">
        <v>489</v>
      </c>
      <c r="D512" s="178" t="s">
        <v>63</v>
      </c>
      <c r="E512">
        <v>4041.75</v>
      </c>
      <c r="F512">
        <v>606.27</v>
      </c>
      <c r="G512">
        <v>4648.0200000000004</v>
      </c>
    </row>
    <row r="513" spans="1:7" x14ac:dyDescent="0.35">
      <c r="A513" s="178" t="s">
        <v>1412</v>
      </c>
      <c r="B513" s="178" t="s">
        <v>1413</v>
      </c>
      <c r="C513" s="178" t="s">
        <v>489</v>
      </c>
      <c r="D513" s="178" t="s">
        <v>63</v>
      </c>
      <c r="E513">
        <v>6044.5</v>
      </c>
      <c r="F513">
        <v>906.68</v>
      </c>
      <c r="G513">
        <v>6951.18</v>
      </c>
    </row>
    <row r="514" spans="1:7" x14ac:dyDescent="0.35">
      <c r="A514" s="178" t="s">
        <v>1414</v>
      </c>
      <c r="B514" s="178" t="s">
        <v>1415</v>
      </c>
      <c r="C514" s="178" t="s">
        <v>489</v>
      </c>
      <c r="D514" s="178" t="s">
        <v>63</v>
      </c>
      <c r="E514">
        <v>5220.55</v>
      </c>
      <c r="F514">
        <v>783.08</v>
      </c>
      <c r="G514">
        <v>6003.63</v>
      </c>
    </row>
    <row r="515" spans="1:7" x14ac:dyDescent="0.35">
      <c r="A515" s="178" t="s">
        <v>782</v>
      </c>
      <c r="B515" s="178" t="s">
        <v>1416</v>
      </c>
      <c r="C515" s="178" t="s">
        <v>489</v>
      </c>
      <c r="D515" s="178" t="s">
        <v>63</v>
      </c>
      <c r="E515">
        <v>4357.8</v>
      </c>
      <c r="F515">
        <v>653.66999999999996</v>
      </c>
      <c r="G515">
        <v>5011.47</v>
      </c>
    </row>
    <row r="516" spans="1:7" x14ac:dyDescent="0.35">
      <c r="A516" s="178" t="s">
        <v>1417</v>
      </c>
      <c r="B516" s="178" t="s">
        <v>1418</v>
      </c>
      <c r="C516" s="178" t="s">
        <v>489</v>
      </c>
      <c r="D516" s="178" t="s">
        <v>1419</v>
      </c>
      <c r="E516">
        <v>5026.45</v>
      </c>
      <c r="F516">
        <v>753.97</v>
      </c>
      <c r="G516">
        <v>5780.42</v>
      </c>
    </row>
    <row r="517" spans="1:7" x14ac:dyDescent="0.35">
      <c r="A517" s="178" t="s">
        <v>450</v>
      </c>
      <c r="B517" s="178" t="s">
        <v>1420</v>
      </c>
      <c r="C517" s="178" t="s">
        <v>489</v>
      </c>
      <c r="D517" s="178" t="s">
        <v>63</v>
      </c>
      <c r="E517">
        <v>7902.3</v>
      </c>
      <c r="F517">
        <v>1185.3499999999999</v>
      </c>
      <c r="G517">
        <v>9087.65</v>
      </c>
    </row>
    <row r="518" spans="1:7" x14ac:dyDescent="0.35">
      <c r="A518" s="178" t="s">
        <v>889</v>
      </c>
      <c r="B518" s="178" t="s">
        <v>1421</v>
      </c>
      <c r="C518" s="178" t="s">
        <v>489</v>
      </c>
      <c r="D518" s="178" t="s">
        <v>63</v>
      </c>
      <c r="E518">
        <v>28864.85</v>
      </c>
      <c r="F518">
        <v>4329.7299999999996</v>
      </c>
      <c r="G518">
        <v>33194.58</v>
      </c>
    </row>
    <row r="519" spans="1:7" x14ac:dyDescent="0.35">
      <c r="A519" s="178" t="s">
        <v>1412</v>
      </c>
      <c r="B519" s="178" t="s">
        <v>1422</v>
      </c>
      <c r="C519" s="178" t="s">
        <v>489</v>
      </c>
      <c r="D519" s="178" t="s">
        <v>63</v>
      </c>
      <c r="E519">
        <v>1461.6</v>
      </c>
      <c r="F519">
        <v>219.24</v>
      </c>
      <c r="G519">
        <v>1680.84</v>
      </c>
    </row>
    <row r="520" spans="1:7" x14ac:dyDescent="0.35">
      <c r="A520" s="178" t="s">
        <v>450</v>
      </c>
      <c r="B520" s="178" t="s">
        <v>1423</v>
      </c>
      <c r="C520" s="178" t="s">
        <v>489</v>
      </c>
      <c r="D520" s="178" t="s">
        <v>63</v>
      </c>
      <c r="E520">
        <v>20291.05</v>
      </c>
      <c r="F520">
        <v>3043.66</v>
      </c>
      <c r="G520">
        <v>23334.71</v>
      </c>
    </row>
    <row r="521" spans="1:7" x14ac:dyDescent="0.35">
      <c r="A521" s="178" t="s">
        <v>705</v>
      </c>
      <c r="B521" s="178" t="s">
        <v>1424</v>
      </c>
      <c r="C521" s="178" t="s">
        <v>489</v>
      </c>
      <c r="D521" s="178" t="s">
        <v>1425</v>
      </c>
      <c r="E521">
        <v>17479</v>
      </c>
      <c r="F521">
        <v>2621.85</v>
      </c>
      <c r="G521">
        <v>20100.849999999999</v>
      </c>
    </row>
    <row r="522" spans="1:7" x14ac:dyDescent="0.35">
      <c r="A522" s="178" t="s">
        <v>997</v>
      </c>
      <c r="B522" s="178" t="s">
        <v>1426</v>
      </c>
      <c r="C522" s="178" t="s">
        <v>489</v>
      </c>
      <c r="D522" s="178" t="s">
        <v>63</v>
      </c>
      <c r="E522">
        <v>1565.55</v>
      </c>
      <c r="F522">
        <v>234.83</v>
      </c>
      <c r="G522">
        <v>1800.38</v>
      </c>
    </row>
    <row r="523" spans="1:7" x14ac:dyDescent="0.35">
      <c r="A523" s="178" t="s">
        <v>529</v>
      </c>
      <c r="B523" s="178" t="s">
        <v>1427</v>
      </c>
      <c r="C523" s="178" t="s">
        <v>489</v>
      </c>
      <c r="D523" s="178" t="s">
        <v>63</v>
      </c>
      <c r="E523">
        <v>9452</v>
      </c>
      <c r="F523">
        <v>1417.8</v>
      </c>
      <c r="G523">
        <v>10869.8</v>
      </c>
    </row>
    <row r="524" spans="1:7" x14ac:dyDescent="0.35">
      <c r="A524" s="178" t="s">
        <v>1428</v>
      </c>
      <c r="B524" s="178" t="s">
        <v>1429</v>
      </c>
      <c r="C524" s="178" t="s">
        <v>489</v>
      </c>
      <c r="D524" s="178" t="s">
        <v>63</v>
      </c>
      <c r="E524">
        <v>3479.41</v>
      </c>
      <c r="F524">
        <v>521.91999999999996</v>
      </c>
      <c r="G524">
        <v>4001.33</v>
      </c>
    </row>
    <row r="525" spans="1:7" x14ac:dyDescent="0.35">
      <c r="A525" s="178" t="s">
        <v>925</v>
      </c>
      <c r="B525" s="178" t="s">
        <v>1430</v>
      </c>
      <c r="C525" s="178" t="s">
        <v>489</v>
      </c>
      <c r="D525" s="178" t="s">
        <v>63</v>
      </c>
      <c r="E525">
        <v>2516</v>
      </c>
      <c r="F525">
        <v>377.4</v>
      </c>
      <c r="G525">
        <v>2893.4</v>
      </c>
    </row>
    <row r="526" spans="1:7" x14ac:dyDescent="0.35">
      <c r="A526" s="178" t="s">
        <v>1431</v>
      </c>
      <c r="B526" s="178" t="s">
        <v>1432</v>
      </c>
      <c r="C526" s="178" t="s">
        <v>489</v>
      </c>
      <c r="D526" s="178" t="s">
        <v>63</v>
      </c>
      <c r="E526">
        <v>1642.6</v>
      </c>
      <c r="F526">
        <v>246.39</v>
      </c>
      <c r="G526">
        <v>1888.99</v>
      </c>
    </row>
    <row r="527" spans="1:7" x14ac:dyDescent="0.35">
      <c r="A527" s="178" t="s">
        <v>1433</v>
      </c>
      <c r="B527" s="178" t="s">
        <v>1434</v>
      </c>
      <c r="C527" s="178" t="s">
        <v>489</v>
      </c>
      <c r="D527" s="178" t="s">
        <v>1435</v>
      </c>
      <c r="E527">
        <v>3521.7</v>
      </c>
      <c r="F527">
        <v>528.26</v>
      </c>
      <c r="G527">
        <v>4049.96</v>
      </c>
    </row>
    <row r="528" spans="1:7" x14ac:dyDescent="0.35">
      <c r="A528" s="178" t="s">
        <v>901</v>
      </c>
      <c r="B528" s="178" t="s">
        <v>1436</v>
      </c>
      <c r="C528" s="178" t="s">
        <v>489</v>
      </c>
      <c r="D528" s="178" t="s">
        <v>63</v>
      </c>
      <c r="E528">
        <v>44312.4</v>
      </c>
      <c r="F528">
        <v>6646.86</v>
      </c>
      <c r="G528">
        <v>50959.26</v>
      </c>
    </row>
    <row r="529" spans="1:7" x14ac:dyDescent="0.35">
      <c r="A529" s="178" t="s">
        <v>1437</v>
      </c>
      <c r="B529" s="178" t="s">
        <v>1438</v>
      </c>
      <c r="C529" s="178" t="s">
        <v>489</v>
      </c>
      <c r="D529" s="178" t="s">
        <v>63</v>
      </c>
      <c r="E529">
        <v>18633.25</v>
      </c>
      <c r="F529">
        <v>2794.99</v>
      </c>
      <c r="G529">
        <v>21428.240000000002</v>
      </c>
    </row>
    <row r="530" spans="1:7" x14ac:dyDescent="0.35">
      <c r="A530" s="178" t="s">
        <v>749</v>
      </c>
      <c r="B530" s="178" t="s">
        <v>1439</v>
      </c>
      <c r="C530" s="178" t="s">
        <v>489</v>
      </c>
      <c r="D530" s="178" t="s">
        <v>63</v>
      </c>
      <c r="E530">
        <v>1510</v>
      </c>
      <c r="F530">
        <v>226.5</v>
      </c>
      <c r="G530">
        <v>1736.5</v>
      </c>
    </row>
    <row r="531" spans="1:7" x14ac:dyDescent="0.35">
      <c r="A531" s="178" t="s">
        <v>897</v>
      </c>
      <c r="B531" s="178" t="s">
        <v>1440</v>
      </c>
      <c r="C531" s="178" t="s">
        <v>489</v>
      </c>
      <c r="D531" s="178" t="s">
        <v>63</v>
      </c>
      <c r="E531">
        <v>2872</v>
      </c>
      <c r="F531">
        <v>430.8</v>
      </c>
      <c r="G531">
        <v>3302.8</v>
      </c>
    </row>
    <row r="532" spans="1:7" x14ac:dyDescent="0.35">
      <c r="A532" s="178" t="s">
        <v>938</v>
      </c>
      <c r="B532" s="178" t="s">
        <v>1441</v>
      </c>
      <c r="C532" s="178" t="s">
        <v>489</v>
      </c>
      <c r="D532" s="178" t="s">
        <v>63</v>
      </c>
      <c r="E532">
        <v>1100.8</v>
      </c>
      <c r="F532">
        <v>165.12</v>
      </c>
      <c r="G532">
        <v>1265.92</v>
      </c>
    </row>
    <row r="533" spans="1:7" x14ac:dyDescent="0.35">
      <c r="A533" s="178" t="s">
        <v>505</v>
      </c>
      <c r="B533" s="178" t="s">
        <v>1442</v>
      </c>
      <c r="C533" s="178" t="s">
        <v>489</v>
      </c>
      <c r="D533" s="178" t="s">
        <v>63</v>
      </c>
      <c r="E533">
        <v>3009.75</v>
      </c>
      <c r="F533">
        <v>451.46</v>
      </c>
      <c r="G533">
        <v>3461.21</v>
      </c>
    </row>
    <row r="534" spans="1:7" x14ac:dyDescent="0.35">
      <c r="A534" s="178" t="s">
        <v>1443</v>
      </c>
      <c r="B534" s="178" t="s">
        <v>1444</v>
      </c>
      <c r="C534" s="178" t="s">
        <v>489</v>
      </c>
      <c r="D534" s="178" t="s">
        <v>63</v>
      </c>
      <c r="E534">
        <v>1037.53</v>
      </c>
      <c r="F534">
        <v>155.63</v>
      </c>
      <c r="G534">
        <v>1193.1600000000001</v>
      </c>
    </row>
    <row r="535" spans="1:7" x14ac:dyDescent="0.35">
      <c r="A535" s="178" t="s">
        <v>1445</v>
      </c>
      <c r="B535" s="178" t="s">
        <v>1446</v>
      </c>
      <c r="C535" s="178" t="s">
        <v>489</v>
      </c>
      <c r="D535" s="178" t="s">
        <v>63</v>
      </c>
      <c r="E535">
        <v>868.6</v>
      </c>
      <c r="F535">
        <v>130.29</v>
      </c>
      <c r="G535">
        <v>998.89</v>
      </c>
    </row>
    <row r="536" spans="1:7" x14ac:dyDescent="0.35">
      <c r="A536" s="178" t="s">
        <v>1447</v>
      </c>
      <c r="B536" s="178" t="s">
        <v>1448</v>
      </c>
      <c r="C536" s="178" t="s">
        <v>489</v>
      </c>
      <c r="D536" s="178" t="s">
        <v>63</v>
      </c>
      <c r="E536">
        <v>13976.15</v>
      </c>
      <c r="F536">
        <v>2096.4299999999998</v>
      </c>
      <c r="G536">
        <v>16072.58</v>
      </c>
    </row>
    <row r="537" spans="1:7" x14ac:dyDescent="0.35">
      <c r="A537" s="178" t="s">
        <v>436</v>
      </c>
      <c r="B537" s="178" t="s">
        <v>1449</v>
      </c>
      <c r="C537" s="178" t="s">
        <v>489</v>
      </c>
      <c r="D537" s="178" t="s">
        <v>1450</v>
      </c>
      <c r="E537">
        <v>3242.75</v>
      </c>
      <c r="F537">
        <v>486.41</v>
      </c>
      <c r="G537">
        <v>3729.16</v>
      </c>
    </row>
    <row r="538" spans="1:7" x14ac:dyDescent="0.35">
      <c r="A538" s="178" t="s">
        <v>436</v>
      </c>
      <c r="B538" s="178" t="s">
        <v>1451</v>
      </c>
      <c r="C538" s="178" t="s">
        <v>489</v>
      </c>
      <c r="D538" s="178" t="s">
        <v>1450</v>
      </c>
      <c r="E538">
        <v>3451</v>
      </c>
      <c r="F538">
        <v>517.65</v>
      </c>
      <c r="G538">
        <v>3968.65</v>
      </c>
    </row>
    <row r="539" spans="1:7" x14ac:dyDescent="0.35">
      <c r="A539" s="178" t="s">
        <v>1452</v>
      </c>
      <c r="B539" s="178" t="s">
        <v>1453</v>
      </c>
      <c r="C539" s="178" t="s">
        <v>489</v>
      </c>
      <c r="D539" s="178" t="s">
        <v>63</v>
      </c>
      <c r="E539">
        <v>1530.8</v>
      </c>
      <c r="F539">
        <v>229.62</v>
      </c>
      <c r="G539">
        <v>1760.42</v>
      </c>
    </row>
    <row r="540" spans="1:7" x14ac:dyDescent="0.35">
      <c r="A540" s="178" t="s">
        <v>436</v>
      </c>
      <c r="B540" s="178" t="s">
        <v>1454</v>
      </c>
      <c r="C540" s="178" t="s">
        <v>489</v>
      </c>
      <c r="D540" s="178" t="s">
        <v>1455</v>
      </c>
      <c r="E540">
        <v>3220.7</v>
      </c>
      <c r="F540">
        <v>483.11</v>
      </c>
      <c r="G540">
        <v>3703.81</v>
      </c>
    </row>
    <row r="541" spans="1:7" x14ac:dyDescent="0.35">
      <c r="A541" s="178" t="s">
        <v>989</v>
      </c>
      <c r="B541" s="178" t="s">
        <v>1456</v>
      </c>
      <c r="C541" s="178" t="s">
        <v>489</v>
      </c>
      <c r="D541" s="178" t="s">
        <v>63</v>
      </c>
      <c r="E541">
        <v>1304.3</v>
      </c>
      <c r="F541">
        <v>195.65</v>
      </c>
      <c r="G541">
        <v>1499.95</v>
      </c>
    </row>
    <row r="542" spans="1:7" x14ac:dyDescent="0.35">
      <c r="A542" s="178" t="s">
        <v>684</v>
      </c>
      <c r="B542" s="178" t="s">
        <v>1457</v>
      </c>
      <c r="C542" s="178" t="s">
        <v>489</v>
      </c>
      <c r="D542" s="178" t="s">
        <v>63</v>
      </c>
      <c r="E542">
        <v>2495.71</v>
      </c>
      <c r="F542">
        <v>374.35</v>
      </c>
      <c r="G542">
        <v>2870.06</v>
      </c>
    </row>
    <row r="543" spans="1:7" x14ac:dyDescent="0.35">
      <c r="A543" s="178" t="s">
        <v>1458</v>
      </c>
      <c r="B543" s="178" t="s">
        <v>1459</v>
      </c>
      <c r="C543" s="178" t="s">
        <v>489</v>
      </c>
      <c r="D543" s="178" t="s">
        <v>1460</v>
      </c>
      <c r="E543">
        <v>7540.2</v>
      </c>
      <c r="F543">
        <v>1131.03</v>
      </c>
      <c r="G543">
        <v>8671.23</v>
      </c>
    </row>
    <row r="544" spans="1:7" x14ac:dyDescent="0.35">
      <c r="A544" s="178" t="s">
        <v>1461</v>
      </c>
      <c r="B544" s="178" t="s">
        <v>1462</v>
      </c>
      <c r="C544" s="178" t="s">
        <v>489</v>
      </c>
      <c r="D544" s="178" t="s">
        <v>63</v>
      </c>
      <c r="E544">
        <v>4054.55</v>
      </c>
      <c r="F544">
        <v>608.17999999999995</v>
      </c>
      <c r="G544">
        <v>4662.7299999999996</v>
      </c>
    </row>
    <row r="545" spans="1:7" x14ac:dyDescent="0.35">
      <c r="A545" s="178" t="s">
        <v>1463</v>
      </c>
      <c r="B545" s="178" t="s">
        <v>1464</v>
      </c>
      <c r="C545" s="178" t="s">
        <v>489</v>
      </c>
      <c r="D545" s="178" t="s">
        <v>63</v>
      </c>
      <c r="E545">
        <v>3029.5</v>
      </c>
      <c r="F545">
        <v>454.43</v>
      </c>
      <c r="G545">
        <v>3483.93</v>
      </c>
    </row>
    <row r="546" spans="1:7" x14ac:dyDescent="0.35">
      <c r="A546" s="178" t="s">
        <v>1465</v>
      </c>
      <c r="B546" s="178" t="s">
        <v>1466</v>
      </c>
      <c r="C546" s="178" t="s">
        <v>489</v>
      </c>
      <c r="D546" s="178" t="s">
        <v>63</v>
      </c>
      <c r="E546">
        <v>1097.5999999999999</v>
      </c>
      <c r="F546">
        <v>164.64</v>
      </c>
      <c r="G546">
        <v>1262.24</v>
      </c>
    </row>
    <row r="547" spans="1:7" x14ac:dyDescent="0.35">
      <c r="A547" s="178" t="s">
        <v>495</v>
      </c>
      <c r="B547" s="178" t="s">
        <v>1467</v>
      </c>
      <c r="C547" s="178" t="s">
        <v>489</v>
      </c>
      <c r="D547" s="178" t="s">
        <v>1468</v>
      </c>
      <c r="E547">
        <v>1341.6</v>
      </c>
      <c r="F547">
        <v>201.24</v>
      </c>
      <c r="G547">
        <v>1542.84</v>
      </c>
    </row>
    <row r="548" spans="1:7" x14ac:dyDescent="0.35">
      <c r="A548" s="178" t="s">
        <v>602</v>
      </c>
      <c r="B548" s="178" t="s">
        <v>1469</v>
      </c>
      <c r="C548" s="178" t="s">
        <v>489</v>
      </c>
      <c r="D548" s="178" t="s">
        <v>63</v>
      </c>
      <c r="E548">
        <v>8497.9</v>
      </c>
      <c r="F548">
        <v>1274.69</v>
      </c>
      <c r="G548">
        <v>9772.59</v>
      </c>
    </row>
    <row r="549" spans="1:7" x14ac:dyDescent="0.35">
      <c r="A549" s="178" t="s">
        <v>436</v>
      </c>
      <c r="B549" s="178" t="s">
        <v>1470</v>
      </c>
      <c r="C549" s="178" t="s">
        <v>489</v>
      </c>
      <c r="D549" s="178" t="s">
        <v>1471</v>
      </c>
      <c r="E549">
        <v>1681.3</v>
      </c>
      <c r="F549">
        <v>252.2</v>
      </c>
      <c r="G549">
        <v>1933.5</v>
      </c>
    </row>
    <row r="550" spans="1:7" x14ac:dyDescent="0.35">
      <c r="A550" s="178" t="s">
        <v>436</v>
      </c>
      <c r="B550" s="178" t="s">
        <v>1472</v>
      </c>
      <c r="C550" s="178" t="s">
        <v>489</v>
      </c>
      <c r="D550" s="178" t="s">
        <v>1473</v>
      </c>
      <c r="E550">
        <v>881.5</v>
      </c>
      <c r="F550">
        <v>132.22999999999999</v>
      </c>
      <c r="G550">
        <v>1013.73</v>
      </c>
    </row>
    <row r="551" spans="1:7" x14ac:dyDescent="0.35">
      <c r="A551" s="178" t="s">
        <v>889</v>
      </c>
      <c r="B551" s="178" t="s">
        <v>1474</v>
      </c>
      <c r="C551" s="178" t="s">
        <v>489</v>
      </c>
      <c r="D551" s="178" t="s">
        <v>63</v>
      </c>
      <c r="E551">
        <v>762.6</v>
      </c>
      <c r="F551">
        <v>114.39</v>
      </c>
      <c r="G551">
        <v>876.99</v>
      </c>
    </row>
    <row r="552" spans="1:7" x14ac:dyDescent="0.35">
      <c r="A552" s="178" t="s">
        <v>1267</v>
      </c>
      <c r="B552" s="178" t="s">
        <v>1475</v>
      </c>
      <c r="C552" s="178" t="s">
        <v>489</v>
      </c>
      <c r="D552" s="178" t="s">
        <v>63</v>
      </c>
      <c r="E552">
        <v>1401.6</v>
      </c>
      <c r="F552">
        <v>210.24</v>
      </c>
      <c r="G552">
        <v>1611.84</v>
      </c>
    </row>
    <row r="553" spans="1:7" x14ac:dyDescent="0.35">
      <c r="A553" s="178" t="s">
        <v>1476</v>
      </c>
      <c r="B553" s="178" t="s">
        <v>1477</v>
      </c>
      <c r="C553" s="178" t="s">
        <v>489</v>
      </c>
      <c r="D553" s="178" t="s">
        <v>63</v>
      </c>
      <c r="E553">
        <v>3499.2</v>
      </c>
      <c r="F553">
        <v>524.88</v>
      </c>
      <c r="G553">
        <v>4024.08</v>
      </c>
    </row>
    <row r="554" spans="1:7" x14ac:dyDescent="0.35">
      <c r="A554" s="178" t="s">
        <v>436</v>
      </c>
      <c r="B554" s="178" t="s">
        <v>1478</v>
      </c>
      <c r="C554" s="178" t="s">
        <v>489</v>
      </c>
      <c r="D554" s="178" t="s">
        <v>1479</v>
      </c>
      <c r="E554">
        <v>1720</v>
      </c>
      <c r="F554">
        <v>258</v>
      </c>
      <c r="G554">
        <v>1978</v>
      </c>
    </row>
    <row r="555" spans="1:7" x14ac:dyDescent="0.35">
      <c r="A555" s="178" t="s">
        <v>897</v>
      </c>
      <c r="B555" s="178" t="s">
        <v>1480</v>
      </c>
      <c r="C555" s="178" t="s">
        <v>489</v>
      </c>
      <c r="D555" s="178" t="s">
        <v>63</v>
      </c>
      <c r="E555">
        <v>15753.5</v>
      </c>
      <c r="F555">
        <v>2363.0300000000002</v>
      </c>
      <c r="G555">
        <v>18116.53</v>
      </c>
    </row>
    <row r="556" spans="1:7" x14ac:dyDescent="0.35">
      <c r="A556" s="178" t="s">
        <v>1026</v>
      </c>
      <c r="B556" s="178" t="s">
        <v>1481</v>
      </c>
      <c r="C556" s="178" t="s">
        <v>489</v>
      </c>
      <c r="D556" s="178" t="s">
        <v>63</v>
      </c>
      <c r="E556">
        <v>13111.2</v>
      </c>
      <c r="F556">
        <v>1966.68</v>
      </c>
      <c r="G556">
        <v>15077.88</v>
      </c>
    </row>
    <row r="557" spans="1:7" x14ac:dyDescent="0.35">
      <c r="A557" s="178" t="s">
        <v>1055</v>
      </c>
      <c r="B557" s="178" t="s">
        <v>1482</v>
      </c>
      <c r="C557" s="178" t="s">
        <v>489</v>
      </c>
      <c r="D557" s="178" t="s">
        <v>63</v>
      </c>
      <c r="E557">
        <v>3149.85</v>
      </c>
      <c r="F557">
        <v>472.48</v>
      </c>
      <c r="G557">
        <v>3622.33</v>
      </c>
    </row>
    <row r="558" spans="1:7" x14ac:dyDescent="0.35">
      <c r="A558" s="178" t="s">
        <v>1402</v>
      </c>
      <c r="B558" s="178" t="s">
        <v>1483</v>
      </c>
      <c r="C558" s="178" t="s">
        <v>489</v>
      </c>
      <c r="D558" s="178" t="s">
        <v>63</v>
      </c>
      <c r="E558">
        <v>904.4</v>
      </c>
      <c r="F558">
        <v>135.66</v>
      </c>
      <c r="G558">
        <v>1040.06</v>
      </c>
    </row>
    <row r="559" spans="1:7" x14ac:dyDescent="0.35">
      <c r="A559" s="178" t="s">
        <v>634</v>
      </c>
      <c r="B559" s="178" t="s">
        <v>1484</v>
      </c>
      <c r="C559" s="178" t="s">
        <v>489</v>
      </c>
      <c r="D559" s="178" t="s">
        <v>63</v>
      </c>
      <c r="E559">
        <v>655</v>
      </c>
      <c r="F559">
        <v>98.26</v>
      </c>
      <c r="G559">
        <v>753.26</v>
      </c>
    </row>
    <row r="560" spans="1:7" x14ac:dyDescent="0.35">
      <c r="A560" s="178" t="s">
        <v>617</v>
      </c>
      <c r="B560" s="178" t="s">
        <v>1485</v>
      </c>
      <c r="C560" s="178" t="s">
        <v>489</v>
      </c>
      <c r="D560" s="178" t="s">
        <v>63</v>
      </c>
      <c r="E560">
        <v>1485.7</v>
      </c>
      <c r="F560">
        <v>222.86</v>
      </c>
      <c r="G560">
        <v>1708.56</v>
      </c>
    </row>
    <row r="561" spans="1:7" x14ac:dyDescent="0.35">
      <c r="A561" s="178" t="s">
        <v>1486</v>
      </c>
      <c r="B561" s="178" t="s">
        <v>1487</v>
      </c>
      <c r="C561" s="178" t="s">
        <v>489</v>
      </c>
      <c r="D561" s="178" t="s">
        <v>1488</v>
      </c>
      <c r="E561">
        <v>2505.6</v>
      </c>
      <c r="F561">
        <v>375.84</v>
      </c>
      <c r="G561">
        <v>2881.44</v>
      </c>
    </row>
    <row r="562" spans="1:7" x14ac:dyDescent="0.35">
      <c r="A562" s="178" t="s">
        <v>861</v>
      </c>
      <c r="B562" s="178" t="s">
        <v>1489</v>
      </c>
      <c r="C562" s="178" t="s">
        <v>489</v>
      </c>
      <c r="D562" s="178" t="s">
        <v>63</v>
      </c>
      <c r="E562">
        <v>2429.5</v>
      </c>
      <c r="F562">
        <v>364.43</v>
      </c>
      <c r="G562">
        <v>2793.93</v>
      </c>
    </row>
    <row r="563" spans="1:7" x14ac:dyDescent="0.35">
      <c r="A563" s="178" t="s">
        <v>1490</v>
      </c>
      <c r="B563" s="178" t="s">
        <v>1491</v>
      </c>
      <c r="C563" s="178" t="s">
        <v>489</v>
      </c>
      <c r="D563" s="178" t="s">
        <v>63</v>
      </c>
      <c r="E563">
        <v>1751.3</v>
      </c>
      <c r="F563">
        <v>262.7</v>
      </c>
      <c r="G563">
        <v>2014</v>
      </c>
    </row>
    <row r="564" spans="1:7" x14ac:dyDescent="0.35">
      <c r="A564" s="178" t="s">
        <v>1492</v>
      </c>
      <c r="B564" s="178" t="s">
        <v>1493</v>
      </c>
      <c r="C564" s="178" t="s">
        <v>489</v>
      </c>
      <c r="D564" s="178" t="s">
        <v>63</v>
      </c>
      <c r="E564">
        <v>1209.5999999999999</v>
      </c>
      <c r="F564">
        <v>181.44</v>
      </c>
      <c r="G564">
        <v>1391.04</v>
      </c>
    </row>
    <row r="565" spans="1:7" x14ac:dyDescent="0.35">
      <c r="A565" s="178" t="s">
        <v>1494</v>
      </c>
      <c r="B565" s="178" t="s">
        <v>1495</v>
      </c>
      <c r="C565" s="178" t="s">
        <v>489</v>
      </c>
      <c r="D565" s="178" t="s">
        <v>63</v>
      </c>
      <c r="E565">
        <v>8013.6</v>
      </c>
      <c r="F565">
        <v>1202.04</v>
      </c>
      <c r="G565">
        <v>9215.64</v>
      </c>
    </row>
    <row r="566" spans="1:7" x14ac:dyDescent="0.35">
      <c r="A566" s="178" t="s">
        <v>691</v>
      </c>
      <c r="B566" s="178" t="s">
        <v>1496</v>
      </c>
      <c r="C566" s="178" t="s">
        <v>489</v>
      </c>
      <c r="D566" s="178" t="s">
        <v>63</v>
      </c>
      <c r="E566">
        <v>2854.55</v>
      </c>
      <c r="F566">
        <v>428.19</v>
      </c>
      <c r="G566">
        <v>3282.74</v>
      </c>
    </row>
    <row r="567" spans="1:7" x14ac:dyDescent="0.35">
      <c r="A567" s="178" t="s">
        <v>541</v>
      </c>
      <c r="B567" s="178" t="s">
        <v>1497</v>
      </c>
      <c r="C567" s="178" t="s">
        <v>503</v>
      </c>
      <c r="D567" s="178" t="s">
        <v>63</v>
      </c>
      <c r="E567">
        <v>3008.3</v>
      </c>
      <c r="F567">
        <v>451.25</v>
      </c>
      <c r="G567">
        <v>3459.55</v>
      </c>
    </row>
    <row r="568" spans="1:7" x14ac:dyDescent="0.35">
      <c r="A568" s="178" t="s">
        <v>487</v>
      </c>
      <c r="B568" s="178" t="s">
        <v>1498</v>
      </c>
      <c r="C568" s="178" t="s">
        <v>503</v>
      </c>
      <c r="D568" s="178" t="s">
        <v>63</v>
      </c>
      <c r="E568">
        <v>834.2</v>
      </c>
      <c r="F568">
        <v>125.13</v>
      </c>
      <c r="G568">
        <v>959.33</v>
      </c>
    </row>
    <row r="569" spans="1:7" x14ac:dyDescent="0.35">
      <c r="A569" s="178" t="s">
        <v>1499</v>
      </c>
      <c r="B569" s="178" t="s">
        <v>1500</v>
      </c>
      <c r="C569" s="178" t="s">
        <v>503</v>
      </c>
      <c r="D569" s="178" t="s">
        <v>63</v>
      </c>
      <c r="E569">
        <v>3831.5</v>
      </c>
      <c r="F569">
        <v>574.73</v>
      </c>
      <c r="G569">
        <v>4406.2299999999996</v>
      </c>
    </row>
    <row r="570" spans="1:7" x14ac:dyDescent="0.35">
      <c r="A570" s="178" t="s">
        <v>756</v>
      </c>
      <c r="B570" s="178" t="s">
        <v>1501</v>
      </c>
      <c r="C570" s="178" t="s">
        <v>503</v>
      </c>
      <c r="D570" s="178" t="s">
        <v>63</v>
      </c>
      <c r="E570">
        <v>7488</v>
      </c>
      <c r="F570">
        <v>1123.2</v>
      </c>
      <c r="G570">
        <v>8611.2000000000007</v>
      </c>
    </row>
    <row r="571" spans="1:7" x14ac:dyDescent="0.35">
      <c r="A571" s="178" t="s">
        <v>1502</v>
      </c>
      <c r="B571" s="178" t="s">
        <v>1503</v>
      </c>
      <c r="C571" s="178" t="s">
        <v>503</v>
      </c>
      <c r="D571" s="178" t="s">
        <v>63</v>
      </c>
      <c r="E571">
        <v>1353</v>
      </c>
      <c r="F571">
        <v>202.95</v>
      </c>
      <c r="G571">
        <v>1555.95</v>
      </c>
    </row>
    <row r="572" spans="1:7" x14ac:dyDescent="0.35">
      <c r="A572" s="178" t="s">
        <v>758</v>
      </c>
      <c r="B572" s="178" t="s">
        <v>1504</v>
      </c>
      <c r="C572" s="178" t="s">
        <v>503</v>
      </c>
      <c r="D572" s="178" t="s">
        <v>760</v>
      </c>
      <c r="E572">
        <v>2300</v>
      </c>
      <c r="F572">
        <v>345</v>
      </c>
      <c r="G572">
        <v>2645</v>
      </c>
    </row>
    <row r="573" spans="1:7" x14ac:dyDescent="0.35">
      <c r="A573" s="178" t="s">
        <v>522</v>
      </c>
      <c r="B573" s="178" t="s">
        <v>1505</v>
      </c>
      <c r="C573" s="178" t="s">
        <v>503</v>
      </c>
      <c r="D573" s="178" t="s">
        <v>63</v>
      </c>
      <c r="E573">
        <v>9184.25</v>
      </c>
      <c r="F573">
        <v>1377.65</v>
      </c>
      <c r="G573">
        <v>10561.9</v>
      </c>
    </row>
    <row r="574" spans="1:7" x14ac:dyDescent="0.35">
      <c r="A574" s="178" t="s">
        <v>1506</v>
      </c>
      <c r="B574" s="178" t="s">
        <v>1507</v>
      </c>
      <c r="C574" s="178" t="s">
        <v>503</v>
      </c>
      <c r="D574" s="178" t="s">
        <v>63</v>
      </c>
      <c r="E574">
        <v>11092.6</v>
      </c>
      <c r="F574">
        <v>1663.9</v>
      </c>
      <c r="G574">
        <v>12756.5</v>
      </c>
    </row>
    <row r="575" spans="1:7" x14ac:dyDescent="0.35">
      <c r="A575" s="178" t="s">
        <v>1508</v>
      </c>
      <c r="B575" s="178" t="s">
        <v>1509</v>
      </c>
      <c r="C575" s="178" t="s">
        <v>503</v>
      </c>
      <c r="D575" s="178" t="s">
        <v>1510</v>
      </c>
      <c r="E575">
        <v>6189.3</v>
      </c>
      <c r="F575">
        <v>928.4</v>
      </c>
      <c r="G575">
        <v>7117.7</v>
      </c>
    </row>
    <row r="576" spans="1:7" x14ac:dyDescent="0.35">
      <c r="A576" s="178" t="s">
        <v>623</v>
      </c>
      <c r="B576" s="178" t="s">
        <v>1511</v>
      </c>
      <c r="C576" s="178" t="s">
        <v>503</v>
      </c>
      <c r="D576" s="178" t="s">
        <v>1512</v>
      </c>
      <c r="E576">
        <v>79976.3</v>
      </c>
      <c r="F576">
        <v>11996.45</v>
      </c>
      <c r="G576">
        <v>91972.75</v>
      </c>
    </row>
    <row r="577" spans="1:7" x14ac:dyDescent="0.35">
      <c r="A577" s="178" t="s">
        <v>1513</v>
      </c>
      <c r="B577" s="178" t="s">
        <v>1514</v>
      </c>
      <c r="C577" s="178" t="s">
        <v>503</v>
      </c>
      <c r="D577" s="178" t="s">
        <v>1515</v>
      </c>
      <c r="E577">
        <v>43497.5</v>
      </c>
      <c r="F577">
        <v>6524.64</v>
      </c>
      <c r="G577">
        <v>50022.14</v>
      </c>
    </row>
    <row r="578" spans="1:7" x14ac:dyDescent="0.35">
      <c r="A578" s="178" t="s">
        <v>1516</v>
      </c>
      <c r="B578" s="178" t="s">
        <v>1517</v>
      </c>
      <c r="C578" s="178" t="s">
        <v>503</v>
      </c>
      <c r="D578" s="178" t="s">
        <v>1518</v>
      </c>
      <c r="E578">
        <v>1783.6</v>
      </c>
      <c r="F578">
        <v>267.54000000000002</v>
      </c>
      <c r="G578">
        <v>2051.14</v>
      </c>
    </row>
    <row r="579" spans="1:7" x14ac:dyDescent="0.35">
      <c r="A579" s="178" t="s">
        <v>623</v>
      </c>
      <c r="B579" s="178" t="s">
        <v>1519</v>
      </c>
      <c r="C579" s="178" t="s">
        <v>503</v>
      </c>
      <c r="D579" s="178" t="s">
        <v>1520</v>
      </c>
      <c r="E579">
        <v>9998.4</v>
      </c>
      <c r="F579">
        <v>1499.76</v>
      </c>
      <c r="G579">
        <v>11498.16</v>
      </c>
    </row>
    <row r="580" spans="1:7" x14ac:dyDescent="0.35">
      <c r="A580" s="178" t="s">
        <v>623</v>
      </c>
      <c r="B580" s="178" t="s">
        <v>1521</v>
      </c>
      <c r="C580" s="178" t="s">
        <v>503</v>
      </c>
      <c r="D580" s="178" t="s">
        <v>1522</v>
      </c>
      <c r="E580">
        <v>5385.6</v>
      </c>
      <c r="F580">
        <v>807.84</v>
      </c>
      <c r="G580">
        <v>6193.44</v>
      </c>
    </row>
    <row r="581" spans="1:7" x14ac:dyDescent="0.35">
      <c r="A581" s="178" t="s">
        <v>623</v>
      </c>
      <c r="B581" s="178" t="s">
        <v>1523</v>
      </c>
      <c r="C581" s="178" t="s">
        <v>503</v>
      </c>
      <c r="D581" s="178" t="s">
        <v>1524</v>
      </c>
      <c r="E581">
        <v>7992</v>
      </c>
      <c r="F581">
        <v>1198.8</v>
      </c>
      <c r="G581">
        <v>9190.7999999999993</v>
      </c>
    </row>
    <row r="582" spans="1:7" x14ac:dyDescent="0.35">
      <c r="A582" s="178" t="s">
        <v>548</v>
      </c>
      <c r="B582" s="178" t="s">
        <v>1525</v>
      </c>
      <c r="C582" s="178" t="s">
        <v>503</v>
      </c>
      <c r="D582" s="178" t="s">
        <v>63</v>
      </c>
      <c r="E582">
        <v>3100.35</v>
      </c>
      <c r="F582">
        <v>465.06</v>
      </c>
      <c r="G582">
        <v>3565.41</v>
      </c>
    </row>
    <row r="583" spans="1:7" x14ac:dyDescent="0.35">
      <c r="A583" s="178" t="s">
        <v>656</v>
      </c>
      <c r="B583" s="178" t="s">
        <v>1526</v>
      </c>
      <c r="C583" s="178" t="s">
        <v>503</v>
      </c>
      <c r="D583" s="178" t="s">
        <v>63</v>
      </c>
      <c r="E583">
        <v>1826</v>
      </c>
      <c r="F583">
        <v>273.89999999999998</v>
      </c>
      <c r="G583">
        <v>2099.9</v>
      </c>
    </row>
    <row r="584" spans="1:7" x14ac:dyDescent="0.35">
      <c r="A584" s="178" t="s">
        <v>791</v>
      </c>
      <c r="B584" s="178" t="s">
        <v>1527</v>
      </c>
      <c r="C584" s="178" t="s">
        <v>503</v>
      </c>
      <c r="D584" s="178" t="s">
        <v>1528</v>
      </c>
      <c r="E584">
        <v>4178.3999999999996</v>
      </c>
      <c r="F584">
        <v>626.76</v>
      </c>
      <c r="G584">
        <v>4805.16</v>
      </c>
    </row>
    <row r="585" spans="1:7" x14ac:dyDescent="0.35">
      <c r="A585" s="178" t="s">
        <v>623</v>
      </c>
      <c r="B585" s="178" t="s">
        <v>1529</v>
      </c>
      <c r="C585" s="178" t="s">
        <v>503</v>
      </c>
      <c r="D585" s="178" t="s">
        <v>63</v>
      </c>
      <c r="E585">
        <v>3102</v>
      </c>
      <c r="F585">
        <v>465.3</v>
      </c>
      <c r="G585">
        <v>3567.3</v>
      </c>
    </row>
    <row r="586" spans="1:7" x14ac:dyDescent="0.35">
      <c r="A586" s="178" t="s">
        <v>1194</v>
      </c>
      <c r="B586" s="178" t="s">
        <v>1530</v>
      </c>
      <c r="C586" s="178" t="s">
        <v>503</v>
      </c>
      <c r="D586" s="178" t="s">
        <v>63</v>
      </c>
      <c r="E586">
        <v>20991.05</v>
      </c>
      <c r="F586">
        <v>3148.66</v>
      </c>
      <c r="G586">
        <v>24139.71</v>
      </c>
    </row>
    <row r="587" spans="1:7" x14ac:dyDescent="0.35">
      <c r="A587" s="178" t="s">
        <v>1531</v>
      </c>
      <c r="B587" s="178" t="s">
        <v>1532</v>
      </c>
      <c r="C587" s="178" t="s">
        <v>503</v>
      </c>
      <c r="D587" s="178" t="s">
        <v>63</v>
      </c>
      <c r="E587">
        <v>10463.75</v>
      </c>
      <c r="F587">
        <v>1569.56</v>
      </c>
      <c r="G587">
        <v>12033.31</v>
      </c>
    </row>
    <row r="588" spans="1:7" x14ac:dyDescent="0.35">
      <c r="A588" s="178" t="s">
        <v>466</v>
      </c>
      <c r="B588" s="178" t="s">
        <v>1533</v>
      </c>
      <c r="C588" s="178" t="s">
        <v>503</v>
      </c>
      <c r="D588" s="178" t="s">
        <v>63</v>
      </c>
      <c r="E588">
        <v>2887.4</v>
      </c>
      <c r="F588">
        <v>433.11</v>
      </c>
      <c r="G588">
        <v>3320.51</v>
      </c>
    </row>
    <row r="589" spans="1:7" x14ac:dyDescent="0.35">
      <c r="A589" s="178" t="s">
        <v>1534</v>
      </c>
      <c r="B589" s="178" t="s">
        <v>1535</v>
      </c>
      <c r="C589" s="178" t="s">
        <v>503</v>
      </c>
      <c r="D589" s="178" t="s">
        <v>63</v>
      </c>
      <c r="E589">
        <v>1636.2</v>
      </c>
      <c r="F589">
        <v>245.43</v>
      </c>
      <c r="G589">
        <v>1881.63</v>
      </c>
    </row>
    <row r="590" spans="1:7" x14ac:dyDescent="0.35">
      <c r="A590" s="178" t="s">
        <v>1402</v>
      </c>
      <c r="B590" s="178" t="s">
        <v>1536</v>
      </c>
      <c r="C590" s="178" t="s">
        <v>503</v>
      </c>
      <c r="D590" s="178" t="s">
        <v>63</v>
      </c>
      <c r="E590">
        <v>3380.7</v>
      </c>
      <c r="F590">
        <v>507.11</v>
      </c>
      <c r="G590">
        <v>3887.81</v>
      </c>
    </row>
    <row r="591" spans="1:7" x14ac:dyDescent="0.35">
      <c r="A591" s="178" t="s">
        <v>772</v>
      </c>
      <c r="B591" s="178" t="s">
        <v>1537</v>
      </c>
      <c r="C591" s="178" t="s">
        <v>503</v>
      </c>
      <c r="D591" s="178" t="s">
        <v>63</v>
      </c>
      <c r="E591">
        <v>1581</v>
      </c>
      <c r="F591">
        <v>237.15</v>
      </c>
      <c r="G591">
        <v>1818.15</v>
      </c>
    </row>
    <row r="592" spans="1:7" x14ac:dyDescent="0.35">
      <c r="A592" s="178" t="s">
        <v>1538</v>
      </c>
      <c r="B592" s="178" t="s">
        <v>1539</v>
      </c>
      <c r="C592" s="178" t="s">
        <v>503</v>
      </c>
      <c r="D592" s="178" t="s">
        <v>63</v>
      </c>
      <c r="E592">
        <v>11434.7</v>
      </c>
      <c r="F592">
        <v>1715.21</v>
      </c>
      <c r="G592">
        <v>13149.91</v>
      </c>
    </row>
    <row r="593" spans="1:7" x14ac:dyDescent="0.35">
      <c r="A593" s="178" t="s">
        <v>859</v>
      </c>
      <c r="B593" s="178" t="s">
        <v>1540</v>
      </c>
      <c r="C593" s="178" t="s">
        <v>503</v>
      </c>
      <c r="D593" s="178" t="s">
        <v>63</v>
      </c>
      <c r="E593">
        <v>1842.8</v>
      </c>
      <c r="F593">
        <v>276.42</v>
      </c>
      <c r="G593">
        <v>2119.2199999999998</v>
      </c>
    </row>
    <row r="594" spans="1:7" x14ac:dyDescent="0.35">
      <c r="A594" s="178" t="s">
        <v>522</v>
      </c>
      <c r="B594" s="178" t="s">
        <v>1541</v>
      </c>
      <c r="C594" s="178" t="s">
        <v>503</v>
      </c>
      <c r="D594" s="178" t="s">
        <v>63</v>
      </c>
      <c r="E594">
        <v>1746.75</v>
      </c>
      <c r="F594">
        <v>262.01</v>
      </c>
      <c r="G594">
        <v>2008.76</v>
      </c>
    </row>
    <row r="595" spans="1:7" x14ac:dyDescent="0.35">
      <c r="A595" s="178" t="s">
        <v>1542</v>
      </c>
      <c r="B595" s="178" t="s">
        <v>1543</v>
      </c>
      <c r="C595" s="178" t="s">
        <v>503</v>
      </c>
      <c r="D595" s="178" t="s">
        <v>63</v>
      </c>
      <c r="E595">
        <v>7303.4</v>
      </c>
      <c r="F595">
        <v>1095.52</v>
      </c>
      <c r="G595">
        <v>8398.92</v>
      </c>
    </row>
    <row r="596" spans="1:7" x14ac:dyDescent="0.35">
      <c r="A596" s="178" t="s">
        <v>933</v>
      </c>
      <c r="B596" s="178" t="s">
        <v>1544</v>
      </c>
      <c r="C596" s="178" t="s">
        <v>503</v>
      </c>
      <c r="D596" s="178" t="s">
        <v>935</v>
      </c>
      <c r="E596">
        <v>2342.1</v>
      </c>
      <c r="F596">
        <v>351.32</v>
      </c>
      <c r="G596">
        <v>2693.42</v>
      </c>
    </row>
    <row r="597" spans="1:7" x14ac:dyDescent="0.35">
      <c r="A597" s="178" t="s">
        <v>968</v>
      </c>
      <c r="B597" s="178" t="s">
        <v>1545</v>
      </c>
      <c r="C597" s="178" t="s">
        <v>503</v>
      </c>
      <c r="D597" s="178" t="s">
        <v>63</v>
      </c>
      <c r="E597">
        <v>3847.5</v>
      </c>
      <c r="F597">
        <v>577.13</v>
      </c>
      <c r="G597">
        <v>4424.63</v>
      </c>
    </row>
    <row r="598" spans="1:7" x14ac:dyDescent="0.35">
      <c r="A598" s="178" t="s">
        <v>1546</v>
      </c>
      <c r="B598" s="178" t="s">
        <v>1547</v>
      </c>
      <c r="C598" s="178" t="s">
        <v>503</v>
      </c>
      <c r="D598" s="178" t="s">
        <v>63</v>
      </c>
      <c r="E598">
        <v>11331.7</v>
      </c>
      <c r="F598">
        <v>1699.75</v>
      </c>
      <c r="G598">
        <v>13031.45</v>
      </c>
    </row>
    <row r="599" spans="1:7" x14ac:dyDescent="0.35">
      <c r="A599" s="178" t="s">
        <v>463</v>
      </c>
      <c r="B599" s="178" t="s">
        <v>1548</v>
      </c>
      <c r="C599" s="178" t="s">
        <v>503</v>
      </c>
      <c r="D599" s="178" t="s">
        <v>63</v>
      </c>
      <c r="E599">
        <v>3598.6</v>
      </c>
      <c r="F599">
        <v>539.79</v>
      </c>
      <c r="G599">
        <v>4138.3900000000003</v>
      </c>
    </row>
    <row r="600" spans="1:7" x14ac:dyDescent="0.35">
      <c r="A600" s="178" t="s">
        <v>1549</v>
      </c>
      <c r="B600" s="178" t="s">
        <v>1550</v>
      </c>
      <c r="C600" s="178" t="s">
        <v>503</v>
      </c>
      <c r="D600" s="178" t="s">
        <v>63</v>
      </c>
      <c r="E600">
        <v>4857.3999999999996</v>
      </c>
      <c r="F600">
        <v>728.61</v>
      </c>
      <c r="G600">
        <v>5586.01</v>
      </c>
    </row>
    <row r="601" spans="1:7" x14ac:dyDescent="0.35">
      <c r="A601" s="178" t="s">
        <v>764</v>
      </c>
      <c r="B601" s="178" t="s">
        <v>1551</v>
      </c>
      <c r="C601" s="178" t="s">
        <v>503</v>
      </c>
      <c r="D601" s="178" t="s">
        <v>63</v>
      </c>
      <c r="E601">
        <v>1372.5</v>
      </c>
      <c r="F601">
        <v>205.88</v>
      </c>
      <c r="G601">
        <v>1578.38</v>
      </c>
    </row>
    <row r="602" spans="1:7" x14ac:dyDescent="0.35">
      <c r="A602" s="178" t="s">
        <v>907</v>
      </c>
      <c r="B602" s="178" t="s">
        <v>1552</v>
      </c>
      <c r="C602" s="178" t="s">
        <v>503</v>
      </c>
      <c r="D602" s="178" t="s">
        <v>63</v>
      </c>
      <c r="E602">
        <v>8534</v>
      </c>
      <c r="F602">
        <v>1280.1099999999999</v>
      </c>
      <c r="G602">
        <v>9814.11</v>
      </c>
    </row>
    <row r="603" spans="1:7" x14ac:dyDescent="0.35">
      <c r="A603" s="178" t="s">
        <v>568</v>
      </c>
      <c r="B603" s="178" t="s">
        <v>1553</v>
      </c>
      <c r="C603" s="178" t="s">
        <v>503</v>
      </c>
      <c r="D603" s="178" t="s">
        <v>63</v>
      </c>
      <c r="E603">
        <v>1182.75</v>
      </c>
      <c r="F603">
        <v>177.41</v>
      </c>
      <c r="G603">
        <v>1360.16</v>
      </c>
    </row>
    <row r="604" spans="1:7" x14ac:dyDescent="0.35">
      <c r="A604" s="178" t="s">
        <v>1554</v>
      </c>
      <c r="B604" s="178" t="s">
        <v>1555</v>
      </c>
      <c r="C604" s="178" t="s">
        <v>503</v>
      </c>
      <c r="D604" s="178" t="s">
        <v>1556</v>
      </c>
      <c r="E604">
        <v>2590</v>
      </c>
      <c r="F604">
        <v>388.5</v>
      </c>
      <c r="G604">
        <v>2978.5</v>
      </c>
    </row>
    <row r="605" spans="1:7" x14ac:dyDescent="0.35">
      <c r="A605" s="178" t="s">
        <v>1557</v>
      </c>
      <c r="B605" s="178" t="s">
        <v>1558</v>
      </c>
      <c r="C605" s="178" t="s">
        <v>503</v>
      </c>
      <c r="D605" s="178" t="s">
        <v>63</v>
      </c>
      <c r="E605">
        <v>2700.4</v>
      </c>
      <c r="F605">
        <v>405.06</v>
      </c>
      <c r="G605">
        <v>3105.46</v>
      </c>
    </row>
    <row r="606" spans="1:7" x14ac:dyDescent="0.35">
      <c r="A606" s="178" t="s">
        <v>1559</v>
      </c>
      <c r="B606" s="178" t="s">
        <v>1560</v>
      </c>
      <c r="C606" s="178" t="s">
        <v>503</v>
      </c>
      <c r="D606" s="178" t="s">
        <v>63</v>
      </c>
      <c r="E606">
        <v>5294.7</v>
      </c>
      <c r="F606">
        <v>794.21</v>
      </c>
      <c r="G606">
        <v>6088.91</v>
      </c>
    </row>
    <row r="607" spans="1:7" x14ac:dyDescent="0.35">
      <c r="A607" s="178" t="s">
        <v>950</v>
      </c>
      <c r="B607" s="178" t="s">
        <v>1561</v>
      </c>
      <c r="C607" s="178" t="s">
        <v>503</v>
      </c>
      <c r="D607" s="178" t="s">
        <v>63</v>
      </c>
      <c r="E607">
        <v>540</v>
      </c>
      <c r="F607">
        <v>81</v>
      </c>
      <c r="G607">
        <v>621</v>
      </c>
    </row>
    <row r="608" spans="1:7" x14ac:dyDescent="0.35">
      <c r="A608" s="178" t="s">
        <v>1562</v>
      </c>
      <c r="B608" s="178" t="s">
        <v>1563</v>
      </c>
      <c r="C608" s="178" t="s">
        <v>503</v>
      </c>
      <c r="D608" s="178" t="s">
        <v>63</v>
      </c>
      <c r="E608">
        <v>729</v>
      </c>
      <c r="F608">
        <v>109.35</v>
      </c>
      <c r="G608">
        <v>838.35</v>
      </c>
    </row>
    <row r="609" spans="1:7" x14ac:dyDescent="0.35">
      <c r="A609" s="178" t="s">
        <v>1564</v>
      </c>
      <c r="B609" s="178" t="s">
        <v>1565</v>
      </c>
      <c r="C609" s="178" t="s">
        <v>503</v>
      </c>
      <c r="D609" s="178" t="s">
        <v>63</v>
      </c>
      <c r="E609">
        <v>23700.85</v>
      </c>
      <c r="F609">
        <v>3555.13</v>
      </c>
      <c r="G609">
        <v>27255.98</v>
      </c>
    </row>
    <row r="610" spans="1:7" x14ac:dyDescent="0.35">
      <c r="A610" s="178" t="s">
        <v>623</v>
      </c>
      <c r="B610" s="178" t="s">
        <v>1566</v>
      </c>
      <c r="C610" s="178" t="s">
        <v>503</v>
      </c>
      <c r="D610" s="178" t="s">
        <v>1567</v>
      </c>
      <c r="E610">
        <v>19387.2</v>
      </c>
      <c r="F610">
        <v>2908.08</v>
      </c>
      <c r="G610">
        <v>22295.279999999999</v>
      </c>
    </row>
    <row r="611" spans="1:7" x14ac:dyDescent="0.35">
      <c r="A611" s="178" t="s">
        <v>1026</v>
      </c>
      <c r="B611" s="178" t="s">
        <v>1568</v>
      </c>
      <c r="C611" s="178" t="s">
        <v>503</v>
      </c>
      <c r="D611" s="178" t="s">
        <v>63</v>
      </c>
      <c r="E611">
        <v>468.95</v>
      </c>
      <c r="F611">
        <v>70.34</v>
      </c>
      <c r="G611">
        <v>539.29</v>
      </c>
    </row>
    <row r="612" spans="1:7" x14ac:dyDescent="0.35">
      <c r="A612" s="178" t="s">
        <v>772</v>
      </c>
      <c r="B612" s="178" t="s">
        <v>1569</v>
      </c>
      <c r="C612" s="178" t="s">
        <v>503</v>
      </c>
      <c r="D612" s="178" t="s">
        <v>63</v>
      </c>
      <c r="E612">
        <v>1849.75</v>
      </c>
      <c r="F612">
        <v>277.45999999999998</v>
      </c>
      <c r="G612">
        <v>2127.21</v>
      </c>
    </row>
    <row r="613" spans="1:7" x14ac:dyDescent="0.35">
      <c r="A613" s="178" t="s">
        <v>460</v>
      </c>
      <c r="B613" s="178" t="s">
        <v>1570</v>
      </c>
      <c r="C613" s="178" t="s">
        <v>503</v>
      </c>
      <c r="D613" s="178" t="s">
        <v>1571</v>
      </c>
      <c r="E613">
        <v>1784.5</v>
      </c>
      <c r="F613">
        <v>267.68</v>
      </c>
      <c r="G613">
        <v>2052.1799999999998</v>
      </c>
    </row>
    <row r="614" spans="1:7" x14ac:dyDescent="0.35">
      <c r="A614" s="178" t="s">
        <v>557</v>
      </c>
      <c r="B614" s="178" t="s">
        <v>1572</v>
      </c>
      <c r="C614" s="178" t="s">
        <v>503</v>
      </c>
      <c r="D614" s="178" t="s">
        <v>63</v>
      </c>
      <c r="E614">
        <v>6506.25</v>
      </c>
      <c r="F614">
        <v>975.94</v>
      </c>
      <c r="G614">
        <v>7482.19</v>
      </c>
    </row>
    <row r="615" spans="1:7" x14ac:dyDescent="0.35">
      <c r="A615" s="178" t="s">
        <v>1573</v>
      </c>
      <c r="B615" s="178" t="s">
        <v>1574</v>
      </c>
      <c r="C615" s="178" t="s">
        <v>503</v>
      </c>
      <c r="D615" s="178" t="s">
        <v>63</v>
      </c>
      <c r="E615">
        <v>11436.85</v>
      </c>
      <c r="F615">
        <v>1715.53</v>
      </c>
      <c r="G615">
        <v>13152.38</v>
      </c>
    </row>
    <row r="616" spans="1:7" x14ac:dyDescent="0.35">
      <c r="A616" s="178" t="s">
        <v>1575</v>
      </c>
      <c r="B616" s="178" t="s">
        <v>1576</v>
      </c>
      <c r="C616" s="178" t="s">
        <v>503</v>
      </c>
      <c r="D616" s="178" t="s">
        <v>63</v>
      </c>
      <c r="E616">
        <v>5817.8</v>
      </c>
      <c r="F616">
        <v>872.68</v>
      </c>
      <c r="G616">
        <v>6690.48</v>
      </c>
    </row>
    <row r="617" spans="1:7" x14ac:dyDescent="0.35">
      <c r="A617" s="178" t="s">
        <v>1577</v>
      </c>
      <c r="B617" s="178" t="s">
        <v>1578</v>
      </c>
      <c r="C617" s="178" t="s">
        <v>503</v>
      </c>
      <c r="D617" s="178" t="s">
        <v>63</v>
      </c>
      <c r="E617">
        <v>8554</v>
      </c>
      <c r="F617">
        <v>1283.0999999999999</v>
      </c>
      <c r="G617">
        <v>9837.1</v>
      </c>
    </row>
    <row r="618" spans="1:7" x14ac:dyDescent="0.35">
      <c r="A618" s="178" t="s">
        <v>1579</v>
      </c>
      <c r="B618" s="178" t="s">
        <v>1580</v>
      </c>
      <c r="C618" s="178" t="s">
        <v>503</v>
      </c>
      <c r="D618" s="178" t="s">
        <v>63</v>
      </c>
      <c r="E618">
        <v>2850.65</v>
      </c>
      <c r="F618">
        <v>427.6</v>
      </c>
      <c r="G618">
        <v>3278.25</v>
      </c>
    </row>
    <row r="619" spans="1:7" x14ac:dyDescent="0.35">
      <c r="A619" s="178" t="s">
        <v>532</v>
      </c>
      <c r="B619" s="178" t="s">
        <v>1581</v>
      </c>
      <c r="C619" s="178" t="s">
        <v>503</v>
      </c>
      <c r="D619" s="178" t="s">
        <v>63</v>
      </c>
      <c r="E619">
        <v>11640.75</v>
      </c>
      <c r="F619">
        <v>1746.11</v>
      </c>
      <c r="G619">
        <v>13386.86</v>
      </c>
    </row>
    <row r="620" spans="1:7" x14ac:dyDescent="0.35">
      <c r="A620" s="178" t="s">
        <v>1582</v>
      </c>
      <c r="B620" s="178" t="s">
        <v>1583</v>
      </c>
      <c r="C620" s="178" t="s">
        <v>503</v>
      </c>
      <c r="D620" s="178" t="s">
        <v>63</v>
      </c>
      <c r="E620">
        <v>3978.45</v>
      </c>
      <c r="F620">
        <v>596.77</v>
      </c>
      <c r="G620">
        <v>4575.22</v>
      </c>
    </row>
    <row r="621" spans="1:7" x14ac:dyDescent="0.35">
      <c r="A621" s="178" t="s">
        <v>643</v>
      </c>
      <c r="B621" s="178" t="s">
        <v>1584</v>
      </c>
      <c r="C621" s="178" t="s">
        <v>503</v>
      </c>
      <c r="D621" s="178" t="s">
        <v>63</v>
      </c>
      <c r="E621">
        <v>3100.8</v>
      </c>
      <c r="F621">
        <v>465.12</v>
      </c>
      <c r="G621">
        <v>3565.92</v>
      </c>
    </row>
    <row r="622" spans="1:7" x14ac:dyDescent="0.35">
      <c r="A622" s="178" t="s">
        <v>680</v>
      </c>
      <c r="B622" s="178" t="s">
        <v>1585</v>
      </c>
      <c r="C622" s="178" t="s">
        <v>503</v>
      </c>
      <c r="D622" s="178" t="s">
        <v>63</v>
      </c>
      <c r="E622">
        <v>2947.36</v>
      </c>
      <c r="F622">
        <v>442.1</v>
      </c>
      <c r="G622">
        <v>3389.46</v>
      </c>
    </row>
    <row r="623" spans="1:7" x14ac:dyDescent="0.35">
      <c r="A623" s="178" t="s">
        <v>436</v>
      </c>
      <c r="B623" s="178" t="s">
        <v>1586</v>
      </c>
      <c r="C623" s="178" t="s">
        <v>503</v>
      </c>
      <c r="D623" s="178" t="s">
        <v>1455</v>
      </c>
      <c r="E623">
        <v>3183.25</v>
      </c>
      <c r="F623">
        <v>477.49</v>
      </c>
      <c r="G623">
        <v>3660.74</v>
      </c>
    </row>
    <row r="624" spans="1:7" x14ac:dyDescent="0.35">
      <c r="A624" s="178" t="s">
        <v>436</v>
      </c>
      <c r="B624" s="178" t="s">
        <v>1587</v>
      </c>
      <c r="C624" s="178" t="s">
        <v>503</v>
      </c>
      <c r="D624" s="178" t="s">
        <v>1473</v>
      </c>
      <c r="E624">
        <v>871.25</v>
      </c>
      <c r="F624">
        <v>130.69</v>
      </c>
      <c r="G624">
        <v>1001.94</v>
      </c>
    </row>
    <row r="625" spans="1:7" x14ac:dyDescent="0.35">
      <c r="A625" s="178" t="s">
        <v>436</v>
      </c>
      <c r="B625" s="178" t="s">
        <v>1588</v>
      </c>
      <c r="C625" s="178" t="s">
        <v>503</v>
      </c>
      <c r="D625" s="178" t="s">
        <v>1471</v>
      </c>
      <c r="E625">
        <v>1661.75</v>
      </c>
      <c r="F625">
        <v>249.26</v>
      </c>
      <c r="G625">
        <v>1911.01</v>
      </c>
    </row>
    <row r="626" spans="1:7" x14ac:dyDescent="0.35">
      <c r="A626" s="178" t="s">
        <v>436</v>
      </c>
      <c r="B626" s="178" t="s">
        <v>1589</v>
      </c>
      <c r="C626" s="178" t="s">
        <v>503</v>
      </c>
      <c r="D626" s="178" t="s">
        <v>1479</v>
      </c>
      <c r="E626">
        <v>1700</v>
      </c>
      <c r="F626">
        <v>255</v>
      </c>
      <c r="G626">
        <v>1955</v>
      </c>
    </row>
    <row r="627" spans="1:7" x14ac:dyDescent="0.35">
      <c r="A627" s="178" t="s">
        <v>728</v>
      </c>
      <c r="B627" s="178" t="s">
        <v>1590</v>
      </c>
      <c r="C627" s="178" t="s">
        <v>503</v>
      </c>
      <c r="D627" s="178" t="s">
        <v>63</v>
      </c>
      <c r="E627">
        <v>12771.35</v>
      </c>
      <c r="F627">
        <v>1915.7</v>
      </c>
      <c r="G627">
        <v>14687.05</v>
      </c>
    </row>
    <row r="628" spans="1:7" x14ac:dyDescent="0.35">
      <c r="A628" s="178" t="s">
        <v>560</v>
      </c>
      <c r="B628" s="178" t="s">
        <v>1591</v>
      </c>
      <c r="C628" s="178" t="s">
        <v>503</v>
      </c>
      <c r="D628" s="178" t="s">
        <v>1592</v>
      </c>
      <c r="E628">
        <v>1496</v>
      </c>
      <c r="F628">
        <v>224.4</v>
      </c>
      <c r="G628">
        <v>1720.4</v>
      </c>
    </row>
    <row r="629" spans="1:7" x14ac:dyDescent="0.35">
      <c r="A629" s="178" t="s">
        <v>1593</v>
      </c>
      <c r="B629" s="178" t="s">
        <v>1594</v>
      </c>
      <c r="C629" s="178" t="s">
        <v>503</v>
      </c>
      <c r="D629" s="178" t="s">
        <v>63</v>
      </c>
      <c r="E629">
        <v>2117.5</v>
      </c>
      <c r="F629">
        <v>317.63</v>
      </c>
      <c r="G629">
        <v>2435.13</v>
      </c>
    </row>
    <row r="630" spans="1:7" x14ac:dyDescent="0.35">
      <c r="A630" s="178" t="s">
        <v>1593</v>
      </c>
      <c r="B630" s="178" t="s">
        <v>1595</v>
      </c>
      <c r="C630" s="178" t="s">
        <v>503</v>
      </c>
      <c r="D630" s="178" t="s">
        <v>63</v>
      </c>
      <c r="E630">
        <v>5565</v>
      </c>
      <c r="F630">
        <v>834.75</v>
      </c>
      <c r="G630">
        <v>6399.75</v>
      </c>
    </row>
    <row r="631" spans="1:7" x14ac:dyDescent="0.35">
      <c r="A631" s="178" t="s">
        <v>694</v>
      </c>
      <c r="B631" s="178" t="s">
        <v>1596</v>
      </c>
      <c r="C631" s="178" t="s">
        <v>503</v>
      </c>
      <c r="D631" s="178" t="s">
        <v>63</v>
      </c>
      <c r="E631">
        <v>881.5</v>
      </c>
      <c r="F631">
        <v>132.22999999999999</v>
      </c>
      <c r="G631">
        <v>1013.73</v>
      </c>
    </row>
    <row r="632" spans="1:7" x14ac:dyDescent="0.35">
      <c r="A632" s="178" t="s">
        <v>1597</v>
      </c>
      <c r="B632" s="178" t="s">
        <v>1598</v>
      </c>
      <c r="C632" s="178" t="s">
        <v>503</v>
      </c>
      <c r="D632" s="178" t="s">
        <v>63</v>
      </c>
      <c r="E632">
        <v>1167.3699999999999</v>
      </c>
      <c r="F632">
        <v>175.11</v>
      </c>
      <c r="G632">
        <v>1342.48</v>
      </c>
    </row>
    <row r="633" spans="1:7" x14ac:dyDescent="0.35">
      <c r="A633" s="178" t="s">
        <v>1599</v>
      </c>
      <c r="B633" s="178" t="s">
        <v>1600</v>
      </c>
      <c r="C633" s="178" t="s">
        <v>503</v>
      </c>
      <c r="D633" s="178" t="s">
        <v>63</v>
      </c>
      <c r="E633">
        <v>8526.0499999999993</v>
      </c>
      <c r="F633">
        <v>1278.9100000000001</v>
      </c>
      <c r="G633">
        <v>9804.9599999999991</v>
      </c>
    </row>
    <row r="634" spans="1:7" x14ac:dyDescent="0.35">
      <c r="A634" s="178" t="s">
        <v>1601</v>
      </c>
      <c r="B634" s="178" t="s">
        <v>1602</v>
      </c>
      <c r="C634" s="178" t="s">
        <v>503</v>
      </c>
      <c r="D634" s="178" t="s">
        <v>63</v>
      </c>
      <c r="E634">
        <v>760.75</v>
      </c>
      <c r="F634">
        <v>114.11</v>
      </c>
      <c r="G634">
        <v>874.86</v>
      </c>
    </row>
    <row r="635" spans="1:7" x14ac:dyDescent="0.35">
      <c r="A635" s="178" t="s">
        <v>634</v>
      </c>
      <c r="B635" s="178" t="s">
        <v>1603</v>
      </c>
      <c r="C635" s="178" t="s">
        <v>503</v>
      </c>
      <c r="D635" s="178" t="s">
        <v>63</v>
      </c>
      <c r="E635">
        <v>1755</v>
      </c>
      <c r="F635">
        <v>263.25</v>
      </c>
      <c r="G635">
        <v>2018.25</v>
      </c>
    </row>
    <row r="636" spans="1:7" x14ac:dyDescent="0.35">
      <c r="A636" s="178" t="s">
        <v>597</v>
      </c>
      <c r="B636" s="178" t="s">
        <v>1604</v>
      </c>
      <c r="C636" s="178" t="s">
        <v>503</v>
      </c>
      <c r="D636" s="178" t="s">
        <v>63</v>
      </c>
      <c r="E636">
        <v>1349</v>
      </c>
      <c r="F636">
        <v>202.35</v>
      </c>
      <c r="G636">
        <v>1551.35</v>
      </c>
    </row>
    <row r="637" spans="1:7" x14ac:dyDescent="0.35">
      <c r="A637" s="178" t="s">
        <v>846</v>
      </c>
      <c r="B637" s="178" t="s">
        <v>1605</v>
      </c>
      <c r="C637" s="178" t="s">
        <v>503</v>
      </c>
      <c r="D637" s="178" t="s">
        <v>63</v>
      </c>
      <c r="E637">
        <v>1356.1</v>
      </c>
      <c r="F637">
        <v>203.42</v>
      </c>
      <c r="G637">
        <v>1559.52</v>
      </c>
    </row>
    <row r="638" spans="1:7" x14ac:dyDescent="0.35">
      <c r="A638" s="178" t="s">
        <v>889</v>
      </c>
      <c r="B638" s="178" t="s">
        <v>1606</v>
      </c>
      <c r="C638" s="178" t="s">
        <v>503</v>
      </c>
      <c r="D638" s="178" t="s">
        <v>63</v>
      </c>
      <c r="E638">
        <v>2365.6999999999998</v>
      </c>
      <c r="F638">
        <v>354.86</v>
      </c>
      <c r="G638">
        <v>2720.56</v>
      </c>
    </row>
    <row r="639" spans="1:7" x14ac:dyDescent="0.35">
      <c r="A639" s="178" t="s">
        <v>1038</v>
      </c>
      <c r="B639" s="178" t="s">
        <v>1607</v>
      </c>
      <c r="C639" s="178" t="s">
        <v>503</v>
      </c>
      <c r="D639" s="178" t="s">
        <v>63</v>
      </c>
      <c r="E639">
        <v>5474.85</v>
      </c>
      <c r="F639">
        <v>821.23</v>
      </c>
      <c r="G639">
        <v>6296.08</v>
      </c>
    </row>
    <row r="640" spans="1:7" x14ac:dyDescent="0.35">
      <c r="A640" s="178" t="s">
        <v>450</v>
      </c>
      <c r="B640" s="178" t="s">
        <v>1608</v>
      </c>
      <c r="C640" s="178" t="s">
        <v>503</v>
      </c>
      <c r="D640" s="178" t="s">
        <v>63</v>
      </c>
      <c r="E640">
        <v>15059.95</v>
      </c>
      <c r="F640">
        <v>2258.9899999999998</v>
      </c>
      <c r="G640">
        <v>17318.939999999999</v>
      </c>
    </row>
    <row r="641" spans="1:7" x14ac:dyDescent="0.35">
      <c r="A641" s="178" t="s">
        <v>1053</v>
      </c>
      <c r="B641" s="178" t="s">
        <v>1609</v>
      </c>
      <c r="C641" s="178" t="s">
        <v>503</v>
      </c>
      <c r="D641" s="178" t="s">
        <v>63</v>
      </c>
      <c r="E641">
        <v>9027.75</v>
      </c>
      <c r="F641">
        <v>1354.17</v>
      </c>
      <c r="G641">
        <v>10381.92</v>
      </c>
    </row>
    <row r="642" spans="1:7" x14ac:dyDescent="0.35">
      <c r="A642" s="178" t="s">
        <v>1610</v>
      </c>
      <c r="B642" s="178" t="s">
        <v>1611</v>
      </c>
      <c r="C642" s="178" t="s">
        <v>503</v>
      </c>
      <c r="D642" s="178" t="s">
        <v>63</v>
      </c>
      <c r="E642">
        <v>2911</v>
      </c>
      <c r="F642">
        <v>436.65</v>
      </c>
      <c r="G642">
        <v>3347.65</v>
      </c>
    </row>
    <row r="643" spans="1:7" x14ac:dyDescent="0.35">
      <c r="A643" s="178" t="s">
        <v>973</v>
      </c>
      <c r="B643" s="178" t="s">
        <v>1612</v>
      </c>
      <c r="C643" s="178" t="s">
        <v>524</v>
      </c>
      <c r="D643" s="178" t="s">
        <v>63</v>
      </c>
      <c r="E643">
        <v>1754.4</v>
      </c>
      <c r="F643">
        <v>263.16000000000003</v>
      </c>
      <c r="G643">
        <v>2017.56</v>
      </c>
    </row>
    <row r="644" spans="1:7" x14ac:dyDescent="0.35">
      <c r="A644" s="178" t="s">
        <v>460</v>
      </c>
      <c r="B644" s="178" t="s">
        <v>1613</v>
      </c>
      <c r="C644" s="178" t="s">
        <v>524</v>
      </c>
      <c r="D644" s="178" t="s">
        <v>63</v>
      </c>
      <c r="E644">
        <v>900</v>
      </c>
      <c r="F644">
        <v>135</v>
      </c>
      <c r="G644">
        <v>1035</v>
      </c>
    </row>
    <row r="645" spans="1:7" x14ac:dyDescent="0.35">
      <c r="A645" s="178" t="s">
        <v>529</v>
      </c>
      <c r="B645" s="178" t="s">
        <v>1614</v>
      </c>
      <c r="C645" s="178" t="s">
        <v>524</v>
      </c>
      <c r="D645" s="178" t="s">
        <v>63</v>
      </c>
      <c r="E645">
        <v>3434</v>
      </c>
      <c r="F645">
        <v>515.1</v>
      </c>
      <c r="G645">
        <v>3949.1</v>
      </c>
    </row>
    <row r="646" spans="1:7" x14ac:dyDescent="0.35">
      <c r="A646" s="178" t="s">
        <v>1615</v>
      </c>
      <c r="B646" s="178" t="s">
        <v>1616</v>
      </c>
      <c r="C646" s="178" t="s">
        <v>524</v>
      </c>
      <c r="D646" s="178" t="s">
        <v>63</v>
      </c>
      <c r="E646">
        <v>1587.6</v>
      </c>
      <c r="F646">
        <v>238.14</v>
      </c>
      <c r="G646">
        <v>1825.74</v>
      </c>
    </row>
    <row r="647" spans="1:7" x14ac:dyDescent="0.35">
      <c r="A647" s="178" t="s">
        <v>1617</v>
      </c>
      <c r="B647" s="178" t="s">
        <v>1618</v>
      </c>
      <c r="C647" s="178" t="s">
        <v>524</v>
      </c>
      <c r="D647" s="178" t="s">
        <v>63</v>
      </c>
      <c r="E647">
        <v>5409.3</v>
      </c>
      <c r="F647">
        <v>811.4</v>
      </c>
      <c r="G647">
        <v>6220.7</v>
      </c>
    </row>
    <row r="648" spans="1:7" x14ac:dyDescent="0.35">
      <c r="A648" s="178" t="s">
        <v>1619</v>
      </c>
      <c r="B648" s="178" t="s">
        <v>1620</v>
      </c>
      <c r="C648" s="178" t="s">
        <v>524</v>
      </c>
      <c r="D648" s="178" t="s">
        <v>1518</v>
      </c>
      <c r="E648">
        <v>10728.2</v>
      </c>
      <c r="F648">
        <v>1609.23</v>
      </c>
      <c r="G648">
        <v>12337.43</v>
      </c>
    </row>
    <row r="649" spans="1:7" x14ac:dyDescent="0.35">
      <c r="A649" s="178" t="s">
        <v>1621</v>
      </c>
      <c r="B649" s="178" t="s">
        <v>1622</v>
      </c>
      <c r="C649" s="178" t="s">
        <v>524</v>
      </c>
      <c r="D649" s="178" t="s">
        <v>1623</v>
      </c>
      <c r="E649">
        <v>945</v>
      </c>
      <c r="F649">
        <v>141.75</v>
      </c>
      <c r="G649">
        <v>1086.75</v>
      </c>
    </row>
    <row r="650" spans="1:7" x14ac:dyDescent="0.35">
      <c r="A650" s="178" t="s">
        <v>1624</v>
      </c>
      <c r="B650" s="178" t="s">
        <v>1625</v>
      </c>
      <c r="C650" s="178" t="s">
        <v>524</v>
      </c>
      <c r="D650" s="178" t="s">
        <v>63</v>
      </c>
      <c r="E650">
        <v>1116.5</v>
      </c>
      <c r="F650">
        <v>167.48</v>
      </c>
      <c r="G650">
        <v>1283.98</v>
      </c>
    </row>
    <row r="651" spans="1:7" x14ac:dyDescent="0.35">
      <c r="A651" s="178" t="s">
        <v>1626</v>
      </c>
      <c r="B651" s="178" t="s">
        <v>1627</v>
      </c>
      <c r="C651" s="178" t="s">
        <v>524</v>
      </c>
      <c r="D651" s="178" t="s">
        <v>63</v>
      </c>
      <c r="E651">
        <v>2560</v>
      </c>
      <c r="F651">
        <v>384.01</v>
      </c>
      <c r="G651">
        <v>2944.01</v>
      </c>
    </row>
    <row r="652" spans="1:7" x14ac:dyDescent="0.35">
      <c r="A652" s="178" t="s">
        <v>623</v>
      </c>
      <c r="B652" s="178" t="s">
        <v>1628</v>
      </c>
      <c r="C652" s="178" t="s">
        <v>503</v>
      </c>
      <c r="D652" s="178" t="s">
        <v>1629</v>
      </c>
      <c r="E652">
        <v>1058</v>
      </c>
      <c r="F652">
        <v>158.69999999999999</v>
      </c>
      <c r="G652">
        <v>1216.7</v>
      </c>
    </row>
    <row r="653" spans="1:7" x14ac:dyDescent="0.35">
      <c r="A653" s="178" t="s">
        <v>1630</v>
      </c>
      <c r="B653" s="178" t="s">
        <v>1631</v>
      </c>
      <c r="C653" s="178" t="s">
        <v>524</v>
      </c>
      <c r="D653" s="178" t="s">
        <v>1632</v>
      </c>
      <c r="E653">
        <v>3849</v>
      </c>
      <c r="F653">
        <v>577.35</v>
      </c>
      <c r="G653">
        <v>4426.3500000000004</v>
      </c>
    </row>
    <row r="654" spans="1:7" x14ac:dyDescent="0.35">
      <c r="A654" s="178" t="s">
        <v>1633</v>
      </c>
      <c r="B654" s="178" t="s">
        <v>1634</v>
      </c>
      <c r="C654" s="178" t="s">
        <v>524</v>
      </c>
      <c r="D654" s="178" t="s">
        <v>1635</v>
      </c>
      <c r="E654">
        <v>7768.75</v>
      </c>
      <c r="F654">
        <v>1165.31</v>
      </c>
      <c r="G654">
        <v>8934.06</v>
      </c>
    </row>
    <row r="655" spans="1:7" x14ac:dyDescent="0.35">
      <c r="A655" s="178" t="s">
        <v>1636</v>
      </c>
      <c r="B655" s="178" t="s">
        <v>1637</v>
      </c>
      <c r="C655" s="178" t="s">
        <v>503</v>
      </c>
      <c r="D655" s="178" t="s">
        <v>63</v>
      </c>
      <c r="E655">
        <v>15732</v>
      </c>
      <c r="F655">
        <v>2359.8000000000002</v>
      </c>
      <c r="G655">
        <v>18091.8</v>
      </c>
    </row>
    <row r="656" spans="1:7" x14ac:dyDescent="0.35">
      <c r="A656" s="178" t="s">
        <v>1638</v>
      </c>
      <c r="B656" s="178" t="s">
        <v>1639</v>
      </c>
      <c r="C656" s="178" t="s">
        <v>524</v>
      </c>
      <c r="D656" s="178" t="s">
        <v>63</v>
      </c>
      <c r="E656">
        <v>1678.6</v>
      </c>
      <c r="F656">
        <v>251.79</v>
      </c>
      <c r="G656">
        <v>1930.39</v>
      </c>
    </row>
    <row r="657" spans="1:7" x14ac:dyDescent="0.35">
      <c r="A657" s="178" t="s">
        <v>1640</v>
      </c>
      <c r="B657" s="178" t="s">
        <v>1641</v>
      </c>
      <c r="C657" s="178" t="s">
        <v>524</v>
      </c>
      <c r="D657" s="178" t="s">
        <v>1642</v>
      </c>
      <c r="E657">
        <v>1464</v>
      </c>
      <c r="F657">
        <v>219.6</v>
      </c>
      <c r="G657">
        <v>1683.6</v>
      </c>
    </row>
    <row r="658" spans="1:7" x14ac:dyDescent="0.35">
      <c r="A658" s="178" t="s">
        <v>849</v>
      </c>
      <c r="B658" s="178" t="s">
        <v>1643</v>
      </c>
      <c r="C658" s="178" t="s">
        <v>524</v>
      </c>
      <c r="D658" s="178" t="s">
        <v>63</v>
      </c>
      <c r="E658">
        <v>1740</v>
      </c>
      <c r="F658">
        <v>261</v>
      </c>
      <c r="G658">
        <v>2001</v>
      </c>
    </row>
    <row r="659" spans="1:7" x14ac:dyDescent="0.35">
      <c r="A659" s="178" t="s">
        <v>1644</v>
      </c>
      <c r="B659" s="178" t="s">
        <v>1645</v>
      </c>
      <c r="C659" s="178" t="s">
        <v>524</v>
      </c>
      <c r="D659" s="178" t="s">
        <v>63</v>
      </c>
      <c r="E659">
        <v>3414.2</v>
      </c>
      <c r="F659">
        <v>512.14</v>
      </c>
      <c r="G659">
        <v>3926.34</v>
      </c>
    </row>
    <row r="660" spans="1:7" x14ac:dyDescent="0.35">
      <c r="A660" s="178" t="s">
        <v>544</v>
      </c>
      <c r="B660" s="178" t="s">
        <v>1646</v>
      </c>
      <c r="C660" s="178" t="s">
        <v>524</v>
      </c>
      <c r="D660" s="178" t="s">
        <v>63</v>
      </c>
      <c r="E660">
        <v>1497.65</v>
      </c>
      <c r="F660">
        <v>224.65</v>
      </c>
      <c r="G660">
        <v>1722.3</v>
      </c>
    </row>
    <row r="661" spans="1:7" x14ac:dyDescent="0.35">
      <c r="A661" s="178" t="s">
        <v>623</v>
      </c>
      <c r="B661" s="178" t="s">
        <v>1647</v>
      </c>
      <c r="C661" s="178" t="s">
        <v>524</v>
      </c>
      <c r="D661" s="178" t="s">
        <v>1648</v>
      </c>
      <c r="E661">
        <v>4460.1000000000004</v>
      </c>
      <c r="F661">
        <v>669.02</v>
      </c>
      <c r="G661">
        <v>5129.12</v>
      </c>
    </row>
    <row r="662" spans="1:7" x14ac:dyDescent="0.35">
      <c r="A662" s="178" t="s">
        <v>1649</v>
      </c>
      <c r="B662" s="178" t="s">
        <v>1650</v>
      </c>
      <c r="C662" s="178" t="s">
        <v>524</v>
      </c>
      <c r="D662" s="178" t="s">
        <v>63</v>
      </c>
      <c r="E662">
        <v>500</v>
      </c>
      <c r="F662">
        <v>75</v>
      </c>
      <c r="G662">
        <v>575</v>
      </c>
    </row>
    <row r="663" spans="1:7" x14ac:dyDescent="0.35">
      <c r="A663" s="178" t="s">
        <v>747</v>
      </c>
      <c r="B663" s="178" t="s">
        <v>1651</v>
      </c>
      <c r="C663" s="178" t="s">
        <v>524</v>
      </c>
      <c r="D663" s="178" t="s">
        <v>63</v>
      </c>
      <c r="E663">
        <v>9575.6</v>
      </c>
      <c r="F663">
        <v>1436.34</v>
      </c>
      <c r="G663">
        <v>11011.94</v>
      </c>
    </row>
    <row r="664" spans="1:7" x14ac:dyDescent="0.35">
      <c r="A664" s="178" t="s">
        <v>582</v>
      </c>
      <c r="B664" s="178" t="s">
        <v>1652</v>
      </c>
      <c r="C664" s="178" t="s">
        <v>524</v>
      </c>
      <c r="D664" s="178" t="s">
        <v>63</v>
      </c>
      <c r="E664">
        <v>1283.4000000000001</v>
      </c>
      <c r="F664">
        <v>192.51</v>
      </c>
      <c r="G664">
        <v>1475.91</v>
      </c>
    </row>
    <row r="665" spans="1:7" x14ac:dyDescent="0.35">
      <c r="A665" s="178" t="s">
        <v>614</v>
      </c>
      <c r="B665" s="178" t="s">
        <v>1653</v>
      </c>
      <c r="C665" s="178" t="s">
        <v>524</v>
      </c>
      <c r="D665" s="178" t="s">
        <v>63</v>
      </c>
      <c r="E665">
        <v>8857.35</v>
      </c>
      <c r="F665">
        <v>1328.6</v>
      </c>
      <c r="G665">
        <v>10185.950000000001</v>
      </c>
    </row>
    <row r="666" spans="1:7" x14ac:dyDescent="0.35">
      <c r="A666" s="178" t="s">
        <v>1654</v>
      </c>
      <c r="B666" s="178" t="s">
        <v>1655</v>
      </c>
      <c r="C666" s="178" t="s">
        <v>524</v>
      </c>
      <c r="D666" s="178" t="s">
        <v>63</v>
      </c>
      <c r="E666">
        <v>2076.5</v>
      </c>
      <c r="F666">
        <v>311.48</v>
      </c>
      <c r="G666">
        <v>2387.98</v>
      </c>
    </row>
    <row r="667" spans="1:7" x14ac:dyDescent="0.35">
      <c r="A667" s="178" t="s">
        <v>999</v>
      </c>
      <c r="B667" s="178" t="s">
        <v>1656</v>
      </c>
      <c r="C667" s="178" t="s">
        <v>524</v>
      </c>
      <c r="D667" s="178" t="s">
        <v>63</v>
      </c>
      <c r="E667">
        <v>1251.3</v>
      </c>
      <c r="F667">
        <v>187.7</v>
      </c>
      <c r="G667">
        <v>1439</v>
      </c>
    </row>
    <row r="668" spans="1:7" x14ac:dyDescent="0.35">
      <c r="A668" s="178" t="s">
        <v>450</v>
      </c>
      <c r="B668" s="178" t="s">
        <v>1657</v>
      </c>
      <c r="C668" s="178" t="s">
        <v>524</v>
      </c>
      <c r="D668" s="178" t="s">
        <v>63</v>
      </c>
      <c r="E668">
        <v>10062.049999999999</v>
      </c>
      <c r="F668">
        <v>1509.31</v>
      </c>
      <c r="G668">
        <v>11571.36</v>
      </c>
    </row>
    <row r="669" spans="1:7" x14ac:dyDescent="0.35">
      <c r="A669" s="178" t="s">
        <v>807</v>
      </c>
      <c r="B669" s="178" t="s">
        <v>1658</v>
      </c>
      <c r="C669" s="178" t="s">
        <v>524</v>
      </c>
      <c r="D669" s="178" t="s">
        <v>809</v>
      </c>
      <c r="E669">
        <v>8081.39</v>
      </c>
      <c r="F669">
        <v>1212.21</v>
      </c>
      <c r="G669">
        <v>9293.6</v>
      </c>
    </row>
    <row r="670" spans="1:7" x14ac:dyDescent="0.35">
      <c r="A670" s="178" t="s">
        <v>1299</v>
      </c>
      <c r="B670" s="178" t="s">
        <v>1659</v>
      </c>
      <c r="C670" s="178" t="s">
        <v>524</v>
      </c>
      <c r="D670" s="178" t="s">
        <v>1301</v>
      </c>
      <c r="E670">
        <v>1720</v>
      </c>
      <c r="F670">
        <v>258</v>
      </c>
      <c r="G670">
        <v>1978</v>
      </c>
    </row>
    <row r="671" spans="1:7" x14ac:dyDescent="0.35">
      <c r="A671" s="178" t="s">
        <v>573</v>
      </c>
      <c r="B671" s="178" t="s">
        <v>1660</v>
      </c>
      <c r="C671" s="178" t="s">
        <v>524</v>
      </c>
      <c r="D671" s="178" t="s">
        <v>63</v>
      </c>
      <c r="E671">
        <v>3617.9</v>
      </c>
      <c r="F671">
        <v>542.69000000000005</v>
      </c>
      <c r="G671">
        <v>4160.59</v>
      </c>
    </row>
    <row r="672" spans="1:7" x14ac:dyDescent="0.35">
      <c r="A672" s="178" t="s">
        <v>573</v>
      </c>
      <c r="B672" s="178" t="s">
        <v>1661</v>
      </c>
      <c r="C672" s="178" t="s">
        <v>524</v>
      </c>
      <c r="D672" s="178" t="s">
        <v>63</v>
      </c>
      <c r="E672">
        <v>5292</v>
      </c>
      <c r="F672">
        <v>793.8</v>
      </c>
      <c r="G672">
        <v>6085.8</v>
      </c>
    </row>
    <row r="673" spans="1:7" x14ac:dyDescent="0.35">
      <c r="A673" s="178" t="s">
        <v>573</v>
      </c>
      <c r="B673" s="178" t="s">
        <v>1662</v>
      </c>
      <c r="C673" s="178" t="s">
        <v>524</v>
      </c>
      <c r="D673" s="178" t="s">
        <v>63</v>
      </c>
      <c r="E673">
        <v>4273.3999999999996</v>
      </c>
      <c r="F673">
        <v>641.01</v>
      </c>
      <c r="G673">
        <v>4914.41</v>
      </c>
    </row>
    <row r="674" spans="1:7" x14ac:dyDescent="0.35">
      <c r="A674" s="178" t="s">
        <v>745</v>
      </c>
      <c r="B674" s="178" t="s">
        <v>1663</v>
      </c>
      <c r="C674" s="178" t="s">
        <v>524</v>
      </c>
      <c r="D674" s="178" t="s">
        <v>63</v>
      </c>
      <c r="E674">
        <v>21764.7</v>
      </c>
      <c r="F674">
        <v>3264.71</v>
      </c>
      <c r="G674">
        <v>25029.41</v>
      </c>
    </row>
    <row r="675" spans="1:7" x14ac:dyDescent="0.35">
      <c r="A675" s="178" t="s">
        <v>933</v>
      </c>
      <c r="B675" s="178" t="s">
        <v>1664</v>
      </c>
      <c r="C675" s="178" t="s">
        <v>524</v>
      </c>
      <c r="D675" s="178" t="s">
        <v>935</v>
      </c>
      <c r="E675">
        <v>3363.3</v>
      </c>
      <c r="F675">
        <v>504.5</v>
      </c>
      <c r="G675">
        <v>3867.8</v>
      </c>
    </row>
    <row r="676" spans="1:7" x14ac:dyDescent="0.35">
      <c r="A676" s="178" t="s">
        <v>976</v>
      </c>
      <c r="B676" s="178" t="s">
        <v>1665</v>
      </c>
      <c r="C676" s="178" t="s">
        <v>524</v>
      </c>
      <c r="D676" s="178" t="s">
        <v>1666</v>
      </c>
      <c r="E676">
        <v>10278.9</v>
      </c>
      <c r="F676">
        <v>1541.84</v>
      </c>
      <c r="G676">
        <v>11820.74</v>
      </c>
    </row>
    <row r="677" spans="1:7" x14ac:dyDescent="0.35">
      <c r="A677" s="178" t="s">
        <v>466</v>
      </c>
      <c r="B677" s="178" t="s">
        <v>1667</v>
      </c>
      <c r="C677" s="178" t="s">
        <v>524</v>
      </c>
      <c r="D677" s="178" t="s">
        <v>63</v>
      </c>
      <c r="E677">
        <v>815.9</v>
      </c>
      <c r="F677">
        <v>122.39</v>
      </c>
      <c r="G677">
        <v>938.29</v>
      </c>
    </row>
    <row r="678" spans="1:7" x14ac:dyDescent="0.35">
      <c r="A678" s="178" t="s">
        <v>1654</v>
      </c>
      <c r="B678" s="178" t="s">
        <v>1668</v>
      </c>
      <c r="C678" s="178" t="s">
        <v>524</v>
      </c>
      <c r="D678" s="178" t="s">
        <v>63</v>
      </c>
      <c r="E678">
        <v>285</v>
      </c>
      <c r="F678">
        <v>42.75</v>
      </c>
      <c r="G678">
        <v>327.75</v>
      </c>
    </row>
    <row r="679" spans="1:7" x14ac:dyDescent="0.35">
      <c r="A679" s="178" t="s">
        <v>1669</v>
      </c>
      <c r="B679" s="178" t="s">
        <v>1670</v>
      </c>
      <c r="C679" s="178" t="s">
        <v>524</v>
      </c>
      <c r="D679" s="178" t="s">
        <v>63</v>
      </c>
      <c r="E679">
        <v>2950</v>
      </c>
      <c r="F679">
        <v>442.5</v>
      </c>
      <c r="G679">
        <v>3392.5</v>
      </c>
    </row>
    <row r="680" spans="1:7" x14ac:dyDescent="0.35">
      <c r="A680" s="178" t="s">
        <v>1671</v>
      </c>
      <c r="B680" s="178" t="s">
        <v>1672</v>
      </c>
      <c r="C680" s="178" t="s">
        <v>524</v>
      </c>
      <c r="D680" s="178" t="s">
        <v>63</v>
      </c>
      <c r="E680">
        <v>1351.25</v>
      </c>
      <c r="F680">
        <v>202.69</v>
      </c>
      <c r="G680">
        <v>1553.94</v>
      </c>
    </row>
    <row r="681" spans="1:7" x14ac:dyDescent="0.35">
      <c r="A681" s="178" t="s">
        <v>439</v>
      </c>
      <c r="B681" s="178" t="s">
        <v>1673</v>
      </c>
      <c r="C681" s="178" t="s">
        <v>524</v>
      </c>
      <c r="D681" s="178" t="s">
        <v>63</v>
      </c>
      <c r="E681">
        <v>6015.2</v>
      </c>
      <c r="F681">
        <v>902.28</v>
      </c>
      <c r="G681">
        <v>6917.48</v>
      </c>
    </row>
    <row r="682" spans="1:7" x14ac:dyDescent="0.35">
      <c r="A682" s="178" t="s">
        <v>560</v>
      </c>
      <c r="B682" s="178" t="s">
        <v>1674</v>
      </c>
      <c r="C682" s="178" t="s">
        <v>524</v>
      </c>
      <c r="D682" s="178" t="s">
        <v>1675</v>
      </c>
      <c r="E682">
        <v>2862.8</v>
      </c>
      <c r="F682">
        <v>429.42</v>
      </c>
      <c r="G682">
        <v>3292.22</v>
      </c>
    </row>
    <row r="683" spans="1:7" x14ac:dyDescent="0.35">
      <c r="A683" s="178" t="s">
        <v>1676</v>
      </c>
      <c r="B683" s="178" t="s">
        <v>1677</v>
      </c>
      <c r="C683" s="178" t="s">
        <v>524</v>
      </c>
      <c r="D683" s="178" t="s">
        <v>1678</v>
      </c>
      <c r="E683">
        <v>13937.3</v>
      </c>
      <c r="F683">
        <v>2090.6</v>
      </c>
      <c r="G683">
        <v>16027.9</v>
      </c>
    </row>
    <row r="684" spans="1:7" x14ac:dyDescent="0.35">
      <c r="A684" s="178" t="s">
        <v>560</v>
      </c>
      <c r="B684" s="178" t="s">
        <v>1679</v>
      </c>
      <c r="C684" s="178" t="s">
        <v>524</v>
      </c>
      <c r="D684" s="178" t="s">
        <v>1680</v>
      </c>
      <c r="E684">
        <v>4107.6000000000004</v>
      </c>
      <c r="F684">
        <v>616.14</v>
      </c>
      <c r="G684">
        <v>4723.74</v>
      </c>
    </row>
    <row r="685" spans="1:7" x14ac:dyDescent="0.35">
      <c r="A685" s="178" t="s">
        <v>1676</v>
      </c>
      <c r="B685" s="178" t="s">
        <v>1681</v>
      </c>
      <c r="C685" s="178" t="s">
        <v>524</v>
      </c>
      <c r="D685" s="178" t="s">
        <v>1682</v>
      </c>
      <c r="E685">
        <v>6000</v>
      </c>
      <c r="F685">
        <v>900</v>
      </c>
      <c r="G685">
        <v>6900</v>
      </c>
    </row>
    <row r="686" spans="1:7" x14ac:dyDescent="0.35">
      <c r="A686" s="178" t="s">
        <v>551</v>
      </c>
      <c r="B686" s="178" t="s">
        <v>1683</v>
      </c>
      <c r="C686" s="178" t="s">
        <v>524</v>
      </c>
      <c r="D686" s="178" t="s">
        <v>63</v>
      </c>
      <c r="E686">
        <v>1344</v>
      </c>
      <c r="F686">
        <v>201.6</v>
      </c>
      <c r="G686">
        <v>1545.6</v>
      </c>
    </row>
    <row r="687" spans="1:7" x14ac:dyDescent="0.35">
      <c r="A687" s="178" t="s">
        <v>1120</v>
      </c>
      <c r="B687" s="178" t="s">
        <v>1684</v>
      </c>
      <c r="C687" s="178" t="s">
        <v>524</v>
      </c>
      <c r="D687" s="178" t="s">
        <v>63</v>
      </c>
      <c r="E687">
        <v>5736.25</v>
      </c>
      <c r="F687">
        <v>860.44</v>
      </c>
      <c r="G687">
        <v>6596.69</v>
      </c>
    </row>
    <row r="688" spans="1:7" x14ac:dyDescent="0.35">
      <c r="A688" s="178" t="s">
        <v>1538</v>
      </c>
      <c r="B688" s="178" t="s">
        <v>1685</v>
      </c>
      <c r="C688" s="178" t="s">
        <v>524</v>
      </c>
      <c r="D688" s="178" t="s">
        <v>63</v>
      </c>
      <c r="E688">
        <v>44851.8</v>
      </c>
      <c r="F688">
        <v>6727.77</v>
      </c>
      <c r="G688">
        <v>51579.57</v>
      </c>
    </row>
    <row r="689" spans="1:7" x14ac:dyDescent="0.35">
      <c r="A689" s="178" t="s">
        <v>551</v>
      </c>
      <c r="B689" s="178" t="s">
        <v>1686</v>
      </c>
      <c r="C689" s="178" t="s">
        <v>524</v>
      </c>
      <c r="D689" s="178" t="s">
        <v>63</v>
      </c>
      <c r="E689">
        <v>11571</v>
      </c>
      <c r="F689">
        <v>1735.65</v>
      </c>
      <c r="G689">
        <v>13306.65</v>
      </c>
    </row>
    <row r="690" spans="1:7" x14ac:dyDescent="0.35">
      <c r="A690" s="178" t="s">
        <v>1687</v>
      </c>
      <c r="B690" s="178" t="s">
        <v>1688</v>
      </c>
      <c r="C690" s="178" t="s">
        <v>524</v>
      </c>
      <c r="D690" s="178" t="s">
        <v>63</v>
      </c>
      <c r="E690">
        <v>5556.4</v>
      </c>
      <c r="F690">
        <v>833.46</v>
      </c>
      <c r="G690">
        <v>6389.86</v>
      </c>
    </row>
    <row r="691" spans="1:7" x14ac:dyDescent="0.35">
      <c r="A691" s="178" t="s">
        <v>526</v>
      </c>
      <c r="B691" s="178" t="s">
        <v>1689</v>
      </c>
      <c r="C691" s="178" t="s">
        <v>524</v>
      </c>
      <c r="D691" s="178" t="s">
        <v>63</v>
      </c>
      <c r="E691">
        <v>1177.2</v>
      </c>
      <c r="F691">
        <v>176.58</v>
      </c>
      <c r="G691">
        <v>1353.78</v>
      </c>
    </row>
    <row r="692" spans="1:7" x14ac:dyDescent="0.35">
      <c r="A692" s="178" t="s">
        <v>1220</v>
      </c>
      <c r="B692" s="178" t="s">
        <v>1690</v>
      </c>
      <c r="C692" s="178" t="s">
        <v>524</v>
      </c>
      <c r="D692" s="178" t="s">
        <v>63</v>
      </c>
      <c r="E692">
        <v>5736.5</v>
      </c>
      <c r="F692">
        <v>860.48</v>
      </c>
      <c r="G692">
        <v>6596.98</v>
      </c>
    </row>
    <row r="693" spans="1:7" x14ac:dyDescent="0.35">
      <c r="A693" s="178" t="s">
        <v>1691</v>
      </c>
      <c r="B693" s="178" t="s">
        <v>1692</v>
      </c>
      <c r="C693" s="178" t="s">
        <v>524</v>
      </c>
      <c r="D693" s="178" t="s">
        <v>1693</v>
      </c>
      <c r="E693">
        <v>6439.2</v>
      </c>
      <c r="F693">
        <v>965.88</v>
      </c>
      <c r="G693">
        <v>7405.08</v>
      </c>
    </row>
    <row r="694" spans="1:7" x14ac:dyDescent="0.35">
      <c r="A694" s="178" t="s">
        <v>959</v>
      </c>
      <c r="B694" s="178" t="s">
        <v>1694</v>
      </c>
      <c r="C694" s="178" t="s">
        <v>524</v>
      </c>
      <c r="D694" s="178" t="s">
        <v>1395</v>
      </c>
      <c r="E694">
        <v>35212.800000000003</v>
      </c>
      <c r="F694">
        <v>5281.92</v>
      </c>
      <c r="G694">
        <v>40494.720000000001</v>
      </c>
    </row>
    <row r="695" spans="1:7" x14ac:dyDescent="0.35">
      <c r="A695" s="178" t="s">
        <v>1033</v>
      </c>
      <c r="B695" s="178" t="s">
        <v>1695</v>
      </c>
      <c r="C695" s="178" t="s">
        <v>524</v>
      </c>
      <c r="D695" s="178" t="s">
        <v>1696</v>
      </c>
      <c r="E695">
        <v>709.65</v>
      </c>
      <c r="F695">
        <v>106.45</v>
      </c>
      <c r="G695">
        <v>816.1</v>
      </c>
    </row>
    <row r="696" spans="1:7" x14ac:dyDescent="0.35">
      <c r="A696" s="178" t="s">
        <v>1697</v>
      </c>
      <c r="B696" s="178" t="s">
        <v>1698</v>
      </c>
      <c r="C696" s="178" t="s">
        <v>524</v>
      </c>
      <c r="D696" s="178" t="s">
        <v>1699</v>
      </c>
      <c r="E696">
        <v>3566.35</v>
      </c>
      <c r="F696">
        <v>534.95000000000005</v>
      </c>
      <c r="G696">
        <v>4101.3</v>
      </c>
    </row>
    <row r="697" spans="1:7" x14ac:dyDescent="0.35">
      <c r="A697" s="178" t="s">
        <v>1700</v>
      </c>
      <c r="B697" s="178" t="s">
        <v>1701</v>
      </c>
      <c r="C697" s="178" t="s">
        <v>524</v>
      </c>
      <c r="D697" s="178" t="s">
        <v>63</v>
      </c>
      <c r="E697">
        <v>1458.6</v>
      </c>
      <c r="F697">
        <v>218.79</v>
      </c>
      <c r="G697">
        <v>1677.39</v>
      </c>
    </row>
    <row r="698" spans="1:7" x14ac:dyDescent="0.35">
      <c r="A698" s="178" t="s">
        <v>554</v>
      </c>
      <c r="B698" s="178" t="s">
        <v>1702</v>
      </c>
      <c r="C698" s="178" t="s">
        <v>524</v>
      </c>
      <c r="D698" s="178" t="s">
        <v>1703</v>
      </c>
      <c r="E698">
        <v>1712.75</v>
      </c>
      <c r="F698">
        <v>256.91000000000003</v>
      </c>
      <c r="G698">
        <v>1969.66</v>
      </c>
    </row>
    <row r="699" spans="1:7" x14ac:dyDescent="0.35">
      <c r="A699" s="178" t="s">
        <v>1123</v>
      </c>
      <c r="B699" s="178" t="s">
        <v>1704</v>
      </c>
      <c r="C699" s="178" t="s">
        <v>524</v>
      </c>
      <c r="D699" s="178" t="s">
        <v>63</v>
      </c>
      <c r="E699">
        <v>1387.15</v>
      </c>
      <c r="F699">
        <v>208.08</v>
      </c>
      <c r="G699">
        <v>1595.23</v>
      </c>
    </row>
    <row r="700" spans="1:7" x14ac:dyDescent="0.35">
      <c r="A700" s="178" t="s">
        <v>1072</v>
      </c>
      <c r="B700" s="178" t="s">
        <v>1705</v>
      </c>
      <c r="C700" s="178" t="s">
        <v>524</v>
      </c>
      <c r="D700" s="178" t="s">
        <v>63</v>
      </c>
      <c r="E700">
        <v>1274.4000000000001</v>
      </c>
      <c r="F700">
        <v>191.16</v>
      </c>
      <c r="G700">
        <v>1465.56</v>
      </c>
    </row>
    <row r="701" spans="1:7" x14ac:dyDescent="0.35">
      <c r="A701" s="178" t="s">
        <v>460</v>
      </c>
      <c r="B701" s="178" t="s">
        <v>1706</v>
      </c>
      <c r="C701" s="178" t="s">
        <v>524</v>
      </c>
      <c r="D701" s="178" t="s">
        <v>1707</v>
      </c>
      <c r="E701">
        <v>1071</v>
      </c>
      <c r="F701">
        <v>160.65</v>
      </c>
      <c r="G701">
        <v>1231.6500000000001</v>
      </c>
    </row>
    <row r="702" spans="1:7" x14ac:dyDescent="0.35">
      <c r="A702" s="178" t="s">
        <v>1708</v>
      </c>
      <c r="B702" s="178" t="s">
        <v>1709</v>
      </c>
      <c r="C702" s="178" t="s">
        <v>524</v>
      </c>
      <c r="D702" s="178" t="s">
        <v>63</v>
      </c>
      <c r="E702">
        <v>3074.5</v>
      </c>
      <c r="F702">
        <v>461.18</v>
      </c>
      <c r="G702">
        <v>3535.68</v>
      </c>
    </row>
    <row r="703" spans="1:7" x14ac:dyDescent="0.35">
      <c r="A703" s="178" t="s">
        <v>554</v>
      </c>
      <c r="B703" s="178" t="s">
        <v>1710</v>
      </c>
      <c r="C703" s="178" t="s">
        <v>524</v>
      </c>
      <c r="D703" s="178" t="s">
        <v>1711</v>
      </c>
      <c r="E703">
        <v>803.25</v>
      </c>
      <c r="F703">
        <v>120.49</v>
      </c>
      <c r="G703">
        <v>923.74</v>
      </c>
    </row>
    <row r="704" spans="1:7" x14ac:dyDescent="0.35">
      <c r="A704" s="178" t="s">
        <v>1697</v>
      </c>
      <c r="B704" s="178" t="s">
        <v>1712</v>
      </c>
      <c r="C704" s="178" t="s">
        <v>524</v>
      </c>
      <c r="D704" s="178" t="s">
        <v>1699</v>
      </c>
      <c r="E704">
        <v>3361.75</v>
      </c>
      <c r="F704">
        <v>504.27</v>
      </c>
      <c r="G704">
        <v>3866.02</v>
      </c>
    </row>
    <row r="705" spans="1:7" x14ac:dyDescent="0.35">
      <c r="A705" s="178" t="s">
        <v>1713</v>
      </c>
      <c r="B705" s="178" t="s">
        <v>1714</v>
      </c>
      <c r="C705" s="178" t="s">
        <v>524</v>
      </c>
      <c r="D705" s="178" t="s">
        <v>63</v>
      </c>
      <c r="E705">
        <v>4182.75</v>
      </c>
      <c r="F705">
        <v>627.41999999999996</v>
      </c>
      <c r="G705">
        <v>4810.17</v>
      </c>
    </row>
    <row r="706" spans="1:7" x14ac:dyDescent="0.35">
      <c r="A706" s="178" t="s">
        <v>1715</v>
      </c>
      <c r="B706" s="178" t="s">
        <v>1716</v>
      </c>
      <c r="C706" s="178" t="s">
        <v>524</v>
      </c>
      <c r="D706" s="178" t="s">
        <v>63</v>
      </c>
      <c r="E706">
        <v>11353.2</v>
      </c>
      <c r="F706">
        <v>1702.98</v>
      </c>
      <c r="G706">
        <v>13056.18</v>
      </c>
    </row>
    <row r="707" spans="1:7" x14ac:dyDescent="0.35">
      <c r="A707" s="178" t="s">
        <v>460</v>
      </c>
      <c r="B707" s="178" t="s">
        <v>1717</v>
      </c>
      <c r="C707" s="178" t="s">
        <v>524</v>
      </c>
      <c r="D707" s="178" t="s">
        <v>1718</v>
      </c>
      <c r="E707">
        <v>900</v>
      </c>
      <c r="F707">
        <v>135</v>
      </c>
      <c r="G707">
        <v>1035</v>
      </c>
    </row>
    <row r="708" spans="1:7" x14ac:dyDescent="0.35">
      <c r="A708" s="178" t="s">
        <v>576</v>
      </c>
      <c r="B708" s="178" t="s">
        <v>1719</v>
      </c>
      <c r="C708" s="178" t="s">
        <v>524</v>
      </c>
      <c r="D708" s="178" t="s">
        <v>63</v>
      </c>
      <c r="E708">
        <v>2063.6</v>
      </c>
      <c r="F708">
        <v>309.54000000000002</v>
      </c>
      <c r="G708">
        <v>2373.14</v>
      </c>
    </row>
    <row r="709" spans="1:7" x14ac:dyDescent="0.35">
      <c r="A709" s="178" t="s">
        <v>753</v>
      </c>
      <c r="B709" s="178" t="s">
        <v>1720</v>
      </c>
      <c r="C709" s="178" t="s">
        <v>524</v>
      </c>
      <c r="D709" s="178" t="s">
        <v>63</v>
      </c>
      <c r="E709">
        <v>1268.4000000000001</v>
      </c>
      <c r="F709">
        <v>190.26</v>
      </c>
      <c r="G709">
        <v>1458.66</v>
      </c>
    </row>
    <row r="710" spans="1:7" x14ac:dyDescent="0.35">
      <c r="A710" s="178" t="s">
        <v>1035</v>
      </c>
      <c r="B710" s="178" t="s">
        <v>1721</v>
      </c>
      <c r="C710" s="178" t="s">
        <v>524</v>
      </c>
      <c r="D710" s="178" t="s">
        <v>63</v>
      </c>
      <c r="E710">
        <v>23430.6</v>
      </c>
      <c r="F710">
        <v>3514.6</v>
      </c>
      <c r="G710">
        <v>26945.200000000001</v>
      </c>
    </row>
    <row r="711" spans="1:7" x14ac:dyDescent="0.35">
      <c r="A711" s="178" t="s">
        <v>623</v>
      </c>
      <c r="B711" s="178" t="s">
        <v>1722</v>
      </c>
      <c r="C711" s="178" t="s">
        <v>524</v>
      </c>
      <c r="D711" s="178" t="s">
        <v>1723</v>
      </c>
      <c r="E711">
        <v>5407.2</v>
      </c>
      <c r="F711">
        <v>811.08</v>
      </c>
      <c r="G711">
        <v>6218.28</v>
      </c>
    </row>
    <row r="712" spans="1:7" x14ac:dyDescent="0.35">
      <c r="A712" s="178" t="s">
        <v>450</v>
      </c>
      <c r="B712" s="178" t="s">
        <v>1724</v>
      </c>
      <c r="C712" s="178" t="s">
        <v>524</v>
      </c>
      <c r="D712" s="178" t="s">
        <v>63</v>
      </c>
      <c r="E712">
        <v>15650.9</v>
      </c>
      <c r="F712">
        <v>2347.64</v>
      </c>
      <c r="G712">
        <v>17998.54</v>
      </c>
    </row>
    <row r="713" spans="1:7" x14ac:dyDescent="0.35">
      <c r="A713" s="178" t="s">
        <v>1725</v>
      </c>
      <c r="B713" s="178" t="s">
        <v>1726</v>
      </c>
      <c r="C713" s="178" t="s">
        <v>524</v>
      </c>
      <c r="D713" s="178" t="s">
        <v>63</v>
      </c>
      <c r="E713">
        <v>8738.4</v>
      </c>
      <c r="F713">
        <v>1310.77</v>
      </c>
      <c r="G713">
        <v>10049.17</v>
      </c>
    </row>
    <row r="714" spans="1:7" x14ac:dyDescent="0.35">
      <c r="A714" s="178" t="s">
        <v>1727</v>
      </c>
      <c r="B714" s="178" t="s">
        <v>1728</v>
      </c>
      <c r="C714" s="178" t="s">
        <v>524</v>
      </c>
      <c r="D714" s="178" t="s">
        <v>63</v>
      </c>
      <c r="E714">
        <v>1447.6</v>
      </c>
      <c r="F714">
        <v>217.14</v>
      </c>
      <c r="G714">
        <v>1664.74</v>
      </c>
    </row>
    <row r="715" spans="1:7" x14ac:dyDescent="0.35">
      <c r="A715" s="178" t="s">
        <v>460</v>
      </c>
      <c r="B715" s="178" t="s">
        <v>1729</v>
      </c>
      <c r="C715" s="178" t="s">
        <v>524</v>
      </c>
      <c r="D715" s="178" t="s">
        <v>1730</v>
      </c>
      <c r="E715">
        <v>3489.1</v>
      </c>
      <c r="F715">
        <v>523.37</v>
      </c>
      <c r="G715">
        <v>4012.47</v>
      </c>
    </row>
    <row r="716" spans="1:7" x14ac:dyDescent="0.35">
      <c r="A716" s="178" t="s">
        <v>460</v>
      </c>
      <c r="B716" s="178" t="s">
        <v>1731</v>
      </c>
      <c r="C716" s="178" t="s">
        <v>524</v>
      </c>
      <c r="D716" s="178" t="s">
        <v>1732</v>
      </c>
      <c r="E716">
        <v>2250</v>
      </c>
      <c r="F716">
        <v>337.5</v>
      </c>
      <c r="G716">
        <v>2587.5</v>
      </c>
    </row>
    <row r="717" spans="1:7" x14ac:dyDescent="0.35">
      <c r="A717" s="178" t="s">
        <v>634</v>
      </c>
      <c r="B717" s="178" t="s">
        <v>1733</v>
      </c>
      <c r="C717" s="178" t="s">
        <v>524</v>
      </c>
      <c r="D717" s="178" t="s">
        <v>63</v>
      </c>
      <c r="E717">
        <v>366.6</v>
      </c>
      <c r="F717">
        <v>54.99</v>
      </c>
      <c r="G717">
        <v>421.59</v>
      </c>
    </row>
    <row r="718" spans="1:7" x14ac:dyDescent="0.35">
      <c r="A718" s="178" t="s">
        <v>1084</v>
      </c>
      <c r="B718" s="178" t="s">
        <v>1734</v>
      </c>
      <c r="C718" s="178" t="s">
        <v>524</v>
      </c>
      <c r="D718" s="178" t="s">
        <v>1735</v>
      </c>
      <c r="E718">
        <v>32896.449999999997</v>
      </c>
      <c r="F718">
        <v>4934.47</v>
      </c>
      <c r="G718">
        <v>37830.92</v>
      </c>
    </row>
    <row r="719" spans="1:7" x14ac:dyDescent="0.35">
      <c r="A719" s="178" t="s">
        <v>1033</v>
      </c>
      <c r="B719" s="178" t="s">
        <v>1736</v>
      </c>
      <c r="C719" s="178" t="s">
        <v>524</v>
      </c>
      <c r="D719" s="178" t="s">
        <v>63</v>
      </c>
      <c r="E719">
        <v>30738.25</v>
      </c>
      <c r="F719">
        <v>4610.75</v>
      </c>
      <c r="G719">
        <v>35349</v>
      </c>
    </row>
    <row r="720" spans="1:7" x14ac:dyDescent="0.35">
      <c r="A720" s="178" t="s">
        <v>1737</v>
      </c>
      <c r="B720" s="178" t="s">
        <v>1738</v>
      </c>
      <c r="C720" s="178" t="s">
        <v>524</v>
      </c>
      <c r="D720" s="178" t="s">
        <v>1739</v>
      </c>
      <c r="E720">
        <v>21489.15</v>
      </c>
      <c r="F720" s="178" t="s">
        <v>63</v>
      </c>
      <c r="G720">
        <v>21489.15</v>
      </c>
    </row>
    <row r="721" spans="1:7" x14ac:dyDescent="0.35">
      <c r="A721" s="178" t="s">
        <v>1055</v>
      </c>
      <c r="B721" s="178" t="s">
        <v>1740</v>
      </c>
      <c r="C721" s="178" t="s">
        <v>524</v>
      </c>
      <c r="D721" s="178" t="s">
        <v>63</v>
      </c>
      <c r="E721">
        <v>2780.85</v>
      </c>
      <c r="F721">
        <v>417.13</v>
      </c>
      <c r="G721">
        <v>3197.98</v>
      </c>
    </row>
    <row r="722" spans="1:7" x14ac:dyDescent="0.35">
      <c r="A722" s="178" t="s">
        <v>640</v>
      </c>
      <c r="B722" s="178" t="s">
        <v>1741</v>
      </c>
      <c r="C722" s="178" t="s">
        <v>524</v>
      </c>
      <c r="D722" s="178" t="s">
        <v>1742</v>
      </c>
      <c r="E722">
        <v>21298</v>
      </c>
      <c r="F722">
        <v>3194.7</v>
      </c>
      <c r="G722">
        <v>24492.7</v>
      </c>
    </row>
    <row r="723" spans="1:7" x14ac:dyDescent="0.35">
      <c r="A723" s="178" t="s">
        <v>925</v>
      </c>
      <c r="B723" s="178" t="s">
        <v>1743</v>
      </c>
      <c r="C723" s="178" t="s">
        <v>524</v>
      </c>
      <c r="D723" s="178" t="s">
        <v>63</v>
      </c>
      <c r="E723">
        <v>24633.8</v>
      </c>
      <c r="F723">
        <v>3695.07</v>
      </c>
      <c r="G723">
        <v>28328.87</v>
      </c>
    </row>
    <row r="724" spans="1:7" x14ac:dyDescent="0.35">
      <c r="A724" s="178" t="s">
        <v>453</v>
      </c>
      <c r="B724" s="178" t="s">
        <v>1744</v>
      </c>
      <c r="C724" s="178" t="s">
        <v>524</v>
      </c>
      <c r="D724" s="178" t="s">
        <v>63</v>
      </c>
      <c r="E724">
        <v>1388.8</v>
      </c>
      <c r="F724">
        <v>208.32</v>
      </c>
      <c r="G724">
        <v>1597.12</v>
      </c>
    </row>
    <row r="725" spans="1:7" x14ac:dyDescent="0.35">
      <c r="A725" s="178" t="s">
        <v>602</v>
      </c>
      <c r="B725" s="178" t="s">
        <v>1745</v>
      </c>
      <c r="C725" s="178" t="s">
        <v>524</v>
      </c>
      <c r="D725" s="178" t="s">
        <v>63</v>
      </c>
      <c r="E725">
        <v>18670.599999999999</v>
      </c>
      <c r="F725">
        <v>2800.59</v>
      </c>
      <c r="G725">
        <v>21471.19</v>
      </c>
    </row>
    <row r="726" spans="1:7" x14ac:dyDescent="0.35">
      <c r="A726" s="178" t="s">
        <v>1746</v>
      </c>
      <c r="B726" s="178" t="s">
        <v>1747</v>
      </c>
      <c r="C726" s="178" t="s">
        <v>524</v>
      </c>
      <c r="D726" s="178" t="s">
        <v>63</v>
      </c>
      <c r="E726">
        <v>14315.4</v>
      </c>
      <c r="F726">
        <v>2147.31</v>
      </c>
      <c r="G726">
        <v>16462.71</v>
      </c>
    </row>
    <row r="727" spans="1:7" x14ac:dyDescent="0.35">
      <c r="A727" s="178" t="s">
        <v>1748</v>
      </c>
      <c r="B727" s="178" t="s">
        <v>1749</v>
      </c>
      <c r="C727" s="178" t="s">
        <v>524</v>
      </c>
      <c r="D727" s="178" t="s">
        <v>1750</v>
      </c>
      <c r="E727">
        <v>677878.46</v>
      </c>
      <c r="F727" s="178" t="s">
        <v>63</v>
      </c>
      <c r="G727">
        <v>677878.46</v>
      </c>
    </row>
    <row r="728" spans="1:7" x14ac:dyDescent="0.35">
      <c r="A728" s="178" t="s">
        <v>889</v>
      </c>
      <c r="B728" s="178" t="s">
        <v>1751</v>
      </c>
      <c r="C728" s="178" t="s">
        <v>524</v>
      </c>
      <c r="D728" s="178" t="s">
        <v>63</v>
      </c>
      <c r="E728">
        <v>2447.6999999999998</v>
      </c>
      <c r="F728">
        <v>367.16</v>
      </c>
      <c r="G728">
        <v>2814.86</v>
      </c>
    </row>
    <row r="729" spans="1:7" x14ac:dyDescent="0.35">
      <c r="A729" s="178" t="s">
        <v>1752</v>
      </c>
      <c r="B729" s="178" t="s">
        <v>1753</v>
      </c>
      <c r="C729" s="178" t="s">
        <v>524</v>
      </c>
      <c r="D729" s="178" t="s">
        <v>63</v>
      </c>
      <c r="E729">
        <v>2349.1999999999998</v>
      </c>
      <c r="F729">
        <v>352.38</v>
      </c>
      <c r="G729">
        <v>2701.58</v>
      </c>
    </row>
    <row r="730" spans="1:7" x14ac:dyDescent="0.35">
      <c r="A730" s="178" t="s">
        <v>623</v>
      </c>
      <c r="B730" s="178" t="s">
        <v>1754</v>
      </c>
      <c r="C730" s="178" t="s">
        <v>524</v>
      </c>
      <c r="D730" s="178" t="s">
        <v>1755</v>
      </c>
      <c r="E730">
        <v>10072.799999999999</v>
      </c>
      <c r="F730">
        <v>1510.92</v>
      </c>
      <c r="G730">
        <v>11583.72</v>
      </c>
    </row>
    <row r="731" spans="1:7" x14ac:dyDescent="0.35">
      <c r="A731" s="178" t="s">
        <v>557</v>
      </c>
      <c r="B731" s="178" t="s">
        <v>1756</v>
      </c>
      <c r="C731" s="178" t="s">
        <v>524</v>
      </c>
      <c r="D731" s="178" t="s">
        <v>1757</v>
      </c>
      <c r="E731">
        <v>1305.3</v>
      </c>
      <c r="F731">
        <v>195.8</v>
      </c>
      <c r="G731">
        <v>1501.1</v>
      </c>
    </row>
    <row r="732" spans="1:7" x14ac:dyDescent="0.35">
      <c r="A732" s="178" t="s">
        <v>889</v>
      </c>
      <c r="B732" s="178" t="s">
        <v>1758</v>
      </c>
      <c r="C732" s="178" t="s">
        <v>524</v>
      </c>
      <c r="D732" s="178" t="s">
        <v>63</v>
      </c>
      <c r="E732">
        <v>930.7</v>
      </c>
      <c r="F732">
        <v>139.61000000000001</v>
      </c>
      <c r="G732">
        <v>1070.31</v>
      </c>
    </row>
    <row r="733" spans="1:7" x14ac:dyDescent="0.35">
      <c r="A733" s="178" t="s">
        <v>691</v>
      </c>
      <c r="B733" s="178" t="s">
        <v>1759</v>
      </c>
      <c r="C733" s="178" t="s">
        <v>524</v>
      </c>
      <c r="D733" s="178" t="s">
        <v>63</v>
      </c>
      <c r="E733">
        <v>1956</v>
      </c>
      <c r="F733">
        <v>293.41000000000003</v>
      </c>
      <c r="G733">
        <v>2249.41</v>
      </c>
    </row>
    <row r="734" spans="1:7" x14ac:dyDescent="0.35">
      <c r="A734" s="178" t="s">
        <v>1760</v>
      </c>
      <c r="B734" s="178" t="s">
        <v>1761</v>
      </c>
      <c r="C734" s="178" t="s">
        <v>524</v>
      </c>
      <c r="D734" s="178" t="s">
        <v>63</v>
      </c>
      <c r="E734">
        <v>1395.15</v>
      </c>
      <c r="F734">
        <v>209.27</v>
      </c>
      <c r="G734">
        <v>1604.42</v>
      </c>
    </row>
    <row r="735" spans="1:7" x14ac:dyDescent="0.35">
      <c r="A735" s="178" t="s">
        <v>466</v>
      </c>
      <c r="B735" s="178" t="s">
        <v>1762</v>
      </c>
      <c r="C735" s="178" t="s">
        <v>524</v>
      </c>
      <c r="D735" s="178" t="s">
        <v>63</v>
      </c>
      <c r="E735">
        <v>1363</v>
      </c>
      <c r="F735">
        <v>204.45</v>
      </c>
      <c r="G735">
        <v>1567.45</v>
      </c>
    </row>
    <row r="736" spans="1:7" x14ac:dyDescent="0.35">
      <c r="A736" s="178" t="s">
        <v>526</v>
      </c>
      <c r="B736" s="178" t="s">
        <v>1763</v>
      </c>
      <c r="C736" s="178" t="s">
        <v>524</v>
      </c>
      <c r="D736" s="178" t="s">
        <v>63</v>
      </c>
      <c r="E736">
        <v>1212.3</v>
      </c>
      <c r="F736">
        <v>181.85</v>
      </c>
      <c r="G736">
        <v>1394.15</v>
      </c>
    </row>
    <row r="737" spans="1:7" x14ac:dyDescent="0.35">
      <c r="A737" s="178" t="s">
        <v>560</v>
      </c>
      <c r="B737" s="178" t="s">
        <v>1764</v>
      </c>
      <c r="C737" s="178" t="s">
        <v>524</v>
      </c>
      <c r="D737" s="178" t="s">
        <v>63</v>
      </c>
      <c r="E737">
        <v>25487</v>
      </c>
      <c r="F737">
        <v>3823.05</v>
      </c>
      <c r="G737">
        <v>29310.05</v>
      </c>
    </row>
    <row r="738" spans="1:7" x14ac:dyDescent="0.35">
      <c r="A738" s="178" t="s">
        <v>623</v>
      </c>
      <c r="B738" s="178" t="s">
        <v>1765</v>
      </c>
      <c r="C738" s="178" t="s">
        <v>524</v>
      </c>
      <c r="D738" s="178" t="s">
        <v>1766</v>
      </c>
      <c r="E738">
        <v>16730.400000000001</v>
      </c>
      <c r="F738">
        <v>2509.56</v>
      </c>
      <c r="G738">
        <v>19239.96</v>
      </c>
    </row>
    <row r="739" spans="1:7" x14ac:dyDescent="0.35">
      <c r="A739" s="178" t="s">
        <v>857</v>
      </c>
      <c r="B739" s="178" t="s">
        <v>1767</v>
      </c>
      <c r="C739" s="178" t="s">
        <v>524</v>
      </c>
      <c r="D739" s="178" t="s">
        <v>63</v>
      </c>
      <c r="E739">
        <v>2000</v>
      </c>
      <c r="F739">
        <v>300</v>
      </c>
      <c r="G739">
        <v>2300</v>
      </c>
    </row>
    <row r="740" spans="1:7" x14ac:dyDescent="0.35">
      <c r="A740" s="178" t="s">
        <v>508</v>
      </c>
      <c r="B740" s="178" t="s">
        <v>1768</v>
      </c>
      <c r="C740" s="178" t="s">
        <v>524</v>
      </c>
      <c r="D740" s="178" t="s">
        <v>63</v>
      </c>
      <c r="E740">
        <v>1368</v>
      </c>
      <c r="F740">
        <v>205.2</v>
      </c>
      <c r="G740">
        <v>1573.2</v>
      </c>
    </row>
    <row r="741" spans="1:7" x14ac:dyDescent="0.35">
      <c r="A741" s="178" t="s">
        <v>587</v>
      </c>
      <c r="B741" s="178" t="s">
        <v>1769</v>
      </c>
      <c r="C741" s="178" t="s">
        <v>546</v>
      </c>
      <c r="D741" s="178" t="s">
        <v>63</v>
      </c>
      <c r="E741">
        <v>24484.25</v>
      </c>
      <c r="F741">
        <v>3672.64</v>
      </c>
      <c r="G741">
        <v>28156.89</v>
      </c>
    </row>
    <row r="742" spans="1:7" x14ac:dyDescent="0.35">
      <c r="A742" s="178" t="s">
        <v>529</v>
      </c>
      <c r="B742" s="178" t="s">
        <v>1770</v>
      </c>
      <c r="C742" s="178" t="s">
        <v>546</v>
      </c>
      <c r="D742" s="178" t="s">
        <v>63</v>
      </c>
      <c r="E742">
        <v>3442.5</v>
      </c>
      <c r="F742">
        <v>516.38</v>
      </c>
      <c r="G742">
        <v>3958.88</v>
      </c>
    </row>
    <row r="743" spans="1:7" x14ac:dyDescent="0.35">
      <c r="A743" s="178" t="s">
        <v>905</v>
      </c>
      <c r="B743" s="178" t="s">
        <v>1771</v>
      </c>
      <c r="C743" s="178" t="s">
        <v>546</v>
      </c>
      <c r="D743" s="178" t="s">
        <v>63</v>
      </c>
      <c r="E743">
        <v>3087.7</v>
      </c>
      <c r="F743">
        <v>463.16</v>
      </c>
      <c r="G743">
        <v>3550.86</v>
      </c>
    </row>
    <row r="744" spans="1:7" x14ac:dyDescent="0.35">
      <c r="A744" s="178" t="s">
        <v>785</v>
      </c>
      <c r="B744" s="178" t="s">
        <v>1772</v>
      </c>
      <c r="C744" s="178" t="s">
        <v>546</v>
      </c>
      <c r="D744" s="178" t="s">
        <v>1773</v>
      </c>
      <c r="E744">
        <v>10853.5</v>
      </c>
      <c r="F744">
        <v>1628.03</v>
      </c>
      <c r="G744">
        <v>12481.53</v>
      </c>
    </row>
    <row r="745" spans="1:7" x14ac:dyDescent="0.35">
      <c r="A745" s="178" t="s">
        <v>1554</v>
      </c>
      <c r="B745" s="178" t="s">
        <v>1774</v>
      </c>
      <c r="C745" s="178" t="s">
        <v>546</v>
      </c>
      <c r="D745" s="178" t="s">
        <v>1775</v>
      </c>
      <c r="E745">
        <v>3027.5</v>
      </c>
      <c r="F745">
        <v>454.13</v>
      </c>
      <c r="G745">
        <v>3481.63</v>
      </c>
    </row>
    <row r="746" spans="1:7" x14ac:dyDescent="0.35">
      <c r="A746" s="178" t="s">
        <v>541</v>
      </c>
      <c r="B746" s="178" t="s">
        <v>1776</v>
      </c>
      <c r="C746" s="178" t="s">
        <v>546</v>
      </c>
      <c r="D746" s="178" t="s">
        <v>63</v>
      </c>
      <c r="E746">
        <v>724</v>
      </c>
      <c r="F746">
        <v>108.6</v>
      </c>
      <c r="G746">
        <v>832.6</v>
      </c>
    </row>
    <row r="747" spans="1:7" x14ac:dyDescent="0.35">
      <c r="A747" s="178" t="s">
        <v>776</v>
      </c>
      <c r="B747" s="178" t="s">
        <v>1777</v>
      </c>
      <c r="C747" s="178" t="s">
        <v>546</v>
      </c>
      <c r="D747" s="178" t="s">
        <v>63</v>
      </c>
      <c r="E747">
        <v>1267.01</v>
      </c>
      <c r="F747">
        <v>190.05</v>
      </c>
      <c r="G747">
        <v>1457.06</v>
      </c>
    </row>
    <row r="748" spans="1:7" x14ac:dyDescent="0.35">
      <c r="A748" s="178" t="s">
        <v>623</v>
      </c>
      <c r="B748" s="178" t="s">
        <v>1778</v>
      </c>
      <c r="C748" s="178" t="s">
        <v>546</v>
      </c>
      <c r="D748" s="178" t="s">
        <v>1779</v>
      </c>
      <c r="E748">
        <v>7828.8</v>
      </c>
      <c r="F748">
        <v>1174.32</v>
      </c>
      <c r="G748">
        <v>9003.1200000000008</v>
      </c>
    </row>
    <row r="749" spans="1:7" x14ac:dyDescent="0.35">
      <c r="A749" s="178" t="s">
        <v>933</v>
      </c>
      <c r="B749" s="178" t="s">
        <v>1780</v>
      </c>
      <c r="C749" s="178" t="s">
        <v>546</v>
      </c>
      <c r="D749" s="178" t="s">
        <v>935</v>
      </c>
      <c r="E749">
        <v>1271.45</v>
      </c>
      <c r="F749">
        <v>190.72</v>
      </c>
      <c r="G749">
        <v>1462.17</v>
      </c>
    </row>
    <row r="750" spans="1:7" x14ac:dyDescent="0.35">
      <c r="A750" s="178" t="s">
        <v>460</v>
      </c>
      <c r="B750" s="178" t="s">
        <v>1781</v>
      </c>
      <c r="C750" s="178" t="s">
        <v>546</v>
      </c>
      <c r="D750" s="178" t="s">
        <v>1782</v>
      </c>
      <c r="E750">
        <v>1387</v>
      </c>
      <c r="F750">
        <v>208.05</v>
      </c>
      <c r="G750">
        <v>1595.05</v>
      </c>
    </row>
    <row r="751" spans="1:7" x14ac:dyDescent="0.35">
      <c r="A751" s="178" t="s">
        <v>1783</v>
      </c>
      <c r="B751" s="178" t="s">
        <v>1784</v>
      </c>
      <c r="C751" s="178" t="s">
        <v>546</v>
      </c>
      <c r="D751" s="178" t="s">
        <v>63</v>
      </c>
      <c r="E751">
        <v>663.6</v>
      </c>
      <c r="F751">
        <v>99.54</v>
      </c>
      <c r="G751">
        <v>763.14</v>
      </c>
    </row>
    <row r="752" spans="1:7" x14ac:dyDescent="0.35">
      <c r="A752" s="178" t="s">
        <v>1120</v>
      </c>
      <c r="B752" s="178" t="s">
        <v>1785</v>
      </c>
      <c r="C752" s="178" t="s">
        <v>546</v>
      </c>
      <c r="D752" s="178" t="s">
        <v>63</v>
      </c>
      <c r="E752">
        <v>4737</v>
      </c>
      <c r="F752">
        <v>710.55</v>
      </c>
      <c r="G752">
        <v>5447.55</v>
      </c>
    </row>
    <row r="753" spans="1:7" x14ac:dyDescent="0.35">
      <c r="A753" s="178" t="s">
        <v>788</v>
      </c>
      <c r="B753" s="178" t="s">
        <v>1786</v>
      </c>
      <c r="C753" s="178" t="s">
        <v>546</v>
      </c>
      <c r="D753" s="178" t="s">
        <v>790</v>
      </c>
      <c r="E753">
        <v>1864</v>
      </c>
      <c r="F753">
        <v>279.60000000000002</v>
      </c>
      <c r="G753">
        <v>2143.6</v>
      </c>
    </row>
    <row r="754" spans="1:7" x14ac:dyDescent="0.35">
      <c r="A754" s="178" t="s">
        <v>1787</v>
      </c>
      <c r="B754" s="178" t="s">
        <v>1788</v>
      </c>
      <c r="C754" s="178" t="s">
        <v>546</v>
      </c>
      <c r="D754" s="178" t="s">
        <v>1789</v>
      </c>
      <c r="E754">
        <v>15722</v>
      </c>
      <c r="F754">
        <v>2358.3000000000002</v>
      </c>
      <c r="G754">
        <v>18080.3</v>
      </c>
    </row>
    <row r="755" spans="1:7" x14ac:dyDescent="0.35">
      <c r="A755" s="178" t="s">
        <v>623</v>
      </c>
      <c r="B755" s="178" t="s">
        <v>1790</v>
      </c>
      <c r="C755" s="178" t="s">
        <v>546</v>
      </c>
      <c r="D755" s="178" t="s">
        <v>1791</v>
      </c>
      <c r="E755">
        <v>16562.400000000001</v>
      </c>
      <c r="F755">
        <v>2484.36</v>
      </c>
      <c r="G755">
        <v>19046.759999999998</v>
      </c>
    </row>
    <row r="756" spans="1:7" x14ac:dyDescent="0.35">
      <c r="A756" s="178" t="s">
        <v>466</v>
      </c>
      <c r="B756" s="178" t="s">
        <v>1792</v>
      </c>
      <c r="C756" s="178" t="s">
        <v>546</v>
      </c>
      <c r="D756" s="178" t="s">
        <v>63</v>
      </c>
      <c r="E756">
        <v>656.75</v>
      </c>
      <c r="F756">
        <v>98.51</v>
      </c>
      <c r="G756">
        <v>755.26</v>
      </c>
    </row>
    <row r="757" spans="1:7" x14ac:dyDescent="0.35">
      <c r="A757" s="178" t="s">
        <v>1074</v>
      </c>
      <c r="B757" s="178" t="s">
        <v>1793</v>
      </c>
      <c r="C757" s="178" t="s">
        <v>546</v>
      </c>
      <c r="D757" s="178" t="s">
        <v>63</v>
      </c>
      <c r="E757">
        <v>7645</v>
      </c>
      <c r="F757">
        <v>1146.75</v>
      </c>
      <c r="G757">
        <v>8791.75</v>
      </c>
    </row>
    <row r="758" spans="1:7" x14ac:dyDescent="0.35">
      <c r="A758" s="178" t="s">
        <v>968</v>
      </c>
      <c r="B758" s="178" t="s">
        <v>1794</v>
      </c>
      <c r="C758" s="178" t="s">
        <v>546</v>
      </c>
      <c r="D758" s="178" t="s">
        <v>63</v>
      </c>
      <c r="E758">
        <v>7052.4</v>
      </c>
      <c r="F758">
        <v>1057.8599999999999</v>
      </c>
      <c r="G758">
        <v>8110.26</v>
      </c>
    </row>
    <row r="759" spans="1:7" x14ac:dyDescent="0.35">
      <c r="A759" s="178" t="s">
        <v>747</v>
      </c>
      <c r="B759" s="178" t="s">
        <v>1795</v>
      </c>
      <c r="C759" s="178" t="s">
        <v>546</v>
      </c>
      <c r="D759" s="178" t="s">
        <v>63</v>
      </c>
      <c r="E759">
        <v>858.5</v>
      </c>
      <c r="F759">
        <v>128.78</v>
      </c>
      <c r="G759">
        <v>987.28</v>
      </c>
    </row>
    <row r="760" spans="1:7" x14ac:dyDescent="0.35">
      <c r="A760" s="178" t="s">
        <v>1593</v>
      </c>
      <c r="B760" s="178" t="s">
        <v>1796</v>
      </c>
      <c r="C760" s="178" t="s">
        <v>546</v>
      </c>
      <c r="D760" s="178" t="s">
        <v>63</v>
      </c>
      <c r="E760">
        <v>2761.5</v>
      </c>
      <c r="F760">
        <v>414.23</v>
      </c>
      <c r="G760">
        <v>3175.73</v>
      </c>
    </row>
    <row r="761" spans="1:7" x14ac:dyDescent="0.35">
      <c r="A761" s="178" t="s">
        <v>917</v>
      </c>
      <c r="B761" s="178" t="s">
        <v>1797</v>
      </c>
      <c r="C761" s="178" t="s">
        <v>546</v>
      </c>
      <c r="D761" s="178" t="s">
        <v>63</v>
      </c>
      <c r="E761">
        <v>9499.6</v>
      </c>
      <c r="F761">
        <v>1424.94</v>
      </c>
      <c r="G761">
        <v>10924.54</v>
      </c>
    </row>
    <row r="762" spans="1:7" x14ac:dyDescent="0.35">
      <c r="A762" s="178" t="s">
        <v>1499</v>
      </c>
      <c r="B762" s="178" t="s">
        <v>1798</v>
      </c>
      <c r="C762" s="178" t="s">
        <v>546</v>
      </c>
      <c r="D762" s="178" t="s">
        <v>63</v>
      </c>
      <c r="E762">
        <v>6194.05</v>
      </c>
      <c r="F762">
        <v>929.11</v>
      </c>
      <c r="G762">
        <v>7123.16</v>
      </c>
    </row>
    <row r="763" spans="1:7" x14ac:dyDescent="0.35">
      <c r="A763" s="178" t="s">
        <v>1799</v>
      </c>
      <c r="B763" s="178" t="s">
        <v>1800</v>
      </c>
      <c r="C763" s="178" t="s">
        <v>546</v>
      </c>
      <c r="D763" s="178" t="s">
        <v>63</v>
      </c>
      <c r="E763">
        <v>1008</v>
      </c>
      <c r="F763">
        <v>151.19999999999999</v>
      </c>
      <c r="G763">
        <v>1159.2</v>
      </c>
    </row>
    <row r="764" spans="1:7" x14ac:dyDescent="0.35">
      <c r="A764" s="178" t="s">
        <v>1279</v>
      </c>
      <c r="B764" s="178" t="s">
        <v>1801</v>
      </c>
      <c r="C764" s="178" t="s">
        <v>546</v>
      </c>
      <c r="D764" s="178" t="s">
        <v>63</v>
      </c>
      <c r="E764">
        <v>1785</v>
      </c>
      <c r="F764">
        <v>267.75</v>
      </c>
      <c r="G764">
        <v>2052.75</v>
      </c>
    </row>
    <row r="765" spans="1:7" x14ac:dyDescent="0.35">
      <c r="A765" s="178" t="s">
        <v>893</v>
      </c>
      <c r="B765" s="178" t="s">
        <v>1802</v>
      </c>
      <c r="C765" s="178" t="s">
        <v>546</v>
      </c>
      <c r="D765" s="178" t="s">
        <v>63</v>
      </c>
      <c r="E765">
        <v>7593.07</v>
      </c>
      <c r="F765">
        <v>1138.97</v>
      </c>
      <c r="G765">
        <v>8732.0400000000009</v>
      </c>
    </row>
    <row r="766" spans="1:7" x14ac:dyDescent="0.35">
      <c r="A766" s="178" t="s">
        <v>1803</v>
      </c>
      <c r="B766" s="178" t="s">
        <v>1804</v>
      </c>
      <c r="C766" s="178" t="s">
        <v>546</v>
      </c>
      <c r="D766" s="178" t="s">
        <v>63</v>
      </c>
      <c r="E766">
        <v>803.25</v>
      </c>
      <c r="F766">
        <v>120.49</v>
      </c>
      <c r="G766">
        <v>923.74</v>
      </c>
    </row>
    <row r="767" spans="1:7" x14ac:dyDescent="0.35">
      <c r="A767" s="178" t="s">
        <v>1805</v>
      </c>
      <c r="B767" s="178" t="s">
        <v>1806</v>
      </c>
      <c r="C767" s="178" t="s">
        <v>546</v>
      </c>
      <c r="D767" s="178" t="s">
        <v>63</v>
      </c>
      <c r="E767">
        <v>2120.0500000000002</v>
      </c>
      <c r="F767">
        <v>318.01</v>
      </c>
      <c r="G767">
        <v>2438.06</v>
      </c>
    </row>
    <row r="768" spans="1:7" x14ac:dyDescent="0.35">
      <c r="A768" s="178" t="s">
        <v>1194</v>
      </c>
      <c r="B768" s="178" t="s">
        <v>1807</v>
      </c>
      <c r="C768" s="178" t="s">
        <v>546</v>
      </c>
      <c r="D768" s="178" t="s">
        <v>63</v>
      </c>
      <c r="E768">
        <v>34879.449999999997</v>
      </c>
      <c r="F768">
        <v>5231.92</v>
      </c>
      <c r="G768">
        <v>40111.370000000003</v>
      </c>
    </row>
    <row r="769" spans="1:7" x14ac:dyDescent="0.35">
      <c r="A769" s="178" t="s">
        <v>460</v>
      </c>
      <c r="B769" s="178" t="s">
        <v>1808</v>
      </c>
      <c r="C769" s="178" t="s">
        <v>546</v>
      </c>
      <c r="D769" s="178" t="s">
        <v>1809</v>
      </c>
      <c r="E769">
        <v>2904.4</v>
      </c>
      <c r="F769">
        <v>435.66</v>
      </c>
      <c r="G769">
        <v>3340.06</v>
      </c>
    </row>
    <row r="770" spans="1:7" x14ac:dyDescent="0.35">
      <c r="A770" s="178" t="s">
        <v>1810</v>
      </c>
      <c r="B770" s="178" t="s">
        <v>1811</v>
      </c>
      <c r="C770" s="178" t="s">
        <v>546</v>
      </c>
      <c r="D770" s="178" t="s">
        <v>1812</v>
      </c>
      <c r="E770">
        <v>38981.25</v>
      </c>
      <c r="F770">
        <v>5847.19</v>
      </c>
      <c r="G770">
        <v>44828.44</v>
      </c>
    </row>
    <row r="771" spans="1:7" x14ac:dyDescent="0.35">
      <c r="A771" s="178" t="s">
        <v>1810</v>
      </c>
      <c r="B771" s="178" t="s">
        <v>1813</v>
      </c>
      <c r="C771" s="178" t="s">
        <v>546</v>
      </c>
      <c r="D771" s="178" t="s">
        <v>1814</v>
      </c>
      <c r="E771">
        <v>23105.25</v>
      </c>
      <c r="F771">
        <v>3465.79</v>
      </c>
      <c r="G771">
        <v>26571.040000000001</v>
      </c>
    </row>
    <row r="772" spans="1:7" x14ac:dyDescent="0.35">
      <c r="A772" s="178" t="s">
        <v>1810</v>
      </c>
      <c r="B772" s="178" t="s">
        <v>1815</v>
      </c>
      <c r="C772" s="178" t="s">
        <v>546</v>
      </c>
      <c r="D772" s="178" t="s">
        <v>1816</v>
      </c>
      <c r="E772">
        <v>8432</v>
      </c>
      <c r="F772">
        <v>1264.8</v>
      </c>
      <c r="G772">
        <v>9696.7999999999993</v>
      </c>
    </row>
    <row r="773" spans="1:7" x14ac:dyDescent="0.35">
      <c r="A773" s="178" t="s">
        <v>1810</v>
      </c>
      <c r="B773" s="178" t="s">
        <v>1817</v>
      </c>
      <c r="C773" s="178" t="s">
        <v>546</v>
      </c>
      <c r="D773" s="178" t="s">
        <v>1818</v>
      </c>
      <c r="E773">
        <v>4313.75</v>
      </c>
      <c r="F773">
        <v>647.05999999999995</v>
      </c>
      <c r="G773">
        <v>4960.8100000000004</v>
      </c>
    </row>
    <row r="774" spans="1:7" x14ac:dyDescent="0.35">
      <c r="A774" s="178" t="s">
        <v>1810</v>
      </c>
      <c r="B774" s="178" t="s">
        <v>1819</v>
      </c>
      <c r="C774" s="178" t="s">
        <v>546</v>
      </c>
      <c r="D774" s="178" t="s">
        <v>1820</v>
      </c>
      <c r="E774">
        <v>4152.25</v>
      </c>
      <c r="F774">
        <v>622.84</v>
      </c>
      <c r="G774">
        <v>4775.09</v>
      </c>
    </row>
    <row r="775" spans="1:7" x14ac:dyDescent="0.35">
      <c r="A775" s="178" t="s">
        <v>1810</v>
      </c>
      <c r="B775" s="178" t="s">
        <v>1821</v>
      </c>
      <c r="C775" s="178" t="s">
        <v>546</v>
      </c>
      <c r="D775" s="178" t="s">
        <v>1814</v>
      </c>
      <c r="E775">
        <v>23510.25</v>
      </c>
      <c r="F775">
        <v>3526.54</v>
      </c>
      <c r="G775">
        <v>27036.79</v>
      </c>
    </row>
    <row r="776" spans="1:7" x14ac:dyDescent="0.35">
      <c r="A776" s="178" t="s">
        <v>1810</v>
      </c>
      <c r="B776" s="178" t="s">
        <v>1822</v>
      </c>
      <c r="C776" s="178" t="s">
        <v>546</v>
      </c>
      <c r="D776" s="178" t="s">
        <v>1823</v>
      </c>
      <c r="E776">
        <v>4228.75</v>
      </c>
      <c r="F776">
        <v>634.30999999999995</v>
      </c>
      <c r="G776">
        <v>4863.0600000000004</v>
      </c>
    </row>
    <row r="777" spans="1:7" x14ac:dyDescent="0.35">
      <c r="A777" s="178" t="s">
        <v>1810</v>
      </c>
      <c r="B777" s="178" t="s">
        <v>1824</v>
      </c>
      <c r="C777" s="178" t="s">
        <v>546</v>
      </c>
      <c r="D777" s="178" t="s">
        <v>1814</v>
      </c>
      <c r="E777">
        <v>23664.15</v>
      </c>
      <c r="F777">
        <v>3549.62</v>
      </c>
      <c r="G777">
        <v>27213.77</v>
      </c>
    </row>
    <row r="778" spans="1:7" x14ac:dyDescent="0.35">
      <c r="A778" s="178" t="s">
        <v>1810</v>
      </c>
      <c r="B778" s="178" t="s">
        <v>1825</v>
      </c>
      <c r="C778" s="178" t="s">
        <v>546</v>
      </c>
      <c r="D778" s="178" t="s">
        <v>1816</v>
      </c>
      <c r="E778">
        <v>8092</v>
      </c>
      <c r="F778">
        <v>1213.8</v>
      </c>
      <c r="G778">
        <v>9305.7999999999993</v>
      </c>
    </row>
    <row r="779" spans="1:7" x14ac:dyDescent="0.35">
      <c r="A779" s="178" t="s">
        <v>1810</v>
      </c>
      <c r="B779" s="178" t="s">
        <v>1826</v>
      </c>
      <c r="C779" s="178" t="s">
        <v>546</v>
      </c>
      <c r="D779" s="178" t="s">
        <v>1827</v>
      </c>
      <c r="E779">
        <v>10467.75</v>
      </c>
      <c r="F779">
        <v>1570.16</v>
      </c>
      <c r="G779">
        <v>12037.91</v>
      </c>
    </row>
    <row r="780" spans="1:7" x14ac:dyDescent="0.35">
      <c r="A780" s="178" t="s">
        <v>1810</v>
      </c>
      <c r="B780" s="178" t="s">
        <v>1828</v>
      </c>
      <c r="C780" s="178" t="s">
        <v>546</v>
      </c>
      <c r="D780" s="178" t="s">
        <v>1827</v>
      </c>
      <c r="E780">
        <v>8155.75</v>
      </c>
      <c r="F780">
        <v>1223.3599999999999</v>
      </c>
      <c r="G780">
        <v>9379.11</v>
      </c>
    </row>
    <row r="781" spans="1:7" x14ac:dyDescent="0.35">
      <c r="A781" s="178" t="s">
        <v>1810</v>
      </c>
      <c r="B781" s="178" t="s">
        <v>1829</v>
      </c>
      <c r="C781" s="178" t="s">
        <v>546</v>
      </c>
      <c r="D781" s="178" t="s">
        <v>1816</v>
      </c>
      <c r="E781">
        <v>8848.5</v>
      </c>
      <c r="F781">
        <v>1327.28</v>
      </c>
      <c r="G781">
        <v>10175.780000000001</v>
      </c>
    </row>
    <row r="782" spans="1:7" x14ac:dyDescent="0.35">
      <c r="A782" s="178" t="s">
        <v>1810</v>
      </c>
      <c r="B782" s="178" t="s">
        <v>1830</v>
      </c>
      <c r="C782" s="178" t="s">
        <v>546</v>
      </c>
      <c r="D782" s="178" t="s">
        <v>1823</v>
      </c>
      <c r="E782">
        <v>7505.5</v>
      </c>
      <c r="F782">
        <v>1125.83</v>
      </c>
      <c r="G782">
        <v>8631.33</v>
      </c>
    </row>
    <row r="783" spans="1:7" x14ac:dyDescent="0.35">
      <c r="A783" s="178" t="s">
        <v>1123</v>
      </c>
      <c r="B783" s="178" t="s">
        <v>1831</v>
      </c>
      <c r="C783" s="178" t="s">
        <v>546</v>
      </c>
      <c r="D783" s="178" t="s">
        <v>63</v>
      </c>
      <c r="E783">
        <v>4705.5</v>
      </c>
      <c r="F783">
        <v>705.83</v>
      </c>
      <c r="G783">
        <v>5411.33</v>
      </c>
    </row>
    <row r="784" spans="1:7" x14ac:dyDescent="0.35">
      <c r="A784" s="178" t="s">
        <v>1832</v>
      </c>
      <c r="B784" s="178" t="s">
        <v>1833</v>
      </c>
      <c r="C784" s="178" t="s">
        <v>546</v>
      </c>
      <c r="D784" s="178" t="s">
        <v>63</v>
      </c>
      <c r="E784">
        <v>860</v>
      </c>
      <c r="F784">
        <v>129</v>
      </c>
      <c r="G784">
        <v>989</v>
      </c>
    </row>
    <row r="785" spans="1:7" x14ac:dyDescent="0.35">
      <c r="A785" s="178" t="s">
        <v>529</v>
      </c>
      <c r="B785" s="178" t="s">
        <v>1834</v>
      </c>
      <c r="C785" s="178" t="s">
        <v>546</v>
      </c>
      <c r="D785" s="178" t="s">
        <v>63</v>
      </c>
      <c r="E785">
        <v>15163.8</v>
      </c>
      <c r="F785">
        <v>2274.58</v>
      </c>
      <c r="G785">
        <v>17438.38</v>
      </c>
    </row>
    <row r="786" spans="1:7" x14ac:dyDescent="0.35">
      <c r="A786" s="178" t="s">
        <v>1835</v>
      </c>
      <c r="B786" s="178" t="s">
        <v>1836</v>
      </c>
      <c r="C786" s="178" t="s">
        <v>546</v>
      </c>
      <c r="D786" s="178" t="s">
        <v>63</v>
      </c>
      <c r="E786">
        <v>1664.2</v>
      </c>
      <c r="F786">
        <v>249.63</v>
      </c>
      <c r="G786">
        <v>1913.83</v>
      </c>
    </row>
    <row r="787" spans="1:7" x14ac:dyDescent="0.35">
      <c r="A787" s="178" t="s">
        <v>1837</v>
      </c>
      <c r="B787" s="178" t="s">
        <v>1838</v>
      </c>
      <c r="C787" s="178" t="s">
        <v>546</v>
      </c>
      <c r="D787" s="178" t="s">
        <v>63</v>
      </c>
      <c r="E787">
        <v>2278.8000000000002</v>
      </c>
      <c r="F787">
        <v>341.82</v>
      </c>
      <c r="G787">
        <v>2620.62</v>
      </c>
    </row>
    <row r="788" spans="1:7" x14ac:dyDescent="0.35">
      <c r="A788" s="178" t="s">
        <v>650</v>
      </c>
      <c r="B788" s="178" t="s">
        <v>1839</v>
      </c>
      <c r="C788" s="178" t="s">
        <v>546</v>
      </c>
      <c r="D788" s="178" t="s">
        <v>1840</v>
      </c>
      <c r="E788">
        <v>4483.05</v>
      </c>
      <c r="F788">
        <v>672.46</v>
      </c>
      <c r="G788">
        <v>5155.51</v>
      </c>
    </row>
    <row r="789" spans="1:7" x14ac:dyDescent="0.35">
      <c r="A789" s="178" t="s">
        <v>582</v>
      </c>
      <c r="B789" s="178" t="s">
        <v>1841</v>
      </c>
      <c r="C789" s="178" t="s">
        <v>546</v>
      </c>
      <c r="D789" s="178" t="s">
        <v>63</v>
      </c>
      <c r="E789">
        <v>2480.5</v>
      </c>
      <c r="F789">
        <v>372.08</v>
      </c>
      <c r="G789">
        <v>2852.58</v>
      </c>
    </row>
    <row r="790" spans="1:7" x14ac:dyDescent="0.35">
      <c r="A790" s="178" t="s">
        <v>687</v>
      </c>
      <c r="B790" s="178" t="s">
        <v>1842</v>
      </c>
      <c r="C790" s="178" t="s">
        <v>546</v>
      </c>
      <c r="D790" s="178" t="s">
        <v>1379</v>
      </c>
      <c r="E790">
        <v>4467.6499999999996</v>
      </c>
      <c r="F790">
        <v>670.16</v>
      </c>
      <c r="G790">
        <v>5137.8100000000004</v>
      </c>
    </row>
    <row r="791" spans="1:7" x14ac:dyDescent="0.35">
      <c r="A791" s="178" t="s">
        <v>1843</v>
      </c>
      <c r="B791" s="178" t="s">
        <v>1844</v>
      </c>
      <c r="C791" s="178" t="s">
        <v>546</v>
      </c>
      <c r="D791" s="178" t="s">
        <v>1845</v>
      </c>
      <c r="E791">
        <v>7933.2</v>
      </c>
      <c r="F791">
        <v>1189.98</v>
      </c>
      <c r="G791">
        <v>9123.18</v>
      </c>
    </row>
    <row r="792" spans="1:7" x14ac:dyDescent="0.35">
      <c r="A792" s="178" t="s">
        <v>1846</v>
      </c>
      <c r="B792" s="178" t="s">
        <v>1847</v>
      </c>
      <c r="C792" s="178" t="s">
        <v>546</v>
      </c>
      <c r="D792" s="178" t="s">
        <v>63</v>
      </c>
      <c r="E792">
        <v>1423.55</v>
      </c>
      <c r="F792">
        <v>213.53</v>
      </c>
      <c r="G792">
        <v>1637.08</v>
      </c>
    </row>
    <row r="793" spans="1:7" x14ac:dyDescent="0.35">
      <c r="A793" s="178" t="s">
        <v>1848</v>
      </c>
      <c r="B793" s="178" t="s">
        <v>1849</v>
      </c>
      <c r="C793" s="178" t="s">
        <v>546</v>
      </c>
      <c r="D793" s="178" t="s">
        <v>63</v>
      </c>
      <c r="E793">
        <v>624.75</v>
      </c>
      <c r="F793">
        <v>93.71</v>
      </c>
      <c r="G793">
        <v>718.46</v>
      </c>
    </row>
    <row r="794" spans="1:7" x14ac:dyDescent="0.35">
      <c r="A794" s="178" t="s">
        <v>1131</v>
      </c>
      <c r="B794" s="178" t="s">
        <v>1850</v>
      </c>
      <c r="C794" s="178" t="s">
        <v>546</v>
      </c>
      <c r="D794" s="178" t="s">
        <v>1851</v>
      </c>
      <c r="E794">
        <v>17738.099999999999</v>
      </c>
      <c r="F794">
        <v>2660.72</v>
      </c>
      <c r="G794">
        <v>20398.82</v>
      </c>
    </row>
    <row r="795" spans="1:7" x14ac:dyDescent="0.35">
      <c r="A795" s="178" t="s">
        <v>1787</v>
      </c>
      <c r="B795" s="178" t="s">
        <v>1852</v>
      </c>
      <c r="C795" s="178" t="s">
        <v>546</v>
      </c>
      <c r="D795" s="178" t="s">
        <v>63</v>
      </c>
      <c r="E795">
        <v>48708.5</v>
      </c>
      <c r="F795">
        <v>7306.28</v>
      </c>
      <c r="G795">
        <v>56014.78</v>
      </c>
    </row>
    <row r="796" spans="1:7" x14ac:dyDescent="0.35">
      <c r="A796" s="178" t="s">
        <v>1035</v>
      </c>
      <c r="B796" s="178" t="s">
        <v>1853</v>
      </c>
      <c r="C796" s="178" t="s">
        <v>546</v>
      </c>
      <c r="D796" s="178" t="s">
        <v>63</v>
      </c>
      <c r="E796">
        <v>2950</v>
      </c>
      <c r="F796">
        <v>442.5</v>
      </c>
      <c r="G796">
        <v>3392.5</v>
      </c>
    </row>
    <row r="797" spans="1:7" x14ac:dyDescent="0.35">
      <c r="A797" s="178" t="s">
        <v>1854</v>
      </c>
      <c r="B797" s="178" t="s">
        <v>1855</v>
      </c>
      <c r="C797" s="178" t="s">
        <v>546</v>
      </c>
      <c r="D797" s="178" t="s">
        <v>63</v>
      </c>
      <c r="E797">
        <v>589.1</v>
      </c>
      <c r="F797">
        <v>88.37</v>
      </c>
      <c r="G797">
        <v>677.47</v>
      </c>
    </row>
    <row r="798" spans="1:7" x14ac:dyDescent="0.35">
      <c r="A798" s="178" t="s">
        <v>968</v>
      </c>
      <c r="B798" s="178" t="s">
        <v>1856</v>
      </c>
      <c r="C798" s="178" t="s">
        <v>546</v>
      </c>
      <c r="D798" s="178" t="s">
        <v>63</v>
      </c>
      <c r="E798">
        <v>4546.8</v>
      </c>
      <c r="F798">
        <v>682.02</v>
      </c>
      <c r="G798">
        <v>5228.82</v>
      </c>
    </row>
    <row r="799" spans="1:7" x14ac:dyDescent="0.35">
      <c r="A799" s="178" t="s">
        <v>1857</v>
      </c>
      <c r="B799" s="178" t="s">
        <v>1858</v>
      </c>
      <c r="C799" s="178" t="s">
        <v>546</v>
      </c>
      <c r="D799" s="178" t="s">
        <v>63</v>
      </c>
      <c r="E799">
        <v>2551.6999999999998</v>
      </c>
      <c r="F799">
        <v>382.76</v>
      </c>
      <c r="G799">
        <v>2934.46</v>
      </c>
    </row>
    <row r="800" spans="1:7" x14ac:dyDescent="0.35">
      <c r="A800" s="178" t="s">
        <v>1859</v>
      </c>
      <c r="B800" s="178" t="s">
        <v>1860</v>
      </c>
      <c r="C800" s="178" t="s">
        <v>546</v>
      </c>
      <c r="D800" s="178" t="s">
        <v>1861</v>
      </c>
      <c r="E800">
        <v>13095.05</v>
      </c>
      <c r="F800">
        <v>1964.26</v>
      </c>
      <c r="G800">
        <v>15059.31</v>
      </c>
    </row>
    <row r="801" spans="1:7" x14ac:dyDescent="0.35">
      <c r="A801" s="178" t="s">
        <v>1862</v>
      </c>
      <c r="B801" s="178" t="s">
        <v>1863</v>
      </c>
      <c r="C801" s="178" t="s">
        <v>546</v>
      </c>
      <c r="D801" s="178" t="s">
        <v>63</v>
      </c>
      <c r="E801">
        <v>230</v>
      </c>
      <c r="F801">
        <v>34.5</v>
      </c>
      <c r="G801">
        <v>264.5</v>
      </c>
    </row>
    <row r="802" spans="1:7" x14ac:dyDescent="0.35">
      <c r="A802" s="178" t="s">
        <v>614</v>
      </c>
      <c r="B802" s="178" t="s">
        <v>1864</v>
      </c>
      <c r="C802" s="178" t="s">
        <v>546</v>
      </c>
      <c r="D802" s="178" t="s">
        <v>63</v>
      </c>
      <c r="E802">
        <v>4012.1</v>
      </c>
      <c r="F802">
        <v>601.82000000000005</v>
      </c>
      <c r="G802">
        <v>4613.92</v>
      </c>
    </row>
    <row r="803" spans="1:7" x14ac:dyDescent="0.35">
      <c r="A803" s="178" t="s">
        <v>1865</v>
      </c>
      <c r="B803" s="178" t="s">
        <v>1866</v>
      </c>
      <c r="C803" s="178" t="s">
        <v>546</v>
      </c>
      <c r="D803" s="178" t="s">
        <v>63</v>
      </c>
      <c r="E803">
        <v>950.78</v>
      </c>
      <c r="F803">
        <v>142.62</v>
      </c>
      <c r="G803">
        <v>1093.4000000000001</v>
      </c>
    </row>
    <row r="804" spans="1:7" x14ac:dyDescent="0.35">
      <c r="A804" s="178" t="s">
        <v>925</v>
      </c>
      <c r="B804" s="178" t="s">
        <v>1867</v>
      </c>
      <c r="C804" s="178" t="s">
        <v>546</v>
      </c>
      <c r="D804" s="178" t="s">
        <v>63</v>
      </c>
      <c r="E804">
        <v>10090.5</v>
      </c>
      <c r="F804">
        <v>1513.58</v>
      </c>
      <c r="G804">
        <v>11604.08</v>
      </c>
    </row>
    <row r="805" spans="1:7" x14ac:dyDescent="0.35">
      <c r="A805" s="178" t="s">
        <v>658</v>
      </c>
      <c r="B805" s="178" t="s">
        <v>1868</v>
      </c>
      <c r="C805" s="178" t="s">
        <v>546</v>
      </c>
      <c r="D805" s="178" t="s">
        <v>63</v>
      </c>
      <c r="E805">
        <v>9705.6</v>
      </c>
      <c r="F805">
        <v>1455.84</v>
      </c>
      <c r="G805">
        <v>11161.44</v>
      </c>
    </row>
    <row r="806" spans="1:7" x14ac:dyDescent="0.35">
      <c r="A806" s="178" t="s">
        <v>634</v>
      </c>
      <c r="B806" s="178" t="s">
        <v>1869</v>
      </c>
      <c r="C806" s="178" t="s">
        <v>546</v>
      </c>
      <c r="D806" s="178" t="s">
        <v>63</v>
      </c>
      <c r="E806">
        <v>1630</v>
      </c>
      <c r="F806">
        <v>244.5</v>
      </c>
      <c r="G806">
        <v>1874.5</v>
      </c>
    </row>
    <row r="807" spans="1:7" x14ac:dyDescent="0.35">
      <c r="A807" s="178" t="s">
        <v>1102</v>
      </c>
      <c r="B807" s="178" t="s">
        <v>1870</v>
      </c>
      <c r="C807" s="178" t="s">
        <v>546</v>
      </c>
      <c r="D807" s="178" t="s">
        <v>63</v>
      </c>
      <c r="E807">
        <v>3005.6</v>
      </c>
      <c r="F807">
        <v>450.84</v>
      </c>
      <c r="G807">
        <v>3456.44</v>
      </c>
    </row>
    <row r="808" spans="1:7" x14ac:dyDescent="0.35">
      <c r="A808" s="178" t="s">
        <v>1871</v>
      </c>
      <c r="B808" s="178" t="s">
        <v>1872</v>
      </c>
      <c r="C808" s="178" t="s">
        <v>546</v>
      </c>
      <c r="D808" s="178" t="s">
        <v>63</v>
      </c>
      <c r="E808">
        <v>3409.1</v>
      </c>
      <c r="F808">
        <v>511.37</v>
      </c>
      <c r="G808">
        <v>3920.47</v>
      </c>
    </row>
    <row r="809" spans="1:7" x14ac:dyDescent="0.35">
      <c r="A809" s="178" t="s">
        <v>1873</v>
      </c>
      <c r="B809" s="178" t="s">
        <v>1874</v>
      </c>
      <c r="C809" s="178" t="s">
        <v>546</v>
      </c>
      <c r="D809" s="178" t="s">
        <v>63</v>
      </c>
      <c r="E809">
        <v>777</v>
      </c>
      <c r="F809">
        <v>116.55</v>
      </c>
      <c r="G809">
        <v>893.55</v>
      </c>
    </row>
    <row r="810" spans="1:7" x14ac:dyDescent="0.35">
      <c r="A810" s="178" t="s">
        <v>1875</v>
      </c>
      <c r="B810" s="178" t="s">
        <v>1876</v>
      </c>
      <c r="C810" s="178" t="s">
        <v>546</v>
      </c>
      <c r="D810" s="178" t="s">
        <v>63</v>
      </c>
      <c r="E810">
        <v>765.4</v>
      </c>
      <c r="F810">
        <v>114.81</v>
      </c>
      <c r="G810">
        <v>880.21</v>
      </c>
    </row>
    <row r="811" spans="1:7" x14ac:dyDescent="0.35">
      <c r="A811" s="178" t="s">
        <v>466</v>
      </c>
      <c r="B811" s="178" t="s">
        <v>1877</v>
      </c>
      <c r="C811" s="178" t="s">
        <v>546</v>
      </c>
      <c r="D811" s="178" t="s">
        <v>1878</v>
      </c>
      <c r="E811">
        <v>8190.25</v>
      </c>
      <c r="F811">
        <v>1228.54</v>
      </c>
      <c r="G811">
        <v>9418.7900000000009</v>
      </c>
    </row>
    <row r="812" spans="1:7" x14ac:dyDescent="0.35">
      <c r="A812" s="178" t="s">
        <v>897</v>
      </c>
      <c r="B812" s="178" t="s">
        <v>1879</v>
      </c>
      <c r="C812" s="178" t="s">
        <v>546</v>
      </c>
      <c r="D812" s="178" t="s">
        <v>63</v>
      </c>
      <c r="E812">
        <v>31874.5</v>
      </c>
      <c r="F812">
        <v>4781.18</v>
      </c>
      <c r="G812">
        <v>36655.68</v>
      </c>
    </row>
    <row r="813" spans="1:7" x14ac:dyDescent="0.35">
      <c r="A813" s="178" t="s">
        <v>1028</v>
      </c>
      <c r="B813" s="178" t="s">
        <v>1880</v>
      </c>
      <c r="C813" s="178" t="s">
        <v>546</v>
      </c>
      <c r="D813" s="178" t="s">
        <v>63</v>
      </c>
      <c r="E813">
        <v>1391.2</v>
      </c>
      <c r="F813">
        <v>208.68</v>
      </c>
      <c r="G813">
        <v>1599.88</v>
      </c>
    </row>
    <row r="814" spans="1:7" x14ac:dyDescent="0.35">
      <c r="A814" s="178" t="s">
        <v>560</v>
      </c>
      <c r="B814" s="178" t="s">
        <v>1881</v>
      </c>
      <c r="C814" s="178" t="s">
        <v>546</v>
      </c>
      <c r="D814" s="178" t="s">
        <v>63</v>
      </c>
      <c r="E814">
        <v>12446.5</v>
      </c>
      <c r="F814">
        <v>1866.98</v>
      </c>
      <c r="G814">
        <v>14313.48</v>
      </c>
    </row>
    <row r="815" spans="1:7" x14ac:dyDescent="0.35">
      <c r="A815" s="178" t="s">
        <v>1882</v>
      </c>
      <c r="B815" s="178" t="s">
        <v>1883</v>
      </c>
      <c r="C815" s="178" t="s">
        <v>503</v>
      </c>
      <c r="D815" s="178" t="s">
        <v>1884</v>
      </c>
      <c r="E815">
        <v>13082.4</v>
      </c>
      <c r="F815">
        <v>1962.36</v>
      </c>
      <c r="G815">
        <v>15044.76</v>
      </c>
    </row>
    <row r="816" spans="1:7" x14ac:dyDescent="0.35">
      <c r="A816" s="178" t="s">
        <v>889</v>
      </c>
      <c r="B816" s="178" t="s">
        <v>1885</v>
      </c>
      <c r="C816" s="178" t="s">
        <v>503</v>
      </c>
      <c r="D816" s="178" t="s">
        <v>63</v>
      </c>
      <c r="E816">
        <v>5766.2</v>
      </c>
      <c r="F816">
        <v>864.93</v>
      </c>
      <c r="G816">
        <v>6631.13</v>
      </c>
    </row>
    <row r="817" spans="1:7" x14ac:dyDescent="0.35">
      <c r="A817" s="178" t="s">
        <v>1245</v>
      </c>
      <c r="B817" s="178" t="s">
        <v>1886</v>
      </c>
      <c r="C817" s="178" t="s">
        <v>546</v>
      </c>
      <c r="D817" s="178" t="s">
        <v>63</v>
      </c>
      <c r="E817">
        <v>55268.800000000003</v>
      </c>
      <c r="F817">
        <v>8290.32</v>
      </c>
      <c r="G817">
        <v>63559.12</v>
      </c>
    </row>
    <row r="818" spans="1:7" x14ac:dyDescent="0.35">
      <c r="A818" s="178" t="s">
        <v>785</v>
      </c>
      <c r="B818" s="178" t="s">
        <v>1887</v>
      </c>
      <c r="C818" s="178" t="s">
        <v>564</v>
      </c>
      <c r="D818" s="178" t="s">
        <v>1888</v>
      </c>
      <c r="E818">
        <v>12287.6</v>
      </c>
      <c r="F818">
        <v>1843.14</v>
      </c>
      <c r="G818">
        <v>14130.74</v>
      </c>
    </row>
    <row r="819" spans="1:7" x14ac:dyDescent="0.35">
      <c r="A819" s="178" t="s">
        <v>529</v>
      </c>
      <c r="B819" s="178" t="s">
        <v>1889</v>
      </c>
      <c r="C819" s="178" t="s">
        <v>564</v>
      </c>
      <c r="D819" s="178" t="s">
        <v>63</v>
      </c>
      <c r="E819">
        <v>1636.25</v>
      </c>
      <c r="F819">
        <v>245.44</v>
      </c>
      <c r="G819">
        <v>1881.69</v>
      </c>
    </row>
    <row r="820" spans="1:7" x14ac:dyDescent="0.35">
      <c r="A820" s="178" t="s">
        <v>1890</v>
      </c>
      <c r="B820" s="178" t="s">
        <v>1891</v>
      </c>
      <c r="C820" s="178" t="s">
        <v>564</v>
      </c>
      <c r="D820" s="178" t="s">
        <v>63</v>
      </c>
      <c r="E820">
        <v>911.6</v>
      </c>
      <c r="F820">
        <v>136.74</v>
      </c>
      <c r="G820">
        <v>1048.3399999999999</v>
      </c>
    </row>
    <row r="821" spans="1:7" x14ac:dyDescent="0.35">
      <c r="A821" s="178" t="s">
        <v>1417</v>
      </c>
      <c r="B821" s="178" t="s">
        <v>1892</v>
      </c>
      <c r="C821" s="178" t="s">
        <v>564</v>
      </c>
      <c r="D821" s="178" t="s">
        <v>63</v>
      </c>
      <c r="E821">
        <v>862.75</v>
      </c>
      <c r="F821">
        <v>129.41</v>
      </c>
      <c r="G821">
        <v>992.16</v>
      </c>
    </row>
    <row r="822" spans="1:7" x14ac:dyDescent="0.35">
      <c r="A822" s="178" t="s">
        <v>705</v>
      </c>
      <c r="B822" s="178" t="s">
        <v>1893</v>
      </c>
      <c r="C822" s="178" t="s">
        <v>564</v>
      </c>
      <c r="D822" s="178" t="s">
        <v>63</v>
      </c>
      <c r="E822">
        <v>2846</v>
      </c>
      <c r="F822">
        <v>426.9</v>
      </c>
      <c r="G822">
        <v>3272.9</v>
      </c>
    </row>
    <row r="823" spans="1:7" x14ac:dyDescent="0.35">
      <c r="A823" s="178" t="s">
        <v>1894</v>
      </c>
      <c r="B823" s="178" t="s">
        <v>1895</v>
      </c>
      <c r="C823" s="178" t="s">
        <v>564</v>
      </c>
      <c r="D823" s="178" t="s">
        <v>1896</v>
      </c>
      <c r="E823">
        <v>4771.6000000000004</v>
      </c>
      <c r="F823">
        <v>715.74</v>
      </c>
      <c r="G823">
        <v>5487.34</v>
      </c>
    </row>
    <row r="824" spans="1:7" x14ac:dyDescent="0.35">
      <c r="A824" s="178" t="s">
        <v>1296</v>
      </c>
      <c r="B824" s="178" t="s">
        <v>1897</v>
      </c>
      <c r="C824" s="178" t="s">
        <v>564</v>
      </c>
      <c r="D824" s="178" t="s">
        <v>1898</v>
      </c>
      <c r="E824">
        <v>31024.6</v>
      </c>
      <c r="F824">
        <v>4653.6899999999996</v>
      </c>
      <c r="G824">
        <v>35678.29</v>
      </c>
    </row>
    <row r="825" spans="1:7" x14ac:dyDescent="0.35">
      <c r="A825" s="178" t="s">
        <v>1899</v>
      </c>
      <c r="B825" s="178" t="s">
        <v>1900</v>
      </c>
      <c r="C825" s="178" t="s">
        <v>564</v>
      </c>
      <c r="D825" s="178" t="s">
        <v>1901</v>
      </c>
      <c r="E825">
        <v>1142.0999999999999</v>
      </c>
      <c r="F825">
        <v>171.32</v>
      </c>
      <c r="G825">
        <v>1313.42</v>
      </c>
    </row>
    <row r="826" spans="1:7" x14ac:dyDescent="0.35">
      <c r="A826" s="178" t="s">
        <v>1902</v>
      </c>
      <c r="B826" s="178" t="s">
        <v>1903</v>
      </c>
      <c r="C826" s="178" t="s">
        <v>564</v>
      </c>
      <c r="D826" s="178" t="s">
        <v>1904</v>
      </c>
      <c r="E826">
        <v>12675</v>
      </c>
      <c r="F826">
        <v>1901.25</v>
      </c>
      <c r="G826">
        <v>14576.25</v>
      </c>
    </row>
    <row r="827" spans="1:7" x14ac:dyDescent="0.35">
      <c r="A827" s="178" t="s">
        <v>1899</v>
      </c>
      <c r="B827" s="178" t="s">
        <v>1905</v>
      </c>
      <c r="C827" s="178" t="s">
        <v>564</v>
      </c>
      <c r="D827" s="178" t="s">
        <v>1906</v>
      </c>
      <c r="E827">
        <v>2721.6</v>
      </c>
      <c r="F827">
        <v>408.24</v>
      </c>
      <c r="G827">
        <v>3129.84</v>
      </c>
    </row>
    <row r="828" spans="1:7" x14ac:dyDescent="0.35">
      <c r="A828" s="178" t="s">
        <v>529</v>
      </c>
      <c r="B828" s="178" t="s">
        <v>1907</v>
      </c>
      <c r="C828" s="178" t="s">
        <v>564</v>
      </c>
      <c r="D828" s="178" t="s">
        <v>63</v>
      </c>
      <c r="E828">
        <v>2575.5</v>
      </c>
      <c r="F828">
        <v>386.33</v>
      </c>
      <c r="G828">
        <v>2961.83</v>
      </c>
    </row>
    <row r="829" spans="1:7" x14ac:dyDescent="0.35">
      <c r="A829" s="178" t="s">
        <v>987</v>
      </c>
      <c r="B829" s="178" t="s">
        <v>1908</v>
      </c>
      <c r="C829" s="178" t="s">
        <v>564</v>
      </c>
      <c r="D829" s="178" t="s">
        <v>63</v>
      </c>
      <c r="E829">
        <v>5053.2</v>
      </c>
      <c r="F829">
        <v>757.98</v>
      </c>
      <c r="G829">
        <v>5811.18</v>
      </c>
    </row>
    <row r="830" spans="1:7" x14ac:dyDescent="0.35">
      <c r="A830" s="178" t="s">
        <v>557</v>
      </c>
      <c r="B830" s="178" t="s">
        <v>1909</v>
      </c>
      <c r="C830" s="178" t="s">
        <v>564</v>
      </c>
      <c r="D830" s="178" t="s">
        <v>63</v>
      </c>
      <c r="E830">
        <v>6545.3</v>
      </c>
      <c r="F830">
        <v>981.8</v>
      </c>
      <c r="G830">
        <v>7527.1</v>
      </c>
    </row>
    <row r="831" spans="1:7" x14ac:dyDescent="0.35">
      <c r="A831" s="178" t="s">
        <v>1910</v>
      </c>
      <c r="B831" s="178" t="s">
        <v>1911</v>
      </c>
      <c r="C831" s="178" t="s">
        <v>564</v>
      </c>
      <c r="D831" s="178" t="s">
        <v>1912</v>
      </c>
      <c r="E831">
        <v>2670.9</v>
      </c>
      <c r="F831">
        <v>400.64</v>
      </c>
      <c r="G831">
        <v>3071.54</v>
      </c>
    </row>
    <row r="832" spans="1:7" x14ac:dyDescent="0.35">
      <c r="A832" s="178" t="s">
        <v>609</v>
      </c>
      <c r="B832" s="178" t="s">
        <v>1913</v>
      </c>
      <c r="C832" s="178" t="s">
        <v>564</v>
      </c>
      <c r="D832" s="178" t="s">
        <v>63</v>
      </c>
      <c r="E832">
        <v>5448.7</v>
      </c>
      <c r="F832">
        <v>817.31</v>
      </c>
      <c r="G832">
        <v>6266.01</v>
      </c>
    </row>
    <row r="833" spans="1:7" x14ac:dyDescent="0.35">
      <c r="A833" s="178" t="s">
        <v>609</v>
      </c>
      <c r="B833" s="178" t="s">
        <v>1914</v>
      </c>
      <c r="C833" s="178" t="s">
        <v>564</v>
      </c>
      <c r="D833" s="178" t="s">
        <v>63</v>
      </c>
      <c r="E833">
        <v>16052.4</v>
      </c>
      <c r="F833">
        <v>2407.86</v>
      </c>
      <c r="G833">
        <v>18460.259999999998</v>
      </c>
    </row>
    <row r="834" spans="1:7" x14ac:dyDescent="0.35">
      <c r="A834" s="178" t="s">
        <v>501</v>
      </c>
      <c r="B834" s="178" t="s">
        <v>1915</v>
      </c>
      <c r="C834" s="178" t="s">
        <v>564</v>
      </c>
      <c r="D834" s="178" t="s">
        <v>1916</v>
      </c>
      <c r="E834">
        <v>22398.15</v>
      </c>
      <c r="F834">
        <v>3359.73</v>
      </c>
      <c r="G834">
        <v>25757.88</v>
      </c>
    </row>
    <row r="835" spans="1:7" x14ac:dyDescent="0.35">
      <c r="A835" s="178" t="s">
        <v>920</v>
      </c>
      <c r="B835" s="178" t="s">
        <v>1917</v>
      </c>
      <c r="C835" s="178" t="s">
        <v>564</v>
      </c>
      <c r="D835" s="178" t="s">
        <v>63</v>
      </c>
      <c r="E835">
        <v>4005.35</v>
      </c>
      <c r="F835">
        <v>600.80999999999995</v>
      </c>
      <c r="G835">
        <v>4606.16</v>
      </c>
    </row>
    <row r="836" spans="1:7" x14ac:dyDescent="0.35">
      <c r="A836" s="178" t="s">
        <v>460</v>
      </c>
      <c r="B836" s="178" t="s">
        <v>1918</v>
      </c>
      <c r="C836" s="178" t="s">
        <v>564</v>
      </c>
      <c r="D836" s="178" t="s">
        <v>1919</v>
      </c>
      <c r="E836">
        <v>1246</v>
      </c>
      <c r="F836">
        <v>186.9</v>
      </c>
      <c r="G836">
        <v>1432.9</v>
      </c>
    </row>
    <row r="837" spans="1:7" x14ac:dyDescent="0.35">
      <c r="A837" s="178" t="s">
        <v>439</v>
      </c>
      <c r="B837" s="178" t="s">
        <v>1920</v>
      </c>
      <c r="C837" s="178" t="s">
        <v>564</v>
      </c>
      <c r="D837" s="178" t="s">
        <v>1921</v>
      </c>
      <c r="E837">
        <v>6015.2</v>
      </c>
      <c r="F837">
        <v>902.28</v>
      </c>
      <c r="G837">
        <v>6917.48</v>
      </c>
    </row>
    <row r="838" spans="1:7" x14ac:dyDescent="0.35">
      <c r="A838" s="178" t="s">
        <v>1033</v>
      </c>
      <c r="B838" s="178" t="s">
        <v>1922</v>
      </c>
      <c r="C838" s="178" t="s">
        <v>564</v>
      </c>
      <c r="D838" s="178" t="s">
        <v>63</v>
      </c>
      <c r="E838">
        <v>1729.95</v>
      </c>
      <c r="F838">
        <v>259.49</v>
      </c>
      <c r="G838">
        <v>1989.44</v>
      </c>
    </row>
    <row r="839" spans="1:7" x14ac:dyDescent="0.35">
      <c r="A839" s="178" t="s">
        <v>889</v>
      </c>
      <c r="B839" s="178" t="s">
        <v>1923</v>
      </c>
      <c r="C839" s="178" t="s">
        <v>564</v>
      </c>
      <c r="D839" s="178" t="s">
        <v>63</v>
      </c>
      <c r="E839">
        <v>1623.6</v>
      </c>
      <c r="F839">
        <v>243.54</v>
      </c>
      <c r="G839">
        <v>1867.14</v>
      </c>
    </row>
    <row r="840" spans="1:7" x14ac:dyDescent="0.35">
      <c r="A840" s="178" t="s">
        <v>460</v>
      </c>
      <c r="B840" s="178" t="s">
        <v>1924</v>
      </c>
      <c r="C840" s="178" t="s">
        <v>564</v>
      </c>
      <c r="D840" s="178" t="s">
        <v>1925</v>
      </c>
      <c r="E840">
        <v>450</v>
      </c>
      <c r="F840">
        <v>67.5</v>
      </c>
      <c r="G840">
        <v>517.5</v>
      </c>
    </row>
    <row r="841" spans="1:7" x14ac:dyDescent="0.35">
      <c r="A841" s="178" t="s">
        <v>560</v>
      </c>
      <c r="B841" s="178" t="s">
        <v>1926</v>
      </c>
      <c r="C841" s="178" t="s">
        <v>564</v>
      </c>
      <c r="D841" s="178" t="s">
        <v>1927</v>
      </c>
      <c r="E841">
        <v>10070.5</v>
      </c>
      <c r="F841">
        <v>1510.58</v>
      </c>
      <c r="G841">
        <v>11581.08</v>
      </c>
    </row>
    <row r="842" spans="1:7" x14ac:dyDescent="0.35">
      <c r="A842" s="178" t="s">
        <v>1314</v>
      </c>
      <c r="B842" s="178" t="s">
        <v>1928</v>
      </c>
      <c r="C842" s="178" t="s">
        <v>564</v>
      </c>
      <c r="D842" s="178" t="s">
        <v>63</v>
      </c>
      <c r="E842">
        <v>10549.35</v>
      </c>
      <c r="F842">
        <v>1582.4</v>
      </c>
      <c r="G842">
        <v>12131.75</v>
      </c>
    </row>
    <row r="843" spans="1:7" x14ac:dyDescent="0.35">
      <c r="A843" s="178" t="s">
        <v>1136</v>
      </c>
      <c r="B843" s="178" t="s">
        <v>1929</v>
      </c>
      <c r="C843" s="178" t="s">
        <v>564</v>
      </c>
      <c r="D843" s="178" t="s">
        <v>63</v>
      </c>
      <c r="E843">
        <v>1000</v>
      </c>
      <c r="F843">
        <v>150</v>
      </c>
      <c r="G843">
        <v>1150</v>
      </c>
    </row>
    <row r="844" spans="1:7" x14ac:dyDescent="0.35">
      <c r="A844" s="178" t="s">
        <v>579</v>
      </c>
      <c r="B844" s="178" t="s">
        <v>1930</v>
      </c>
      <c r="C844" s="178" t="s">
        <v>564</v>
      </c>
      <c r="D844" s="178" t="s">
        <v>1931</v>
      </c>
      <c r="E844">
        <v>7907.4</v>
      </c>
      <c r="F844">
        <v>1186.1099999999999</v>
      </c>
      <c r="G844">
        <v>9093.51</v>
      </c>
    </row>
    <row r="845" spans="1:7" x14ac:dyDescent="0.35">
      <c r="A845" s="178" t="s">
        <v>1932</v>
      </c>
      <c r="B845" s="178" t="s">
        <v>1933</v>
      </c>
      <c r="C845" s="178" t="s">
        <v>564</v>
      </c>
      <c r="D845" s="178" t="s">
        <v>63</v>
      </c>
      <c r="E845">
        <v>1639.25</v>
      </c>
      <c r="F845">
        <v>245.89</v>
      </c>
      <c r="G845">
        <v>1885.14</v>
      </c>
    </row>
    <row r="846" spans="1:7" x14ac:dyDescent="0.35">
      <c r="A846" s="178" t="s">
        <v>1123</v>
      </c>
      <c r="B846" s="178" t="s">
        <v>1934</v>
      </c>
      <c r="C846" s="178" t="s">
        <v>564</v>
      </c>
      <c r="D846" s="178" t="s">
        <v>63</v>
      </c>
      <c r="E846">
        <v>3885</v>
      </c>
      <c r="F846">
        <v>582.75</v>
      </c>
      <c r="G846">
        <v>4467.75</v>
      </c>
    </row>
    <row r="847" spans="1:7" x14ac:dyDescent="0.35">
      <c r="A847" s="178" t="s">
        <v>1173</v>
      </c>
      <c r="B847" s="178" t="s">
        <v>1935</v>
      </c>
      <c r="C847" s="178" t="s">
        <v>564</v>
      </c>
      <c r="D847" s="178" t="s">
        <v>63</v>
      </c>
      <c r="E847">
        <v>26313</v>
      </c>
      <c r="F847">
        <v>3946.95</v>
      </c>
      <c r="G847">
        <v>30259.95</v>
      </c>
    </row>
    <row r="848" spans="1:7" x14ac:dyDescent="0.35">
      <c r="A848" s="178" t="s">
        <v>1557</v>
      </c>
      <c r="B848" s="178" t="s">
        <v>1936</v>
      </c>
      <c r="C848" s="178" t="s">
        <v>564</v>
      </c>
      <c r="D848" s="178" t="s">
        <v>63</v>
      </c>
      <c r="E848">
        <v>2780.8</v>
      </c>
      <c r="F848">
        <v>417.12</v>
      </c>
      <c r="G848">
        <v>3197.92</v>
      </c>
    </row>
    <row r="849" spans="1:7" x14ac:dyDescent="0.35">
      <c r="A849" s="178" t="s">
        <v>793</v>
      </c>
      <c r="B849" s="178" t="s">
        <v>1937</v>
      </c>
      <c r="C849" s="178" t="s">
        <v>564</v>
      </c>
      <c r="D849" s="178" t="s">
        <v>63</v>
      </c>
      <c r="E849">
        <v>4538.2700000000004</v>
      </c>
      <c r="F849">
        <v>680.76</v>
      </c>
      <c r="G849">
        <v>5219.03</v>
      </c>
    </row>
    <row r="850" spans="1:7" x14ac:dyDescent="0.35">
      <c r="A850" s="178" t="s">
        <v>460</v>
      </c>
      <c r="B850" s="178" t="s">
        <v>1938</v>
      </c>
      <c r="C850" s="178" t="s">
        <v>564</v>
      </c>
      <c r="D850" s="178" t="s">
        <v>1939</v>
      </c>
      <c r="E850">
        <v>10187.700000000001</v>
      </c>
      <c r="F850">
        <v>1528.16</v>
      </c>
      <c r="G850">
        <v>11715.86</v>
      </c>
    </row>
    <row r="851" spans="1:7" x14ac:dyDescent="0.35">
      <c r="A851" s="178" t="s">
        <v>1676</v>
      </c>
      <c r="B851" s="178" t="s">
        <v>1940</v>
      </c>
      <c r="C851" s="178" t="s">
        <v>564</v>
      </c>
      <c r="D851" s="178" t="s">
        <v>1941</v>
      </c>
      <c r="E851">
        <v>3379.8</v>
      </c>
      <c r="F851">
        <v>506.97</v>
      </c>
      <c r="G851">
        <v>3886.77</v>
      </c>
    </row>
    <row r="852" spans="1:7" x14ac:dyDescent="0.35">
      <c r="A852" s="178" t="s">
        <v>529</v>
      </c>
      <c r="B852" s="178" t="s">
        <v>1942</v>
      </c>
      <c r="C852" s="178" t="s">
        <v>564</v>
      </c>
      <c r="D852" s="178" t="s">
        <v>63</v>
      </c>
      <c r="E852">
        <v>8614.75</v>
      </c>
      <c r="F852">
        <v>1292.21</v>
      </c>
      <c r="G852">
        <v>9906.9599999999991</v>
      </c>
    </row>
    <row r="853" spans="1:7" x14ac:dyDescent="0.35">
      <c r="A853" s="178" t="s">
        <v>1943</v>
      </c>
      <c r="B853" s="178" t="s">
        <v>1944</v>
      </c>
      <c r="C853" s="178" t="s">
        <v>564</v>
      </c>
      <c r="D853" s="178" t="s">
        <v>1945</v>
      </c>
      <c r="E853">
        <v>3180.8</v>
      </c>
      <c r="F853">
        <v>477.12</v>
      </c>
      <c r="G853">
        <v>3657.92</v>
      </c>
    </row>
    <row r="854" spans="1:7" x14ac:dyDescent="0.35">
      <c r="A854" s="178" t="s">
        <v>1593</v>
      </c>
      <c r="B854" s="178" t="s">
        <v>1946</v>
      </c>
      <c r="C854" s="178" t="s">
        <v>564</v>
      </c>
      <c r="D854" s="178" t="s">
        <v>63</v>
      </c>
      <c r="E854">
        <v>1435</v>
      </c>
      <c r="F854">
        <v>215.25</v>
      </c>
      <c r="G854">
        <v>1650.25</v>
      </c>
    </row>
    <row r="855" spans="1:7" x14ac:dyDescent="0.35">
      <c r="A855" s="178" t="s">
        <v>634</v>
      </c>
      <c r="B855" s="178" t="s">
        <v>1947</v>
      </c>
      <c r="C855" s="178" t="s">
        <v>564</v>
      </c>
      <c r="D855" s="178" t="s">
        <v>63</v>
      </c>
      <c r="E855">
        <v>3983.2</v>
      </c>
      <c r="F855">
        <v>597.48</v>
      </c>
      <c r="G855">
        <v>4580.68</v>
      </c>
    </row>
    <row r="856" spans="1:7" x14ac:dyDescent="0.35">
      <c r="A856" s="178" t="s">
        <v>1676</v>
      </c>
      <c r="B856" s="178" t="s">
        <v>1948</v>
      </c>
      <c r="C856" s="178" t="s">
        <v>564</v>
      </c>
      <c r="D856" s="178" t="s">
        <v>1949</v>
      </c>
      <c r="E856">
        <v>9313.2999999999993</v>
      </c>
      <c r="F856">
        <v>1397</v>
      </c>
      <c r="G856">
        <v>10710.3</v>
      </c>
    </row>
    <row r="857" spans="1:7" x14ac:dyDescent="0.35">
      <c r="A857" s="178" t="s">
        <v>1950</v>
      </c>
      <c r="B857" s="178" t="s">
        <v>1951</v>
      </c>
      <c r="C857" s="178" t="s">
        <v>564</v>
      </c>
      <c r="D857" s="178" t="s">
        <v>1952</v>
      </c>
      <c r="E857">
        <v>6142.2</v>
      </c>
      <c r="F857">
        <v>921.33</v>
      </c>
      <c r="G857">
        <v>7063.53</v>
      </c>
    </row>
    <row r="858" spans="1:7" x14ac:dyDescent="0.35">
      <c r="A858" s="178" t="s">
        <v>463</v>
      </c>
      <c r="B858" s="178" t="s">
        <v>1953</v>
      </c>
      <c r="C858" s="178" t="s">
        <v>595</v>
      </c>
      <c r="D858" s="178" t="s">
        <v>63</v>
      </c>
      <c r="E858">
        <v>3371.93</v>
      </c>
      <c r="F858">
        <v>505.79</v>
      </c>
      <c r="G858">
        <v>3877.72</v>
      </c>
    </row>
    <row r="859" spans="1:7" x14ac:dyDescent="0.35">
      <c r="A859" s="178" t="s">
        <v>460</v>
      </c>
      <c r="B859" s="178" t="s">
        <v>1954</v>
      </c>
      <c r="C859" s="178" t="s">
        <v>564</v>
      </c>
      <c r="D859" s="178" t="s">
        <v>63</v>
      </c>
      <c r="E859">
        <v>14000</v>
      </c>
      <c r="F859">
        <v>2100</v>
      </c>
      <c r="G859">
        <v>16100</v>
      </c>
    </row>
    <row r="860" spans="1:7" x14ac:dyDescent="0.35">
      <c r="A860" s="178" t="s">
        <v>1955</v>
      </c>
      <c r="B860" s="178" t="s">
        <v>1956</v>
      </c>
      <c r="C860" s="178" t="s">
        <v>564</v>
      </c>
      <c r="D860" s="178" t="s">
        <v>1957</v>
      </c>
      <c r="E860">
        <v>1867.5</v>
      </c>
      <c r="F860">
        <v>280.13</v>
      </c>
      <c r="G860">
        <v>2147.63</v>
      </c>
    </row>
    <row r="861" spans="1:7" x14ac:dyDescent="0.35">
      <c r="A861" s="178" t="s">
        <v>1958</v>
      </c>
      <c r="B861" s="178" t="s">
        <v>1959</v>
      </c>
      <c r="C861" s="178" t="s">
        <v>564</v>
      </c>
      <c r="D861" s="178" t="s">
        <v>1960</v>
      </c>
      <c r="E861">
        <v>2698.5</v>
      </c>
      <c r="F861">
        <v>404.78</v>
      </c>
      <c r="G861">
        <v>3103.28</v>
      </c>
    </row>
    <row r="862" spans="1:7" x14ac:dyDescent="0.35">
      <c r="A862" s="178" t="s">
        <v>1961</v>
      </c>
      <c r="B862" s="178" t="s">
        <v>1962</v>
      </c>
      <c r="C862" s="178" t="s">
        <v>564</v>
      </c>
      <c r="D862" s="178" t="s">
        <v>63</v>
      </c>
      <c r="E862">
        <v>3385.5</v>
      </c>
      <c r="F862">
        <v>507.83</v>
      </c>
      <c r="G862">
        <v>3893.33</v>
      </c>
    </row>
    <row r="863" spans="1:7" x14ac:dyDescent="0.35">
      <c r="A863" s="178" t="s">
        <v>1035</v>
      </c>
      <c r="B863" s="178" t="s">
        <v>1963</v>
      </c>
      <c r="C863" s="178" t="s">
        <v>564</v>
      </c>
      <c r="D863" s="178" t="s">
        <v>63</v>
      </c>
      <c r="E863">
        <v>8550</v>
      </c>
      <c r="F863">
        <v>1282.5</v>
      </c>
      <c r="G863">
        <v>9832.5</v>
      </c>
    </row>
    <row r="864" spans="1:7" x14ac:dyDescent="0.35">
      <c r="A864" s="178" t="s">
        <v>450</v>
      </c>
      <c r="B864" s="178" t="s">
        <v>1964</v>
      </c>
      <c r="C864" s="178" t="s">
        <v>564</v>
      </c>
      <c r="D864" s="178" t="s">
        <v>63</v>
      </c>
      <c r="E864">
        <v>13448.75</v>
      </c>
      <c r="F864">
        <v>2017.32</v>
      </c>
      <c r="G864">
        <v>15466.07</v>
      </c>
    </row>
    <row r="865" spans="1:7" x14ac:dyDescent="0.35">
      <c r="A865" s="178" t="s">
        <v>1965</v>
      </c>
      <c r="B865" s="178" t="s">
        <v>1966</v>
      </c>
      <c r="C865" s="178" t="s">
        <v>564</v>
      </c>
      <c r="D865" s="178" t="s">
        <v>63</v>
      </c>
      <c r="E865">
        <v>1324.6</v>
      </c>
      <c r="F865">
        <v>198.69</v>
      </c>
      <c r="G865">
        <v>1523.29</v>
      </c>
    </row>
    <row r="866" spans="1:7" x14ac:dyDescent="0.35">
      <c r="A866" s="178" t="s">
        <v>626</v>
      </c>
      <c r="B866" s="178" t="s">
        <v>1967</v>
      </c>
      <c r="C866" s="178" t="s">
        <v>564</v>
      </c>
      <c r="D866" s="178" t="s">
        <v>63</v>
      </c>
      <c r="E866">
        <v>1313.5</v>
      </c>
      <c r="F866">
        <v>197.03</v>
      </c>
      <c r="G866">
        <v>1510.53</v>
      </c>
    </row>
    <row r="867" spans="1:7" x14ac:dyDescent="0.35">
      <c r="A867" s="178" t="s">
        <v>554</v>
      </c>
      <c r="B867" s="178" t="s">
        <v>1968</v>
      </c>
      <c r="C867" s="178" t="s">
        <v>564</v>
      </c>
      <c r="D867" s="178" t="s">
        <v>1969</v>
      </c>
      <c r="E867">
        <v>646</v>
      </c>
      <c r="F867">
        <v>96.9</v>
      </c>
      <c r="G867">
        <v>742.9</v>
      </c>
    </row>
    <row r="868" spans="1:7" x14ac:dyDescent="0.35">
      <c r="A868" s="178" t="s">
        <v>460</v>
      </c>
      <c r="B868" s="178" t="s">
        <v>1970</v>
      </c>
      <c r="C868" s="178" t="s">
        <v>564</v>
      </c>
      <c r="D868" s="178" t="s">
        <v>1971</v>
      </c>
      <c r="E868">
        <v>654.5</v>
      </c>
      <c r="F868">
        <v>98.18</v>
      </c>
      <c r="G868">
        <v>752.68</v>
      </c>
    </row>
    <row r="869" spans="1:7" x14ac:dyDescent="0.35">
      <c r="A869" s="178" t="s">
        <v>468</v>
      </c>
      <c r="B869" s="178" t="s">
        <v>1972</v>
      </c>
      <c r="C869" s="178" t="s">
        <v>564</v>
      </c>
      <c r="D869" s="178" t="s">
        <v>63</v>
      </c>
      <c r="E869">
        <v>1439.9</v>
      </c>
      <c r="F869">
        <v>215.99</v>
      </c>
      <c r="G869">
        <v>1655.89</v>
      </c>
    </row>
    <row r="870" spans="1:7" x14ac:dyDescent="0.35">
      <c r="A870" s="178" t="s">
        <v>1006</v>
      </c>
      <c r="B870" s="178" t="s">
        <v>1973</v>
      </c>
      <c r="C870" s="178" t="s">
        <v>595</v>
      </c>
      <c r="D870" s="178" t="s">
        <v>1974</v>
      </c>
      <c r="E870">
        <v>21359</v>
      </c>
      <c r="F870">
        <v>3203.85</v>
      </c>
      <c r="G870">
        <v>24562.85</v>
      </c>
    </row>
    <row r="871" spans="1:7" x14ac:dyDescent="0.35">
      <c r="A871" s="178" t="s">
        <v>1102</v>
      </c>
      <c r="B871" s="178" t="s">
        <v>1975</v>
      </c>
      <c r="C871" s="178" t="s">
        <v>564</v>
      </c>
      <c r="D871" s="178" t="s">
        <v>63</v>
      </c>
      <c r="E871">
        <v>3275.1</v>
      </c>
      <c r="F871">
        <v>491.27</v>
      </c>
      <c r="G871">
        <v>3766.37</v>
      </c>
    </row>
    <row r="872" spans="1:7" x14ac:dyDescent="0.35">
      <c r="A872" s="178" t="s">
        <v>1976</v>
      </c>
      <c r="B872" s="178" t="s">
        <v>1977</v>
      </c>
      <c r="C872" s="178" t="s">
        <v>564</v>
      </c>
      <c r="D872" s="178" t="s">
        <v>63</v>
      </c>
      <c r="E872">
        <v>1721.25</v>
      </c>
      <c r="F872">
        <v>258.19</v>
      </c>
      <c r="G872">
        <v>1979.44</v>
      </c>
    </row>
    <row r="873" spans="1:7" x14ac:dyDescent="0.35">
      <c r="A873" s="178" t="s">
        <v>691</v>
      </c>
      <c r="B873" s="178" t="s">
        <v>1978</v>
      </c>
      <c r="C873" s="178" t="s">
        <v>564</v>
      </c>
      <c r="D873" s="178" t="s">
        <v>63</v>
      </c>
      <c r="E873">
        <v>4320.1000000000004</v>
      </c>
      <c r="F873">
        <v>648.02</v>
      </c>
      <c r="G873">
        <v>4968.12</v>
      </c>
    </row>
    <row r="874" spans="1:7" x14ac:dyDescent="0.35">
      <c r="A874" s="178" t="s">
        <v>634</v>
      </c>
      <c r="B874" s="178" t="s">
        <v>1979</v>
      </c>
      <c r="C874" s="178" t="s">
        <v>564</v>
      </c>
      <c r="D874" s="178" t="s">
        <v>63</v>
      </c>
      <c r="E874">
        <v>5968.8</v>
      </c>
      <c r="F874">
        <v>895.32</v>
      </c>
      <c r="G874">
        <v>6864.12</v>
      </c>
    </row>
    <row r="875" spans="1:7" x14ac:dyDescent="0.35">
      <c r="A875" s="178" t="s">
        <v>978</v>
      </c>
      <c r="B875" s="178" t="s">
        <v>1980</v>
      </c>
      <c r="C875" s="178" t="s">
        <v>420</v>
      </c>
      <c r="D875" s="178" t="s">
        <v>63</v>
      </c>
      <c r="E875">
        <v>483.66</v>
      </c>
      <c r="F875">
        <v>72.55</v>
      </c>
      <c r="G875">
        <v>556.21</v>
      </c>
    </row>
    <row r="876" spans="1:7" x14ac:dyDescent="0.35">
      <c r="A876" s="178" t="s">
        <v>1899</v>
      </c>
      <c r="B876" s="178" t="s">
        <v>1981</v>
      </c>
      <c r="C876" s="178" t="s">
        <v>420</v>
      </c>
      <c r="D876" s="178" t="s">
        <v>1982</v>
      </c>
      <c r="E876">
        <v>9252.9</v>
      </c>
      <c r="F876">
        <v>1387.94</v>
      </c>
      <c r="G876">
        <v>10640.84</v>
      </c>
    </row>
    <row r="877" spans="1:7" x14ac:dyDescent="0.35">
      <c r="A877" s="178" t="s">
        <v>1314</v>
      </c>
      <c r="B877" s="178" t="s">
        <v>1983</v>
      </c>
      <c r="C877" s="178" t="s">
        <v>420</v>
      </c>
      <c r="D877" s="178" t="s">
        <v>63</v>
      </c>
      <c r="E877">
        <v>5291.25</v>
      </c>
      <c r="F877">
        <v>793.69</v>
      </c>
      <c r="G877">
        <v>6084.94</v>
      </c>
    </row>
    <row r="878" spans="1:7" x14ac:dyDescent="0.35">
      <c r="A878" s="178" t="s">
        <v>1396</v>
      </c>
      <c r="B878" s="178" t="s">
        <v>1984</v>
      </c>
      <c r="C878" s="178" t="s">
        <v>420</v>
      </c>
      <c r="D878" s="178" t="s">
        <v>1985</v>
      </c>
      <c r="E878">
        <v>2818.6</v>
      </c>
      <c r="F878">
        <v>422.79</v>
      </c>
      <c r="G878">
        <v>3241.39</v>
      </c>
    </row>
    <row r="879" spans="1:7" x14ac:dyDescent="0.35">
      <c r="A879" s="178" t="s">
        <v>529</v>
      </c>
      <c r="B879" s="178" t="s">
        <v>1986</v>
      </c>
      <c r="C879" s="178" t="s">
        <v>420</v>
      </c>
      <c r="D879" s="178" t="s">
        <v>63</v>
      </c>
      <c r="E879">
        <v>3828</v>
      </c>
      <c r="F879">
        <v>574.20000000000005</v>
      </c>
      <c r="G879">
        <v>4402.2</v>
      </c>
    </row>
    <row r="880" spans="1:7" x14ac:dyDescent="0.35">
      <c r="A880" s="178" t="s">
        <v>653</v>
      </c>
      <c r="B880" s="178" t="s">
        <v>1987</v>
      </c>
      <c r="C880" s="178" t="s">
        <v>420</v>
      </c>
      <c r="D880" s="178" t="s">
        <v>63</v>
      </c>
      <c r="E880">
        <v>2732.4</v>
      </c>
      <c r="F880">
        <v>409.86</v>
      </c>
      <c r="G880">
        <v>3142.26</v>
      </c>
    </row>
    <row r="881" spans="1:7" x14ac:dyDescent="0.35">
      <c r="A881" s="178" t="s">
        <v>973</v>
      </c>
      <c r="B881" s="178" t="s">
        <v>1988</v>
      </c>
      <c r="C881" s="178" t="s">
        <v>420</v>
      </c>
      <c r="D881" s="178" t="s">
        <v>63</v>
      </c>
      <c r="E881">
        <v>2554.1999999999998</v>
      </c>
      <c r="F881">
        <v>383.13</v>
      </c>
      <c r="G881">
        <v>2937.33</v>
      </c>
    </row>
    <row r="882" spans="1:7" x14ac:dyDescent="0.35">
      <c r="A882" s="178" t="s">
        <v>1989</v>
      </c>
      <c r="B882" s="178" t="s">
        <v>1990</v>
      </c>
      <c r="C882" s="178" t="s">
        <v>420</v>
      </c>
      <c r="D882" s="178" t="s">
        <v>63</v>
      </c>
      <c r="E882">
        <v>7805.4</v>
      </c>
      <c r="F882">
        <v>1170.81</v>
      </c>
      <c r="G882">
        <v>8976.2099999999991</v>
      </c>
    </row>
    <row r="883" spans="1:7" x14ac:dyDescent="0.35">
      <c r="A883" s="178" t="s">
        <v>1433</v>
      </c>
      <c r="B883" s="178" t="s">
        <v>1991</v>
      </c>
      <c r="C883" s="178" t="s">
        <v>420</v>
      </c>
      <c r="D883" s="178" t="s">
        <v>1992</v>
      </c>
      <c r="E883">
        <v>5077.8</v>
      </c>
      <c r="F883">
        <v>761.67</v>
      </c>
      <c r="G883">
        <v>5839.47</v>
      </c>
    </row>
    <row r="884" spans="1:7" x14ac:dyDescent="0.35">
      <c r="A884" s="178" t="s">
        <v>1993</v>
      </c>
      <c r="B884" s="178" t="s">
        <v>1994</v>
      </c>
      <c r="C884" s="178" t="s">
        <v>420</v>
      </c>
      <c r="D884" s="178" t="s">
        <v>63</v>
      </c>
      <c r="E884">
        <v>4760.8999999999996</v>
      </c>
      <c r="F884">
        <v>714.15</v>
      </c>
      <c r="G884">
        <v>5475.05</v>
      </c>
    </row>
    <row r="885" spans="1:7" x14ac:dyDescent="0.35">
      <c r="A885" s="178" t="s">
        <v>1995</v>
      </c>
      <c r="B885" s="178" t="s">
        <v>1996</v>
      </c>
      <c r="C885" s="178" t="s">
        <v>420</v>
      </c>
      <c r="D885" s="178" t="s">
        <v>1997</v>
      </c>
      <c r="E885">
        <v>1854</v>
      </c>
      <c r="F885">
        <v>278.10000000000002</v>
      </c>
      <c r="G885">
        <v>2132.1</v>
      </c>
    </row>
    <row r="886" spans="1:7" x14ac:dyDescent="0.35">
      <c r="A886" s="178" t="s">
        <v>761</v>
      </c>
      <c r="B886" s="178" t="s">
        <v>1998</v>
      </c>
      <c r="C886" s="178" t="s">
        <v>420</v>
      </c>
      <c r="D886" s="178" t="s">
        <v>1999</v>
      </c>
      <c r="E886">
        <v>2792.7</v>
      </c>
      <c r="F886">
        <v>418.91</v>
      </c>
      <c r="G886">
        <v>3211.61</v>
      </c>
    </row>
    <row r="887" spans="1:7" x14ac:dyDescent="0.35">
      <c r="A887" s="178" t="s">
        <v>1033</v>
      </c>
      <c r="B887" s="178" t="s">
        <v>2000</v>
      </c>
      <c r="C887" s="178" t="s">
        <v>420</v>
      </c>
      <c r="D887" s="178" t="s">
        <v>1699</v>
      </c>
      <c r="E887">
        <v>4399.8</v>
      </c>
      <c r="F887">
        <v>659.97</v>
      </c>
      <c r="G887">
        <v>5059.7700000000004</v>
      </c>
    </row>
    <row r="888" spans="1:7" x14ac:dyDescent="0.35">
      <c r="A888" s="178" t="s">
        <v>656</v>
      </c>
      <c r="B888" s="178" t="s">
        <v>2001</v>
      </c>
      <c r="C888" s="178" t="s">
        <v>420</v>
      </c>
      <c r="D888" s="178" t="s">
        <v>63</v>
      </c>
      <c r="E888">
        <v>6032.05</v>
      </c>
      <c r="F888">
        <v>904.81</v>
      </c>
      <c r="G888">
        <v>6936.86</v>
      </c>
    </row>
    <row r="889" spans="1:7" x14ac:dyDescent="0.35">
      <c r="A889" s="178" t="s">
        <v>609</v>
      </c>
      <c r="B889" s="178" t="s">
        <v>2002</v>
      </c>
      <c r="C889" s="178" t="s">
        <v>420</v>
      </c>
      <c r="D889" s="178" t="s">
        <v>63</v>
      </c>
      <c r="E889">
        <v>25075</v>
      </c>
      <c r="F889">
        <v>3761.25</v>
      </c>
      <c r="G889">
        <v>28836.25</v>
      </c>
    </row>
    <row r="890" spans="1:7" x14ac:dyDescent="0.35">
      <c r="A890" s="178" t="s">
        <v>723</v>
      </c>
      <c r="B890" s="178" t="s">
        <v>2003</v>
      </c>
      <c r="C890" s="178" t="s">
        <v>420</v>
      </c>
      <c r="D890" s="178" t="s">
        <v>63</v>
      </c>
      <c r="E890">
        <v>1863.93</v>
      </c>
      <c r="F890">
        <v>279.58999999999997</v>
      </c>
      <c r="G890">
        <v>2143.52</v>
      </c>
    </row>
    <row r="891" spans="1:7" x14ac:dyDescent="0.35">
      <c r="A891" s="178" t="s">
        <v>582</v>
      </c>
      <c r="B891" s="178" t="s">
        <v>2004</v>
      </c>
      <c r="C891" s="178" t="s">
        <v>420</v>
      </c>
      <c r="D891" s="178" t="s">
        <v>63</v>
      </c>
      <c r="E891">
        <v>3432.5</v>
      </c>
      <c r="F891">
        <v>514.88</v>
      </c>
      <c r="G891">
        <v>3947.38</v>
      </c>
    </row>
    <row r="892" spans="1:7" x14ac:dyDescent="0.35">
      <c r="A892" s="178" t="s">
        <v>450</v>
      </c>
      <c r="B892" s="178" t="s">
        <v>2005</v>
      </c>
      <c r="C892" s="178" t="s">
        <v>420</v>
      </c>
      <c r="D892" s="178" t="s">
        <v>63</v>
      </c>
      <c r="E892">
        <v>1115.6500000000001</v>
      </c>
      <c r="F892">
        <v>167.35</v>
      </c>
      <c r="G892">
        <v>1283</v>
      </c>
    </row>
    <row r="893" spans="1:7" x14ac:dyDescent="0.35">
      <c r="A893" s="178" t="s">
        <v>2006</v>
      </c>
      <c r="B893" s="178" t="s">
        <v>2007</v>
      </c>
      <c r="C893" s="178" t="s">
        <v>420</v>
      </c>
      <c r="D893" s="178" t="s">
        <v>63</v>
      </c>
      <c r="E893">
        <v>36224.400000000001</v>
      </c>
      <c r="F893">
        <v>5433.66</v>
      </c>
      <c r="G893">
        <v>41658.06</v>
      </c>
    </row>
    <row r="894" spans="1:7" x14ac:dyDescent="0.35">
      <c r="A894" s="178" t="s">
        <v>2008</v>
      </c>
      <c r="B894" s="178" t="s">
        <v>2009</v>
      </c>
      <c r="C894" s="178" t="s">
        <v>420</v>
      </c>
      <c r="D894" s="178" t="s">
        <v>2010</v>
      </c>
      <c r="E894">
        <v>2072.5</v>
      </c>
      <c r="F894">
        <v>310.88</v>
      </c>
      <c r="G894">
        <v>2383.38</v>
      </c>
    </row>
    <row r="895" spans="1:7" x14ac:dyDescent="0.35">
      <c r="A895" s="178" t="s">
        <v>1026</v>
      </c>
      <c r="B895" s="178" t="s">
        <v>2011</v>
      </c>
      <c r="C895" s="178" t="s">
        <v>420</v>
      </c>
      <c r="D895" s="178" t="s">
        <v>63</v>
      </c>
      <c r="E895">
        <v>25638.25</v>
      </c>
      <c r="F895">
        <v>3845.74</v>
      </c>
      <c r="G895">
        <v>29483.99</v>
      </c>
    </row>
    <row r="896" spans="1:7" x14ac:dyDescent="0.35">
      <c r="A896" s="178" t="s">
        <v>2012</v>
      </c>
      <c r="B896" s="178" t="s">
        <v>2013</v>
      </c>
      <c r="C896" s="178" t="s">
        <v>420</v>
      </c>
      <c r="D896" s="178" t="s">
        <v>63</v>
      </c>
      <c r="E896">
        <v>518.75</v>
      </c>
      <c r="F896">
        <v>77.81</v>
      </c>
      <c r="G896">
        <v>596.55999999999995</v>
      </c>
    </row>
    <row r="897" spans="1:7" x14ac:dyDescent="0.35">
      <c r="A897" s="178" t="s">
        <v>2014</v>
      </c>
      <c r="B897" s="178" t="s">
        <v>2015</v>
      </c>
      <c r="C897" s="178" t="s">
        <v>420</v>
      </c>
      <c r="D897" s="178" t="s">
        <v>63</v>
      </c>
      <c r="E897">
        <v>1316.7</v>
      </c>
      <c r="F897">
        <v>197.51</v>
      </c>
      <c r="G897">
        <v>1514.21</v>
      </c>
    </row>
    <row r="898" spans="1:7" x14ac:dyDescent="0.35">
      <c r="A898" s="178" t="s">
        <v>477</v>
      </c>
      <c r="B898" s="178" t="s">
        <v>2016</v>
      </c>
      <c r="C898" s="178" t="s">
        <v>420</v>
      </c>
      <c r="D898" s="178" t="s">
        <v>2017</v>
      </c>
      <c r="E898">
        <v>887.4</v>
      </c>
      <c r="F898">
        <v>133.11000000000001</v>
      </c>
      <c r="G898">
        <v>1020.51</v>
      </c>
    </row>
    <row r="899" spans="1:7" x14ac:dyDescent="0.35">
      <c r="A899" s="178" t="s">
        <v>2018</v>
      </c>
      <c r="B899" s="178" t="s">
        <v>2019</v>
      </c>
      <c r="C899" s="178" t="s">
        <v>420</v>
      </c>
      <c r="D899" s="178" t="s">
        <v>63</v>
      </c>
      <c r="E899">
        <v>1286.8499999999999</v>
      </c>
      <c r="F899">
        <v>193.03</v>
      </c>
      <c r="G899">
        <v>1479.88</v>
      </c>
    </row>
    <row r="900" spans="1:7" x14ac:dyDescent="0.35">
      <c r="A900" s="178" t="s">
        <v>1447</v>
      </c>
      <c r="B900" s="178" t="s">
        <v>2020</v>
      </c>
      <c r="C900" s="178" t="s">
        <v>420</v>
      </c>
      <c r="D900" s="178" t="s">
        <v>63</v>
      </c>
      <c r="E900">
        <v>11212.25</v>
      </c>
      <c r="F900">
        <v>1681.84</v>
      </c>
      <c r="G900">
        <v>12894.09</v>
      </c>
    </row>
    <row r="901" spans="1:7" x14ac:dyDescent="0.35">
      <c r="A901" s="178" t="s">
        <v>1700</v>
      </c>
      <c r="B901" s="178" t="s">
        <v>2021</v>
      </c>
      <c r="C901" s="178" t="s">
        <v>420</v>
      </c>
      <c r="D901" s="178" t="s">
        <v>63</v>
      </c>
      <c r="E901">
        <v>2130.4499999999998</v>
      </c>
      <c r="F901">
        <v>319.57</v>
      </c>
      <c r="G901">
        <v>2450.02</v>
      </c>
    </row>
    <row r="902" spans="1:7" x14ac:dyDescent="0.35">
      <c r="A902" s="178" t="s">
        <v>474</v>
      </c>
      <c r="B902" s="178" t="s">
        <v>2022</v>
      </c>
      <c r="C902" s="178" t="s">
        <v>420</v>
      </c>
      <c r="D902" s="178" t="s">
        <v>2023</v>
      </c>
      <c r="E902">
        <v>2628.75</v>
      </c>
      <c r="F902">
        <v>394.31</v>
      </c>
      <c r="G902">
        <v>3023.06</v>
      </c>
    </row>
    <row r="903" spans="1:7" x14ac:dyDescent="0.35">
      <c r="A903" s="178" t="s">
        <v>2024</v>
      </c>
      <c r="B903" s="178" t="s">
        <v>2025</v>
      </c>
      <c r="C903" s="178" t="s">
        <v>420</v>
      </c>
      <c r="D903" s="178" t="s">
        <v>2026</v>
      </c>
      <c r="E903">
        <v>1461.5</v>
      </c>
      <c r="F903">
        <v>219.23</v>
      </c>
      <c r="G903">
        <v>1680.73</v>
      </c>
    </row>
    <row r="904" spans="1:7" x14ac:dyDescent="0.35">
      <c r="A904" s="178" t="s">
        <v>889</v>
      </c>
      <c r="B904" s="178" t="s">
        <v>2027</v>
      </c>
      <c r="C904" s="178" t="s">
        <v>420</v>
      </c>
      <c r="D904" s="178" t="s">
        <v>63</v>
      </c>
      <c r="E904">
        <v>10076.200000000001</v>
      </c>
      <c r="F904">
        <v>1511.43</v>
      </c>
      <c r="G904">
        <v>11587.63</v>
      </c>
    </row>
    <row r="905" spans="1:7" x14ac:dyDescent="0.35">
      <c r="A905" s="178" t="s">
        <v>1035</v>
      </c>
      <c r="B905" s="178" t="s">
        <v>2028</v>
      </c>
      <c r="C905" s="178" t="s">
        <v>420</v>
      </c>
      <c r="D905" s="178" t="s">
        <v>63</v>
      </c>
      <c r="E905">
        <v>41310.15</v>
      </c>
      <c r="F905">
        <v>6196.53</v>
      </c>
      <c r="G905">
        <v>47506.68</v>
      </c>
    </row>
    <row r="906" spans="1:7" x14ac:dyDescent="0.35">
      <c r="A906" s="178" t="s">
        <v>617</v>
      </c>
      <c r="B906" s="178" t="s">
        <v>2029</v>
      </c>
      <c r="C906" s="178" t="s">
        <v>420</v>
      </c>
      <c r="D906" s="178" t="s">
        <v>63</v>
      </c>
      <c r="E906">
        <v>5001.1499999999996</v>
      </c>
      <c r="F906">
        <v>750.17</v>
      </c>
      <c r="G906">
        <v>5751.32</v>
      </c>
    </row>
    <row r="907" spans="1:7" x14ac:dyDescent="0.35">
      <c r="A907" s="178" t="s">
        <v>529</v>
      </c>
      <c r="B907" s="178" t="s">
        <v>2030</v>
      </c>
      <c r="C907" s="178" t="s">
        <v>420</v>
      </c>
      <c r="D907" s="178" t="s">
        <v>63</v>
      </c>
      <c r="E907">
        <v>1683</v>
      </c>
      <c r="F907">
        <v>252.45</v>
      </c>
      <c r="G907">
        <v>1935.45</v>
      </c>
    </row>
    <row r="908" spans="1:7" x14ac:dyDescent="0.35">
      <c r="A908" s="178" t="s">
        <v>508</v>
      </c>
      <c r="B908" s="178" t="s">
        <v>2031</v>
      </c>
      <c r="C908" s="178" t="s">
        <v>420</v>
      </c>
      <c r="D908" s="178" t="s">
        <v>63</v>
      </c>
      <c r="E908">
        <v>5908</v>
      </c>
      <c r="F908">
        <v>886.2</v>
      </c>
      <c r="G908">
        <v>6794.2</v>
      </c>
    </row>
    <row r="909" spans="1:7" x14ac:dyDescent="0.35">
      <c r="A909" s="178" t="s">
        <v>705</v>
      </c>
      <c r="B909" s="178" t="s">
        <v>2032</v>
      </c>
      <c r="C909" s="178" t="s">
        <v>420</v>
      </c>
      <c r="D909" s="178" t="s">
        <v>63</v>
      </c>
      <c r="E909">
        <v>1333.5</v>
      </c>
      <c r="F909">
        <v>200.03</v>
      </c>
      <c r="G909">
        <v>1533.53</v>
      </c>
    </row>
    <row r="910" spans="1:7" x14ac:dyDescent="0.35">
      <c r="A910" s="178" t="s">
        <v>443</v>
      </c>
      <c r="B910" s="178" t="s">
        <v>2033</v>
      </c>
      <c r="C910" s="178" t="s">
        <v>420</v>
      </c>
      <c r="D910" s="178" t="s">
        <v>63</v>
      </c>
      <c r="E910">
        <v>1224</v>
      </c>
      <c r="F910">
        <v>183.6</v>
      </c>
      <c r="G910">
        <v>1407.6</v>
      </c>
    </row>
    <row r="911" spans="1:7" x14ac:dyDescent="0.35">
      <c r="A911" s="178" t="s">
        <v>2034</v>
      </c>
      <c r="B911" s="178" t="s">
        <v>2035</v>
      </c>
      <c r="C911" s="178" t="s">
        <v>420</v>
      </c>
      <c r="D911" s="178" t="s">
        <v>63</v>
      </c>
      <c r="E911">
        <v>2918.95</v>
      </c>
      <c r="F911">
        <v>437.84</v>
      </c>
      <c r="G911">
        <v>3356.79</v>
      </c>
    </row>
    <row r="912" spans="1:7" x14ac:dyDescent="0.35">
      <c r="A912" s="178" t="s">
        <v>460</v>
      </c>
      <c r="B912" s="178" t="s">
        <v>2036</v>
      </c>
      <c r="C912" s="178" t="s">
        <v>420</v>
      </c>
      <c r="D912" s="178" t="s">
        <v>63</v>
      </c>
      <c r="E912">
        <v>484.5</v>
      </c>
      <c r="F912">
        <v>72.680000000000007</v>
      </c>
      <c r="G912">
        <v>557.17999999999995</v>
      </c>
    </row>
    <row r="913" spans="1:7" x14ac:dyDescent="0.35">
      <c r="A913" s="178" t="s">
        <v>460</v>
      </c>
      <c r="B913" s="178" t="s">
        <v>2037</v>
      </c>
      <c r="C913" s="178" t="s">
        <v>420</v>
      </c>
      <c r="D913" s="178" t="s">
        <v>2038</v>
      </c>
      <c r="E913">
        <v>10500</v>
      </c>
      <c r="F913">
        <v>1575</v>
      </c>
      <c r="G913">
        <v>12075</v>
      </c>
    </row>
    <row r="914" spans="1:7" x14ac:dyDescent="0.35">
      <c r="A914" s="178" t="s">
        <v>1098</v>
      </c>
      <c r="B914" s="178" t="s">
        <v>2039</v>
      </c>
      <c r="C914" s="178" t="s">
        <v>420</v>
      </c>
      <c r="D914" s="178" t="s">
        <v>63</v>
      </c>
      <c r="E914">
        <v>2152.75</v>
      </c>
      <c r="F914">
        <v>322.91000000000003</v>
      </c>
      <c r="G914">
        <v>2475.66</v>
      </c>
    </row>
    <row r="915" spans="1:7" x14ac:dyDescent="0.35">
      <c r="A915" s="178" t="s">
        <v>658</v>
      </c>
      <c r="B915" s="178" t="s">
        <v>2040</v>
      </c>
      <c r="C915" s="178" t="s">
        <v>420</v>
      </c>
      <c r="D915" s="178" t="s">
        <v>63</v>
      </c>
      <c r="E915">
        <v>1593.75</v>
      </c>
      <c r="F915">
        <v>239.06</v>
      </c>
      <c r="G915">
        <v>1832.81</v>
      </c>
    </row>
    <row r="916" spans="1:7" x14ac:dyDescent="0.35">
      <c r="A916" s="178" t="s">
        <v>1033</v>
      </c>
      <c r="B916" s="178" t="s">
        <v>2041</v>
      </c>
      <c r="C916" s="178" t="s">
        <v>420</v>
      </c>
      <c r="D916" s="178" t="s">
        <v>63</v>
      </c>
      <c r="E916">
        <v>16493.5</v>
      </c>
      <c r="F916">
        <v>2474.02</v>
      </c>
      <c r="G916">
        <v>18967.52</v>
      </c>
    </row>
    <row r="917" spans="1:7" x14ac:dyDescent="0.35">
      <c r="A917" s="178" t="s">
        <v>1123</v>
      </c>
      <c r="B917" s="178" t="s">
        <v>2042</v>
      </c>
      <c r="C917" s="178" t="s">
        <v>420</v>
      </c>
      <c r="D917" s="178" t="s">
        <v>63</v>
      </c>
      <c r="E917">
        <v>1486.12</v>
      </c>
      <c r="F917">
        <v>222.93</v>
      </c>
      <c r="G917">
        <v>1709.05</v>
      </c>
    </row>
    <row r="918" spans="1:7" x14ac:dyDescent="0.35">
      <c r="A918" s="178" t="s">
        <v>587</v>
      </c>
      <c r="B918" s="178" t="s">
        <v>2043</v>
      </c>
      <c r="C918" s="178" t="s">
        <v>564</v>
      </c>
      <c r="D918" s="178" t="s">
        <v>2044</v>
      </c>
      <c r="E918">
        <v>25874.1</v>
      </c>
      <c r="F918">
        <v>3881.12</v>
      </c>
      <c r="G918">
        <v>29755.22</v>
      </c>
    </row>
    <row r="919" spans="1:7" x14ac:dyDescent="0.35">
      <c r="A919" s="178" t="s">
        <v>1072</v>
      </c>
      <c r="B919" s="178" t="s">
        <v>2045</v>
      </c>
      <c r="C919" s="178" t="s">
        <v>595</v>
      </c>
      <c r="D919" s="178" t="s">
        <v>63</v>
      </c>
      <c r="E919">
        <v>1554</v>
      </c>
      <c r="F919">
        <v>233.1</v>
      </c>
      <c r="G919">
        <v>1787.1</v>
      </c>
    </row>
    <row r="920" spans="1:7" x14ac:dyDescent="0.35">
      <c r="A920" s="178" t="s">
        <v>1033</v>
      </c>
      <c r="B920" s="178" t="s">
        <v>2046</v>
      </c>
      <c r="C920" s="178" t="s">
        <v>420</v>
      </c>
      <c r="D920" s="178" t="s">
        <v>2047</v>
      </c>
      <c r="E920">
        <v>1361.2</v>
      </c>
      <c r="F920">
        <v>204.18</v>
      </c>
      <c r="G920">
        <v>1565.38</v>
      </c>
    </row>
    <row r="921" spans="1:7" x14ac:dyDescent="0.35">
      <c r="A921" s="178" t="s">
        <v>1033</v>
      </c>
      <c r="B921" s="178" t="s">
        <v>2048</v>
      </c>
      <c r="C921" s="178" t="s">
        <v>420</v>
      </c>
      <c r="D921" s="178" t="s">
        <v>63</v>
      </c>
      <c r="E921">
        <v>1405.8</v>
      </c>
      <c r="F921">
        <v>210.87</v>
      </c>
      <c r="G921">
        <v>1616.67</v>
      </c>
    </row>
    <row r="922" spans="1:7" x14ac:dyDescent="0.35">
      <c r="A922" s="178" t="s">
        <v>1352</v>
      </c>
      <c r="B922" s="178" t="s">
        <v>2049</v>
      </c>
      <c r="C922" s="178" t="s">
        <v>420</v>
      </c>
      <c r="D922" s="178" t="s">
        <v>63</v>
      </c>
      <c r="E922">
        <v>4788.75</v>
      </c>
      <c r="F922">
        <v>718.31</v>
      </c>
      <c r="G922">
        <v>5507.06</v>
      </c>
    </row>
    <row r="923" spans="1:7" x14ac:dyDescent="0.35">
      <c r="A923" s="178" t="s">
        <v>997</v>
      </c>
      <c r="B923" s="178" t="s">
        <v>2050</v>
      </c>
      <c r="C923" s="178" t="s">
        <v>420</v>
      </c>
      <c r="D923" s="178" t="s">
        <v>2051</v>
      </c>
      <c r="E923">
        <v>1473.25</v>
      </c>
      <c r="F923">
        <v>220.99</v>
      </c>
      <c r="G923">
        <v>1694.24</v>
      </c>
    </row>
    <row r="924" spans="1:7" x14ac:dyDescent="0.35">
      <c r="A924" s="178" t="s">
        <v>2052</v>
      </c>
      <c r="B924" s="178" t="s">
        <v>2053</v>
      </c>
      <c r="C924" s="178" t="s">
        <v>420</v>
      </c>
      <c r="D924" s="178" t="s">
        <v>2054</v>
      </c>
      <c r="E924">
        <v>6370.75</v>
      </c>
      <c r="F924">
        <v>955.62</v>
      </c>
      <c r="G924">
        <v>7326.37</v>
      </c>
    </row>
    <row r="925" spans="1:7" x14ac:dyDescent="0.35">
      <c r="A925" s="178" t="s">
        <v>2055</v>
      </c>
      <c r="B925" s="178" t="s">
        <v>2056</v>
      </c>
      <c r="C925" s="178" t="s">
        <v>420</v>
      </c>
      <c r="D925" s="178" t="s">
        <v>63</v>
      </c>
      <c r="E925">
        <v>2897.1</v>
      </c>
      <c r="F925">
        <v>434.57</v>
      </c>
      <c r="G925">
        <v>3331.67</v>
      </c>
    </row>
    <row r="926" spans="1:7" x14ac:dyDescent="0.35">
      <c r="A926" s="178" t="s">
        <v>1333</v>
      </c>
      <c r="B926" s="178" t="s">
        <v>2057</v>
      </c>
      <c r="C926" s="178" t="s">
        <v>2058</v>
      </c>
      <c r="D926" s="178" t="s">
        <v>63</v>
      </c>
      <c r="E926">
        <v>2570.4</v>
      </c>
      <c r="F926">
        <v>385.56</v>
      </c>
      <c r="G926">
        <v>2955.96</v>
      </c>
    </row>
    <row r="927" spans="1:7" x14ac:dyDescent="0.35">
      <c r="A927" s="178" t="s">
        <v>999</v>
      </c>
      <c r="B927" s="178" t="s">
        <v>2059</v>
      </c>
      <c r="C927" s="178" t="s">
        <v>2058</v>
      </c>
      <c r="D927" s="178" t="s">
        <v>63</v>
      </c>
      <c r="E927">
        <v>1201</v>
      </c>
      <c r="F927">
        <v>180.15</v>
      </c>
      <c r="G927">
        <v>1381.15</v>
      </c>
    </row>
    <row r="928" spans="1:7" x14ac:dyDescent="0.35">
      <c r="A928" s="178" t="s">
        <v>658</v>
      </c>
      <c r="B928" s="178" t="s">
        <v>2060</v>
      </c>
      <c r="C928" s="178" t="s">
        <v>2058</v>
      </c>
      <c r="D928" s="178" t="s">
        <v>63</v>
      </c>
      <c r="E928">
        <v>5122.5</v>
      </c>
      <c r="F928">
        <v>768.38</v>
      </c>
      <c r="G928">
        <v>5890.88</v>
      </c>
    </row>
    <row r="929" spans="1:7" x14ac:dyDescent="0.35">
      <c r="A929" s="178" t="s">
        <v>1369</v>
      </c>
      <c r="B929" s="178" t="s">
        <v>2061</v>
      </c>
      <c r="C929" s="178" t="s">
        <v>2058</v>
      </c>
      <c r="D929" s="178" t="s">
        <v>63</v>
      </c>
      <c r="E929">
        <v>2542</v>
      </c>
      <c r="F929">
        <v>381.31</v>
      </c>
      <c r="G929">
        <v>2923.31</v>
      </c>
    </row>
    <row r="930" spans="1:7" x14ac:dyDescent="0.35">
      <c r="A930" s="178" t="s">
        <v>2062</v>
      </c>
      <c r="B930" s="178" t="s">
        <v>2063</v>
      </c>
      <c r="C930" s="178" t="s">
        <v>2058</v>
      </c>
      <c r="D930" s="178" t="s">
        <v>63</v>
      </c>
      <c r="E930">
        <v>826.53</v>
      </c>
      <c r="F930">
        <v>123.98</v>
      </c>
      <c r="G930">
        <v>950.51</v>
      </c>
    </row>
    <row r="931" spans="1:7" x14ac:dyDescent="0.35">
      <c r="A931" s="178" t="s">
        <v>791</v>
      </c>
      <c r="B931" s="178" t="s">
        <v>2064</v>
      </c>
      <c r="C931" s="178" t="s">
        <v>595</v>
      </c>
      <c r="D931" s="178" t="s">
        <v>2065</v>
      </c>
      <c r="E931">
        <v>12583.2</v>
      </c>
      <c r="F931">
        <v>1887.48</v>
      </c>
      <c r="G931">
        <v>14470.68</v>
      </c>
    </row>
    <row r="932" spans="1:7" x14ac:dyDescent="0.35">
      <c r="A932" s="178" t="s">
        <v>756</v>
      </c>
      <c r="B932" s="178" t="s">
        <v>2066</v>
      </c>
      <c r="C932" s="178" t="s">
        <v>595</v>
      </c>
      <c r="D932" s="178" t="s">
        <v>63</v>
      </c>
      <c r="E932">
        <v>51414</v>
      </c>
      <c r="F932">
        <v>7712.1</v>
      </c>
      <c r="G932">
        <v>59126.1</v>
      </c>
    </row>
    <row r="933" spans="1:7" x14ac:dyDescent="0.35">
      <c r="A933" s="178" t="s">
        <v>590</v>
      </c>
      <c r="B933" s="178" t="s">
        <v>2067</v>
      </c>
      <c r="C933" s="178" t="s">
        <v>595</v>
      </c>
      <c r="D933" s="178" t="s">
        <v>63</v>
      </c>
      <c r="E933">
        <v>2129.4</v>
      </c>
      <c r="F933">
        <v>319.41000000000003</v>
      </c>
      <c r="G933">
        <v>2448.81</v>
      </c>
    </row>
    <row r="934" spans="1:7" x14ac:dyDescent="0.35">
      <c r="A934" s="178" t="s">
        <v>1538</v>
      </c>
      <c r="B934" s="178" t="s">
        <v>2068</v>
      </c>
      <c r="C934" s="178" t="s">
        <v>595</v>
      </c>
      <c r="D934" s="178" t="s">
        <v>2069</v>
      </c>
      <c r="E934">
        <v>3613.75</v>
      </c>
      <c r="F934">
        <v>542.05999999999995</v>
      </c>
      <c r="G934">
        <v>4155.8100000000004</v>
      </c>
    </row>
    <row r="935" spans="1:7" x14ac:dyDescent="0.35">
      <c r="A935" s="178" t="s">
        <v>590</v>
      </c>
      <c r="B935" s="178" t="s">
        <v>2070</v>
      </c>
      <c r="C935" s="178" t="s">
        <v>595</v>
      </c>
      <c r="D935" s="178" t="s">
        <v>63</v>
      </c>
      <c r="E935">
        <v>5204.55</v>
      </c>
      <c r="F935">
        <v>780.68</v>
      </c>
      <c r="G935">
        <v>5985.23</v>
      </c>
    </row>
    <row r="936" spans="1:7" x14ac:dyDescent="0.35">
      <c r="A936" s="178" t="s">
        <v>590</v>
      </c>
      <c r="B936" s="178" t="s">
        <v>2071</v>
      </c>
      <c r="C936" s="178" t="s">
        <v>595</v>
      </c>
      <c r="D936" s="178" t="s">
        <v>63</v>
      </c>
      <c r="E936">
        <v>2797.4</v>
      </c>
      <c r="F936">
        <v>419.61</v>
      </c>
      <c r="G936">
        <v>3217.01</v>
      </c>
    </row>
    <row r="937" spans="1:7" x14ac:dyDescent="0.35">
      <c r="A937" s="178" t="s">
        <v>2072</v>
      </c>
      <c r="B937" s="178" t="s">
        <v>2073</v>
      </c>
      <c r="C937" s="178" t="s">
        <v>595</v>
      </c>
      <c r="D937" s="178" t="s">
        <v>63</v>
      </c>
      <c r="E937">
        <v>1337.6</v>
      </c>
      <c r="F937">
        <v>200.64</v>
      </c>
      <c r="G937">
        <v>1538.24</v>
      </c>
    </row>
    <row r="938" spans="1:7" x14ac:dyDescent="0.35">
      <c r="A938" s="178" t="s">
        <v>623</v>
      </c>
      <c r="B938" s="178" t="s">
        <v>2074</v>
      </c>
      <c r="C938" s="178" t="s">
        <v>595</v>
      </c>
      <c r="D938" s="178" t="s">
        <v>2075</v>
      </c>
      <c r="E938">
        <v>13137.6</v>
      </c>
      <c r="F938">
        <v>1970.64</v>
      </c>
      <c r="G938">
        <v>15108.24</v>
      </c>
    </row>
    <row r="939" spans="1:7" x14ac:dyDescent="0.35">
      <c r="A939" s="178" t="s">
        <v>460</v>
      </c>
      <c r="B939" s="178" t="s">
        <v>2076</v>
      </c>
      <c r="C939" s="178" t="s">
        <v>595</v>
      </c>
      <c r="D939" s="178" t="s">
        <v>2077</v>
      </c>
      <c r="E939">
        <v>787.35</v>
      </c>
      <c r="F939">
        <v>118.1</v>
      </c>
      <c r="G939">
        <v>905.45</v>
      </c>
    </row>
    <row r="940" spans="1:7" x14ac:dyDescent="0.35">
      <c r="A940" s="178" t="s">
        <v>2078</v>
      </c>
      <c r="B940" s="178" t="s">
        <v>2079</v>
      </c>
      <c r="C940" s="178" t="s">
        <v>595</v>
      </c>
      <c r="D940" s="178" t="s">
        <v>63</v>
      </c>
      <c r="E940">
        <v>1180</v>
      </c>
      <c r="F940">
        <v>177</v>
      </c>
      <c r="G940">
        <v>1357</v>
      </c>
    </row>
    <row r="941" spans="1:7" x14ac:dyDescent="0.35">
      <c r="A941" s="178" t="s">
        <v>772</v>
      </c>
      <c r="B941" s="178" t="s">
        <v>2080</v>
      </c>
      <c r="C941" s="178" t="s">
        <v>420</v>
      </c>
      <c r="D941" s="178" t="s">
        <v>63</v>
      </c>
      <c r="E941">
        <v>7818.6</v>
      </c>
      <c r="F941">
        <v>1172.79</v>
      </c>
      <c r="G941">
        <v>8991.39</v>
      </c>
    </row>
    <row r="942" spans="1:7" x14ac:dyDescent="0.35">
      <c r="A942" s="178" t="s">
        <v>852</v>
      </c>
      <c r="B942" s="178" t="s">
        <v>2081</v>
      </c>
      <c r="C942" s="178" t="s">
        <v>595</v>
      </c>
      <c r="D942" s="178" t="s">
        <v>2082</v>
      </c>
      <c r="E942">
        <v>3717.4</v>
      </c>
      <c r="F942">
        <v>557.61</v>
      </c>
      <c r="G942">
        <v>4275.01</v>
      </c>
    </row>
    <row r="943" spans="1:7" x14ac:dyDescent="0.35">
      <c r="A943" s="178" t="s">
        <v>2083</v>
      </c>
      <c r="B943" s="178" t="s">
        <v>2084</v>
      </c>
      <c r="C943" s="178" t="s">
        <v>595</v>
      </c>
      <c r="D943" s="178" t="s">
        <v>2085</v>
      </c>
      <c r="E943">
        <v>927</v>
      </c>
      <c r="F943">
        <v>139.05000000000001</v>
      </c>
      <c r="G943">
        <v>1066.05</v>
      </c>
    </row>
    <row r="944" spans="1:7" x14ac:dyDescent="0.35">
      <c r="A944" s="178" t="s">
        <v>966</v>
      </c>
      <c r="B944" s="178" t="s">
        <v>2086</v>
      </c>
      <c r="C944" s="178" t="s">
        <v>420</v>
      </c>
      <c r="D944" s="178" t="s">
        <v>63</v>
      </c>
      <c r="E944">
        <v>1735.9</v>
      </c>
      <c r="F944">
        <v>260.39</v>
      </c>
      <c r="G944">
        <v>1996.29</v>
      </c>
    </row>
    <row r="945" spans="1:7" x14ac:dyDescent="0.35">
      <c r="A945" s="178" t="s">
        <v>758</v>
      </c>
      <c r="B945" s="178" t="s">
        <v>2087</v>
      </c>
      <c r="C945" s="178" t="s">
        <v>595</v>
      </c>
      <c r="D945" s="178" t="s">
        <v>760</v>
      </c>
      <c r="E945">
        <v>652.04999999999995</v>
      </c>
      <c r="F945">
        <v>97.81</v>
      </c>
      <c r="G945">
        <v>749.86</v>
      </c>
    </row>
    <row r="946" spans="1:7" x14ac:dyDescent="0.35">
      <c r="A946" s="178" t="s">
        <v>1546</v>
      </c>
      <c r="B946" s="178" t="s">
        <v>2088</v>
      </c>
      <c r="C946" s="178" t="s">
        <v>420</v>
      </c>
      <c r="D946" s="178" t="s">
        <v>63</v>
      </c>
      <c r="E946">
        <v>4163.8500000000004</v>
      </c>
      <c r="F946">
        <v>624.58000000000004</v>
      </c>
      <c r="G946">
        <v>4788.43</v>
      </c>
    </row>
    <row r="947" spans="1:7" x14ac:dyDescent="0.35">
      <c r="A947" s="178" t="s">
        <v>2089</v>
      </c>
      <c r="B947" s="178" t="s">
        <v>2090</v>
      </c>
      <c r="C947" s="178" t="s">
        <v>420</v>
      </c>
      <c r="D947" s="178" t="s">
        <v>63</v>
      </c>
      <c r="E947">
        <v>12202.4</v>
      </c>
      <c r="F947">
        <v>1830.36</v>
      </c>
      <c r="G947">
        <v>14032.76</v>
      </c>
    </row>
    <row r="948" spans="1:7" x14ac:dyDescent="0.35">
      <c r="A948" s="178" t="s">
        <v>508</v>
      </c>
      <c r="B948" s="178" t="s">
        <v>2091</v>
      </c>
      <c r="C948" s="178" t="s">
        <v>420</v>
      </c>
      <c r="D948" s="178" t="s">
        <v>63</v>
      </c>
      <c r="E948">
        <v>3477.55</v>
      </c>
      <c r="F948">
        <v>521.63</v>
      </c>
      <c r="G948">
        <v>3999.18</v>
      </c>
    </row>
    <row r="949" spans="1:7" x14ac:dyDescent="0.35">
      <c r="A949" s="178" t="s">
        <v>656</v>
      </c>
      <c r="B949" s="178" t="s">
        <v>2092</v>
      </c>
      <c r="C949" s="178" t="s">
        <v>420</v>
      </c>
      <c r="D949" s="178" t="s">
        <v>63</v>
      </c>
      <c r="E949">
        <v>3429.2</v>
      </c>
      <c r="F949">
        <v>514.39</v>
      </c>
      <c r="G949">
        <v>3943.59</v>
      </c>
    </row>
    <row r="950" spans="1:7" x14ac:dyDescent="0.35">
      <c r="A950" s="178" t="s">
        <v>573</v>
      </c>
      <c r="B950" s="178" t="s">
        <v>2093</v>
      </c>
      <c r="C950" s="178" t="s">
        <v>420</v>
      </c>
      <c r="D950" s="178" t="s">
        <v>63</v>
      </c>
      <c r="E950">
        <v>5655.7</v>
      </c>
      <c r="F950">
        <v>848.36</v>
      </c>
      <c r="G950">
        <v>6504.06</v>
      </c>
    </row>
    <row r="951" spans="1:7" x14ac:dyDescent="0.35">
      <c r="A951" s="178" t="s">
        <v>631</v>
      </c>
      <c r="B951" s="178" t="s">
        <v>2094</v>
      </c>
      <c r="C951" s="178" t="s">
        <v>420</v>
      </c>
      <c r="D951" s="178" t="s">
        <v>63</v>
      </c>
      <c r="E951">
        <v>3515.6</v>
      </c>
      <c r="F951">
        <v>527.34</v>
      </c>
      <c r="G951">
        <v>4042.94</v>
      </c>
    </row>
    <row r="952" spans="1:7" x14ac:dyDescent="0.35">
      <c r="A952" s="178" t="s">
        <v>463</v>
      </c>
      <c r="B952" s="178" t="s">
        <v>2095</v>
      </c>
      <c r="C952" s="178" t="s">
        <v>595</v>
      </c>
      <c r="D952" s="178" t="s">
        <v>63</v>
      </c>
      <c r="E952">
        <v>3401</v>
      </c>
      <c r="F952">
        <v>510.15</v>
      </c>
      <c r="G952">
        <v>3911.15</v>
      </c>
    </row>
    <row r="953" spans="1:7" x14ac:dyDescent="0.35">
      <c r="A953" s="178" t="s">
        <v>634</v>
      </c>
      <c r="B953" s="178" t="s">
        <v>2096</v>
      </c>
      <c r="C953" s="178" t="s">
        <v>595</v>
      </c>
      <c r="D953" s="178" t="s">
        <v>63</v>
      </c>
      <c r="E953">
        <v>500</v>
      </c>
      <c r="F953">
        <v>75</v>
      </c>
      <c r="G953">
        <v>575</v>
      </c>
    </row>
    <row r="954" spans="1:7" x14ac:dyDescent="0.35">
      <c r="A954" s="178" t="s">
        <v>2097</v>
      </c>
      <c r="B954" s="178" t="s">
        <v>2098</v>
      </c>
      <c r="C954" s="178" t="s">
        <v>420</v>
      </c>
      <c r="D954" s="178" t="s">
        <v>63</v>
      </c>
      <c r="E954">
        <v>4341.8</v>
      </c>
      <c r="F954">
        <v>651.27</v>
      </c>
      <c r="G954">
        <v>4993.07</v>
      </c>
    </row>
    <row r="955" spans="1:7" x14ac:dyDescent="0.35">
      <c r="A955" s="178" t="s">
        <v>2099</v>
      </c>
      <c r="B955" s="178" t="s">
        <v>2100</v>
      </c>
      <c r="C955" s="178" t="s">
        <v>420</v>
      </c>
      <c r="D955" s="178" t="s">
        <v>63</v>
      </c>
      <c r="E955">
        <v>33604.35</v>
      </c>
      <c r="F955">
        <v>5040.6499999999996</v>
      </c>
      <c r="G955">
        <v>38645</v>
      </c>
    </row>
    <row r="956" spans="1:7" x14ac:dyDescent="0.35">
      <c r="A956" s="178" t="s">
        <v>573</v>
      </c>
      <c r="B956" s="178" t="s">
        <v>2101</v>
      </c>
      <c r="C956" s="178" t="s">
        <v>420</v>
      </c>
      <c r="D956" s="178" t="s">
        <v>63</v>
      </c>
      <c r="E956">
        <v>21707.4</v>
      </c>
      <c r="F956">
        <v>3256.12</v>
      </c>
      <c r="G956">
        <v>24963.52</v>
      </c>
    </row>
    <row r="957" spans="1:7" x14ac:dyDescent="0.35">
      <c r="A957" s="178" t="s">
        <v>1318</v>
      </c>
      <c r="B957" s="178" t="s">
        <v>2102</v>
      </c>
      <c r="C957" s="178" t="s">
        <v>595</v>
      </c>
      <c r="D957" s="178" t="s">
        <v>2103</v>
      </c>
      <c r="E957">
        <v>4102.8500000000004</v>
      </c>
      <c r="F957">
        <v>615.42999999999995</v>
      </c>
      <c r="G957">
        <v>4718.28</v>
      </c>
    </row>
    <row r="958" spans="1:7" x14ac:dyDescent="0.35">
      <c r="A958" s="178" t="s">
        <v>538</v>
      </c>
      <c r="B958" s="178" t="s">
        <v>2104</v>
      </c>
      <c r="C958" s="178" t="s">
        <v>420</v>
      </c>
      <c r="D958" s="178" t="s">
        <v>63</v>
      </c>
      <c r="E958">
        <v>1664.15</v>
      </c>
      <c r="F958">
        <v>249.62</v>
      </c>
      <c r="G958">
        <v>1913.77</v>
      </c>
    </row>
    <row r="959" spans="1:7" x14ac:dyDescent="0.35">
      <c r="A959" s="178" t="s">
        <v>2105</v>
      </c>
      <c r="B959" s="178" t="s">
        <v>2106</v>
      </c>
      <c r="C959" s="178" t="s">
        <v>595</v>
      </c>
      <c r="D959" s="178" t="s">
        <v>63</v>
      </c>
      <c r="E959">
        <v>3698.4</v>
      </c>
      <c r="F959">
        <v>554.76</v>
      </c>
      <c r="G959">
        <v>4253.16</v>
      </c>
    </row>
    <row r="960" spans="1:7" x14ac:dyDescent="0.35">
      <c r="A960" s="178" t="s">
        <v>2078</v>
      </c>
      <c r="B960" s="178" t="s">
        <v>2107</v>
      </c>
      <c r="C960" s="178" t="s">
        <v>595</v>
      </c>
      <c r="D960" s="178" t="s">
        <v>2108</v>
      </c>
      <c r="E960">
        <v>20181.7</v>
      </c>
      <c r="F960">
        <v>3027.26</v>
      </c>
      <c r="G960">
        <v>23208.959999999999</v>
      </c>
    </row>
    <row r="961" spans="1:7" x14ac:dyDescent="0.35">
      <c r="A961" s="178" t="s">
        <v>1006</v>
      </c>
      <c r="B961" s="178" t="s">
        <v>2109</v>
      </c>
      <c r="C961" s="178" t="s">
        <v>595</v>
      </c>
      <c r="D961" s="178" t="s">
        <v>2110</v>
      </c>
      <c r="E961">
        <v>5289.4</v>
      </c>
      <c r="F961">
        <v>793.41</v>
      </c>
      <c r="G961">
        <v>6082.81</v>
      </c>
    </row>
    <row r="962" spans="1:7" x14ac:dyDescent="0.35">
      <c r="A962" s="178" t="s">
        <v>1882</v>
      </c>
      <c r="B962" s="178" t="s">
        <v>2111</v>
      </c>
      <c r="C962" s="178" t="s">
        <v>595</v>
      </c>
      <c r="D962" s="178" t="s">
        <v>2112</v>
      </c>
      <c r="E962">
        <v>14842.8</v>
      </c>
      <c r="F962">
        <v>2226.42</v>
      </c>
      <c r="G962">
        <v>17069.22</v>
      </c>
    </row>
    <row r="963" spans="1:7" x14ac:dyDescent="0.35">
      <c r="A963" s="178" t="s">
        <v>901</v>
      </c>
      <c r="B963" s="178" t="s">
        <v>2113</v>
      </c>
      <c r="C963" s="178" t="s">
        <v>595</v>
      </c>
      <c r="D963" s="178" t="s">
        <v>63</v>
      </c>
      <c r="E963">
        <v>1358</v>
      </c>
      <c r="F963">
        <v>203.7</v>
      </c>
      <c r="G963">
        <v>1561.7</v>
      </c>
    </row>
    <row r="964" spans="1:7" x14ac:dyDescent="0.35">
      <c r="A964" s="178" t="s">
        <v>2114</v>
      </c>
      <c r="B964" s="178" t="s">
        <v>2115</v>
      </c>
      <c r="C964" s="178" t="s">
        <v>595</v>
      </c>
      <c r="D964" s="178" t="s">
        <v>63</v>
      </c>
      <c r="E964">
        <v>3405.6</v>
      </c>
      <c r="F964">
        <v>510.85</v>
      </c>
      <c r="G964">
        <v>3916.45</v>
      </c>
    </row>
    <row r="965" spans="1:7" x14ac:dyDescent="0.35">
      <c r="A965" s="178" t="s">
        <v>2116</v>
      </c>
      <c r="B965" s="178" t="s">
        <v>2117</v>
      </c>
      <c r="C965" s="178" t="s">
        <v>595</v>
      </c>
      <c r="D965" s="178" t="s">
        <v>63</v>
      </c>
      <c r="E965">
        <v>3942.8</v>
      </c>
      <c r="F965">
        <v>591.41999999999996</v>
      </c>
      <c r="G965">
        <v>4534.22</v>
      </c>
    </row>
    <row r="966" spans="1:7" x14ac:dyDescent="0.35">
      <c r="A966" s="178" t="s">
        <v>2118</v>
      </c>
      <c r="B966" s="178" t="s">
        <v>2119</v>
      </c>
      <c r="C966" s="178" t="s">
        <v>595</v>
      </c>
      <c r="D966" s="178" t="s">
        <v>2120</v>
      </c>
      <c r="E966">
        <v>4071.3</v>
      </c>
      <c r="F966">
        <v>610.69000000000005</v>
      </c>
      <c r="G966">
        <v>4681.99</v>
      </c>
    </row>
    <row r="967" spans="1:7" x14ac:dyDescent="0.35">
      <c r="A967" s="178" t="s">
        <v>717</v>
      </c>
      <c r="B967" s="178" t="s">
        <v>2121</v>
      </c>
      <c r="C967" s="178" t="s">
        <v>595</v>
      </c>
      <c r="D967" s="178" t="s">
        <v>2122</v>
      </c>
      <c r="E967">
        <v>4950</v>
      </c>
      <c r="F967">
        <v>742.5</v>
      </c>
      <c r="G967">
        <v>5692.5</v>
      </c>
    </row>
    <row r="968" spans="1:7" x14ac:dyDescent="0.35">
      <c r="A968" s="178" t="s">
        <v>640</v>
      </c>
      <c r="B968" s="178" t="s">
        <v>2123</v>
      </c>
      <c r="C968" s="178" t="s">
        <v>595</v>
      </c>
      <c r="D968" s="178" t="s">
        <v>2124</v>
      </c>
      <c r="E968">
        <v>1598.85</v>
      </c>
      <c r="F968">
        <v>239.83</v>
      </c>
      <c r="G968">
        <v>1838.68</v>
      </c>
    </row>
    <row r="969" spans="1:7" x14ac:dyDescent="0.35">
      <c r="A969" s="178" t="s">
        <v>529</v>
      </c>
      <c r="B969" s="178" t="s">
        <v>2125</v>
      </c>
      <c r="C969" s="178" t="s">
        <v>420</v>
      </c>
      <c r="D969" s="178" t="s">
        <v>63</v>
      </c>
      <c r="E969">
        <v>2677.5</v>
      </c>
      <c r="F969">
        <v>401.63</v>
      </c>
      <c r="G969">
        <v>3079.13</v>
      </c>
    </row>
    <row r="970" spans="1:7" x14ac:dyDescent="0.35">
      <c r="A970" s="178" t="s">
        <v>1899</v>
      </c>
      <c r="B970" s="178" t="s">
        <v>2126</v>
      </c>
      <c r="C970" s="178" t="s">
        <v>595</v>
      </c>
      <c r="D970" s="178" t="s">
        <v>2127</v>
      </c>
      <c r="E970">
        <v>4544.1000000000004</v>
      </c>
      <c r="F970">
        <v>681.62</v>
      </c>
      <c r="G970">
        <v>5225.72</v>
      </c>
    </row>
    <row r="971" spans="1:7" x14ac:dyDescent="0.35">
      <c r="A971" s="178" t="s">
        <v>450</v>
      </c>
      <c r="B971" s="178" t="s">
        <v>2128</v>
      </c>
      <c r="C971" s="178" t="s">
        <v>595</v>
      </c>
      <c r="D971" s="178" t="s">
        <v>63</v>
      </c>
      <c r="E971">
        <v>156848.20000000001</v>
      </c>
      <c r="F971">
        <v>23527.23</v>
      </c>
      <c r="G971">
        <v>180375.43</v>
      </c>
    </row>
    <row r="972" spans="1:7" x14ac:dyDescent="0.35">
      <c r="A972" s="178" t="s">
        <v>460</v>
      </c>
      <c r="B972" s="178" t="s">
        <v>2129</v>
      </c>
      <c r="C972" s="178" t="s">
        <v>595</v>
      </c>
      <c r="D972" s="178" t="s">
        <v>2130</v>
      </c>
      <c r="E972">
        <v>1950</v>
      </c>
      <c r="F972">
        <v>292.5</v>
      </c>
      <c r="G972">
        <v>2242.5</v>
      </c>
    </row>
    <row r="973" spans="1:7" x14ac:dyDescent="0.35">
      <c r="A973" s="178" t="s">
        <v>839</v>
      </c>
      <c r="B973" s="178" t="s">
        <v>2131</v>
      </c>
      <c r="C973" s="178" t="s">
        <v>595</v>
      </c>
      <c r="D973" s="178" t="s">
        <v>2132</v>
      </c>
      <c r="E973">
        <v>2266.1999999999998</v>
      </c>
      <c r="F973">
        <v>339.93</v>
      </c>
      <c r="G973">
        <v>2606.13</v>
      </c>
    </row>
    <row r="974" spans="1:7" x14ac:dyDescent="0.35">
      <c r="A974" s="178" t="s">
        <v>1760</v>
      </c>
      <c r="B974" s="178" t="s">
        <v>2133</v>
      </c>
      <c r="C974" s="178" t="s">
        <v>595</v>
      </c>
      <c r="D974" s="178" t="s">
        <v>63</v>
      </c>
      <c r="E974">
        <v>2357.9</v>
      </c>
      <c r="F974">
        <v>353.69</v>
      </c>
      <c r="G974">
        <v>2711.59</v>
      </c>
    </row>
    <row r="975" spans="1:7" x14ac:dyDescent="0.35">
      <c r="A975" s="178" t="s">
        <v>511</v>
      </c>
      <c r="B975" s="178" t="s">
        <v>2134</v>
      </c>
      <c r="C975" s="178" t="s">
        <v>595</v>
      </c>
      <c r="D975" s="178" t="s">
        <v>63</v>
      </c>
      <c r="E975">
        <v>4881.6000000000004</v>
      </c>
      <c r="F975">
        <v>732.24</v>
      </c>
      <c r="G975">
        <v>5613.84</v>
      </c>
    </row>
    <row r="976" spans="1:7" x14ac:dyDescent="0.35">
      <c r="A976" s="178" t="s">
        <v>597</v>
      </c>
      <c r="B976" s="178" t="s">
        <v>2135</v>
      </c>
      <c r="C976" s="178" t="s">
        <v>595</v>
      </c>
      <c r="D976" s="178" t="s">
        <v>63</v>
      </c>
      <c r="E976">
        <v>2631.5</v>
      </c>
      <c r="F976">
        <v>394.73</v>
      </c>
      <c r="G976">
        <v>3026.23</v>
      </c>
    </row>
    <row r="977" spans="1:7" x14ac:dyDescent="0.35">
      <c r="A977" s="178" t="s">
        <v>2136</v>
      </c>
      <c r="B977" s="178" t="s">
        <v>2137</v>
      </c>
      <c r="C977" s="178" t="s">
        <v>595</v>
      </c>
      <c r="D977" s="178" t="s">
        <v>63</v>
      </c>
      <c r="E977">
        <v>4686.6499999999996</v>
      </c>
      <c r="F977">
        <v>703</v>
      </c>
      <c r="G977">
        <v>5389.65</v>
      </c>
    </row>
    <row r="978" spans="1:7" x14ac:dyDescent="0.35">
      <c r="A978" s="178" t="s">
        <v>1311</v>
      </c>
      <c r="B978" s="178" t="s">
        <v>2138</v>
      </c>
      <c r="C978" s="178" t="s">
        <v>595</v>
      </c>
      <c r="D978" s="178" t="s">
        <v>63</v>
      </c>
      <c r="E978">
        <v>2281.65</v>
      </c>
      <c r="F978">
        <v>342.25</v>
      </c>
      <c r="G978">
        <v>2623.9</v>
      </c>
    </row>
    <row r="979" spans="1:7" x14ac:dyDescent="0.35">
      <c r="A979" s="178" t="s">
        <v>623</v>
      </c>
      <c r="B979" s="178" t="s">
        <v>2139</v>
      </c>
      <c r="C979" s="178" t="s">
        <v>595</v>
      </c>
      <c r="D979" s="178" t="s">
        <v>2140</v>
      </c>
      <c r="E979">
        <v>4750.2</v>
      </c>
      <c r="F979">
        <v>712.53</v>
      </c>
      <c r="G979">
        <v>5462.73</v>
      </c>
    </row>
    <row r="980" spans="1:7" x14ac:dyDescent="0.35">
      <c r="A980" s="178" t="s">
        <v>602</v>
      </c>
      <c r="B980" s="178" t="s">
        <v>2141</v>
      </c>
      <c r="C980" s="178" t="s">
        <v>595</v>
      </c>
      <c r="D980" s="178" t="s">
        <v>63</v>
      </c>
      <c r="E980">
        <v>13045.6</v>
      </c>
      <c r="F980">
        <v>1956.85</v>
      </c>
      <c r="G980">
        <v>15002.45</v>
      </c>
    </row>
    <row r="981" spans="1:7" x14ac:dyDescent="0.35">
      <c r="A981" s="178" t="s">
        <v>897</v>
      </c>
      <c r="B981" s="178" t="s">
        <v>2142</v>
      </c>
      <c r="C981" s="178" t="s">
        <v>595</v>
      </c>
      <c r="D981" s="178" t="s">
        <v>63</v>
      </c>
      <c r="E981">
        <v>6406.4</v>
      </c>
      <c r="F981">
        <v>960.96</v>
      </c>
      <c r="G981">
        <v>7367.36</v>
      </c>
    </row>
    <row r="982" spans="1:7" x14ac:dyDescent="0.35">
      <c r="A982" s="178" t="s">
        <v>863</v>
      </c>
      <c r="B982" s="178" t="s">
        <v>2143</v>
      </c>
      <c r="C982" s="178" t="s">
        <v>595</v>
      </c>
      <c r="D982" s="178" t="s">
        <v>63</v>
      </c>
      <c r="E982">
        <v>805.1</v>
      </c>
      <c r="F982">
        <v>120.77</v>
      </c>
      <c r="G982">
        <v>925.87</v>
      </c>
    </row>
    <row r="983" spans="1:7" x14ac:dyDescent="0.35">
      <c r="A983" s="178" t="s">
        <v>774</v>
      </c>
      <c r="B983" s="178" t="s">
        <v>2144</v>
      </c>
      <c r="C983" s="178" t="s">
        <v>595</v>
      </c>
      <c r="D983" s="178" t="s">
        <v>63</v>
      </c>
      <c r="E983">
        <v>1604.55</v>
      </c>
      <c r="F983">
        <v>240.69</v>
      </c>
      <c r="G983">
        <v>1845.24</v>
      </c>
    </row>
    <row r="984" spans="1:7" x14ac:dyDescent="0.35">
      <c r="A984" s="178" t="s">
        <v>2145</v>
      </c>
      <c r="B984" s="178" t="s">
        <v>2146</v>
      </c>
      <c r="C984" s="178" t="s">
        <v>595</v>
      </c>
      <c r="D984" s="178" t="s">
        <v>2147</v>
      </c>
      <c r="E984">
        <v>1103.3</v>
      </c>
      <c r="F984">
        <v>165.5</v>
      </c>
      <c r="G984">
        <v>1268.8</v>
      </c>
    </row>
    <row r="985" spans="1:7" x14ac:dyDescent="0.35">
      <c r="A985" s="178" t="s">
        <v>793</v>
      </c>
      <c r="B985" s="178" t="s">
        <v>2148</v>
      </c>
      <c r="C985" s="178" t="s">
        <v>595</v>
      </c>
      <c r="D985" s="178" t="s">
        <v>63</v>
      </c>
      <c r="E985">
        <v>2977.47</v>
      </c>
      <c r="F985">
        <v>446.62</v>
      </c>
      <c r="G985">
        <v>3424.09</v>
      </c>
    </row>
    <row r="986" spans="1:7" x14ac:dyDescent="0.35">
      <c r="A986" s="178" t="s">
        <v>623</v>
      </c>
      <c r="B986" s="178" t="s">
        <v>2149</v>
      </c>
      <c r="C986" s="178" t="s">
        <v>595</v>
      </c>
      <c r="D986" s="178" t="s">
        <v>2150</v>
      </c>
      <c r="E986">
        <v>5731.2</v>
      </c>
      <c r="F986">
        <v>859.68</v>
      </c>
      <c r="G986">
        <v>6590.88</v>
      </c>
    </row>
    <row r="987" spans="1:7" x14ac:dyDescent="0.35">
      <c r="A987" s="178" t="s">
        <v>2151</v>
      </c>
      <c r="B987" s="178" t="s">
        <v>2152</v>
      </c>
      <c r="C987" s="178" t="s">
        <v>595</v>
      </c>
      <c r="D987" s="178" t="s">
        <v>2153</v>
      </c>
      <c r="E987">
        <v>1770.45</v>
      </c>
      <c r="F987">
        <v>265.57</v>
      </c>
      <c r="G987">
        <v>2036.02</v>
      </c>
    </row>
    <row r="988" spans="1:7" x14ac:dyDescent="0.35">
      <c r="A988" s="178" t="s">
        <v>623</v>
      </c>
      <c r="B988" s="178" t="s">
        <v>2154</v>
      </c>
      <c r="C988" s="178" t="s">
        <v>595</v>
      </c>
      <c r="D988" s="178" t="s">
        <v>2155</v>
      </c>
      <c r="E988">
        <v>12553.2</v>
      </c>
      <c r="F988">
        <v>1882.98</v>
      </c>
      <c r="G988">
        <v>14436.18</v>
      </c>
    </row>
    <row r="989" spans="1:7" x14ac:dyDescent="0.35">
      <c r="A989" s="178" t="s">
        <v>2156</v>
      </c>
      <c r="B989" s="178" t="s">
        <v>2157</v>
      </c>
      <c r="C989" s="178" t="s">
        <v>595</v>
      </c>
      <c r="D989" s="178" t="s">
        <v>63</v>
      </c>
      <c r="E989">
        <v>3892.75</v>
      </c>
      <c r="F989">
        <v>583.91</v>
      </c>
      <c r="G989">
        <v>4476.66</v>
      </c>
    </row>
    <row r="990" spans="1:7" x14ac:dyDescent="0.35">
      <c r="A990" s="178" t="s">
        <v>745</v>
      </c>
      <c r="B990" s="178" t="s">
        <v>2158</v>
      </c>
      <c r="C990" s="178" t="s">
        <v>595</v>
      </c>
      <c r="D990" s="178" t="s">
        <v>63</v>
      </c>
      <c r="E990">
        <v>1535.25</v>
      </c>
      <c r="F990">
        <v>230.29</v>
      </c>
      <c r="G990">
        <v>1765.54</v>
      </c>
    </row>
    <row r="991" spans="1:7" x14ac:dyDescent="0.35">
      <c r="A991" s="178" t="s">
        <v>889</v>
      </c>
      <c r="B991" s="178" t="s">
        <v>2159</v>
      </c>
      <c r="C991" s="178" t="s">
        <v>595</v>
      </c>
      <c r="D991" s="178" t="s">
        <v>63</v>
      </c>
      <c r="E991">
        <v>811.8</v>
      </c>
      <c r="F991">
        <v>121.77</v>
      </c>
      <c r="G991">
        <v>933.57</v>
      </c>
    </row>
    <row r="992" spans="1:7" x14ac:dyDescent="0.35">
      <c r="A992" s="178" t="s">
        <v>889</v>
      </c>
      <c r="B992" s="178" t="s">
        <v>2160</v>
      </c>
      <c r="C992" s="178" t="s">
        <v>595</v>
      </c>
      <c r="D992" s="178" t="s">
        <v>63</v>
      </c>
      <c r="E992">
        <v>2398.6</v>
      </c>
      <c r="F992">
        <v>359.8</v>
      </c>
      <c r="G992">
        <v>2758.4</v>
      </c>
    </row>
    <row r="993" spans="1:7" x14ac:dyDescent="0.35">
      <c r="A993" s="178" t="s">
        <v>907</v>
      </c>
      <c r="B993" s="178" t="s">
        <v>2161</v>
      </c>
      <c r="C993" s="178" t="s">
        <v>595</v>
      </c>
      <c r="D993" s="178" t="s">
        <v>63</v>
      </c>
      <c r="E993">
        <v>2363</v>
      </c>
      <c r="F993">
        <v>354.45</v>
      </c>
      <c r="G993">
        <v>2717.45</v>
      </c>
    </row>
    <row r="994" spans="1:7" x14ac:dyDescent="0.35">
      <c r="A994" s="178" t="s">
        <v>2162</v>
      </c>
      <c r="B994" s="178" t="s">
        <v>2163</v>
      </c>
      <c r="C994" s="178" t="s">
        <v>595</v>
      </c>
      <c r="D994" s="178" t="s">
        <v>63</v>
      </c>
      <c r="E994">
        <v>2142.5</v>
      </c>
      <c r="F994">
        <v>321.38</v>
      </c>
      <c r="G994">
        <v>2463.88</v>
      </c>
    </row>
    <row r="995" spans="1:7" x14ac:dyDescent="0.35">
      <c r="A995" s="178" t="s">
        <v>795</v>
      </c>
      <c r="B995" s="178" t="s">
        <v>2164</v>
      </c>
      <c r="C995" s="178" t="s">
        <v>595</v>
      </c>
      <c r="D995" s="178" t="s">
        <v>63</v>
      </c>
      <c r="E995">
        <v>17813.650000000001</v>
      </c>
      <c r="F995">
        <v>2672.05</v>
      </c>
      <c r="G995">
        <v>20485.7</v>
      </c>
    </row>
    <row r="996" spans="1:7" x14ac:dyDescent="0.35">
      <c r="A996" s="178" t="s">
        <v>2165</v>
      </c>
      <c r="B996" s="178" t="s">
        <v>2166</v>
      </c>
      <c r="C996" s="178" t="s">
        <v>595</v>
      </c>
      <c r="D996" s="178" t="s">
        <v>63</v>
      </c>
      <c r="E996">
        <v>3622.35</v>
      </c>
      <c r="F996">
        <v>543.35</v>
      </c>
      <c r="G996">
        <v>4165.7</v>
      </c>
    </row>
    <row r="997" spans="1:7" x14ac:dyDescent="0.35">
      <c r="A997" s="178" t="s">
        <v>2167</v>
      </c>
      <c r="B997" s="178" t="s">
        <v>2168</v>
      </c>
      <c r="C997" s="178" t="s">
        <v>564</v>
      </c>
      <c r="D997" s="178" t="s">
        <v>63</v>
      </c>
      <c r="E997">
        <v>1470.6</v>
      </c>
      <c r="F997">
        <v>220.59</v>
      </c>
      <c r="G997">
        <v>1691.19</v>
      </c>
    </row>
    <row r="998" spans="1:7" x14ac:dyDescent="0.35">
      <c r="A998" s="178" t="s">
        <v>526</v>
      </c>
      <c r="B998" s="178" t="s">
        <v>2169</v>
      </c>
      <c r="C998" s="178" t="s">
        <v>595</v>
      </c>
      <c r="D998" s="178" t="s">
        <v>63</v>
      </c>
      <c r="E998">
        <v>9207</v>
      </c>
      <c r="F998">
        <v>1381.05</v>
      </c>
      <c r="G998">
        <v>10588.05</v>
      </c>
    </row>
    <row r="999" spans="1:7" x14ac:dyDescent="0.35">
      <c r="A999" s="178" t="s">
        <v>650</v>
      </c>
      <c r="B999" s="178" t="s">
        <v>2170</v>
      </c>
      <c r="C999" s="178" t="s">
        <v>595</v>
      </c>
      <c r="D999" s="178" t="s">
        <v>2171</v>
      </c>
      <c r="E999">
        <v>4859.25</v>
      </c>
      <c r="F999">
        <v>728.89</v>
      </c>
      <c r="G999">
        <v>5588.14</v>
      </c>
    </row>
    <row r="1000" spans="1:7" x14ac:dyDescent="0.35">
      <c r="A1000" s="178" t="s">
        <v>609</v>
      </c>
      <c r="B1000" s="178" t="s">
        <v>2172</v>
      </c>
      <c r="C1000" s="178" t="s">
        <v>595</v>
      </c>
      <c r="D1000" s="178" t="s">
        <v>63</v>
      </c>
      <c r="E1000">
        <v>7736.4</v>
      </c>
      <c r="F1000">
        <v>1160.46</v>
      </c>
      <c r="G1000">
        <v>8896.86</v>
      </c>
    </row>
    <row r="1001" spans="1:7" x14ac:dyDescent="0.35">
      <c r="A1001" s="178" t="s">
        <v>614</v>
      </c>
      <c r="B1001" s="178" t="s">
        <v>2173</v>
      </c>
      <c r="C1001" s="178" t="s">
        <v>595</v>
      </c>
      <c r="D1001" s="178" t="s">
        <v>63</v>
      </c>
      <c r="E1001">
        <v>800.95</v>
      </c>
      <c r="F1001">
        <v>120.14</v>
      </c>
      <c r="G1001">
        <v>921.09</v>
      </c>
    </row>
    <row r="1002" spans="1:7" x14ac:dyDescent="0.35">
      <c r="A1002" s="178" t="s">
        <v>626</v>
      </c>
      <c r="B1002" s="178" t="s">
        <v>2174</v>
      </c>
      <c r="C1002" s="178" t="s">
        <v>595</v>
      </c>
      <c r="D1002" s="178" t="s">
        <v>63</v>
      </c>
      <c r="E1002">
        <v>865.2</v>
      </c>
      <c r="F1002">
        <v>129.78</v>
      </c>
      <c r="G1002">
        <v>994.98</v>
      </c>
    </row>
    <row r="1003" spans="1:7" x14ac:dyDescent="0.35">
      <c r="A1003" s="178" t="s">
        <v>2175</v>
      </c>
      <c r="B1003" s="178" t="s">
        <v>2176</v>
      </c>
      <c r="C1003" s="178" t="s">
        <v>595</v>
      </c>
      <c r="D1003" s="178" t="s">
        <v>63</v>
      </c>
      <c r="E1003">
        <v>997.5</v>
      </c>
      <c r="F1003">
        <v>149.63</v>
      </c>
      <c r="G1003">
        <v>1147.1300000000001</v>
      </c>
    </row>
    <row r="1004" spans="1:7" x14ac:dyDescent="0.35">
      <c r="A1004" s="178" t="s">
        <v>2177</v>
      </c>
      <c r="B1004" s="178" t="s">
        <v>2178</v>
      </c>
      <c r="C1004" s="178" t="s">
        <v>604</v>
      </c>
      <c r="D1004" s="178" t="s">
        <v>2179</v>
      </c>
      <c r="E1004">
        <v>1449</v>
      </c>
      <c r="F1004">
        <v>217.35</v>
      </c>
      <c r="G1004">
        <v>1666.35</v>
      </c>
    </row>
    <row r="1005" spans="1:7" x14ac:dyDescent="0.35">
      <c r="A1005" s="178" t="s">
        <v>1502</v>
      </c>
      <c r="B1005" s="178" t="s">
        <v>2180</v>
      </c>
      <c r="C1005" s="178" t="s">
        <v>604</v>
      </c>
      <c r="D1005" s="178" t="s">
        <v>63</v>
      </c>
      <c r="E1005">
        <v>1312</v>
      </c>
      <c r="F1005">
        <v>196.8</v>
      </c>
      <c r="G1005">
        <v>1508.8</v>
      </c>
    </row>
    <row r="1006" spans="1:7" x14ac:dyDescent="0.35">
      <c r="A1006" s="178" t="s">
        <v>587</v>
      </c>
      <c r="B1006" s="178" t="s">
        <v>2181</v>
      </c>
      <c r="C1006" s="178" t="s">
        <v>604</v>
      </c>
      <c r="D1006" s="178" t="s">
        <v>63</v>
      </c>
      <c r="E1006">
        <v>2303.5</v>
      </c>
      <c r="F1006">
        <v>345.53</v>
      </c>
      <c r="G1006">
        <v>2649.03</v>
      </c>
    </row>
    <row r="1007" spans="1:7" x14ac:dyDescent="0.35">
      <c r="A1007" s="178" t="s">
        <v>1499</v>
      </c>
      <c r="B1007" s="178" t="s">
        <v>2182</v>
      </c>
      <c r="C1007" s="178" t="s">
        <v>604</v>
      </c>
      <c r="D1007" s="178" t="s">
        <v>63</v>
      </c>
      <c r="E1007">
        <v>3203.45</v>
      </c>
      <c r="F1007">
        <v>480.52</v>
      </c>
      <c r="G1007">
        <v>3683.97</v>
      </c>
    </row>
    <row r="1008" spans="1:7" x14ac:dyDescent="0.35">
      <c r="A1008" s="178" t="s">
        <v>643</v>
      </c>
      <c r="B1008" s="178" t="s">
        <v>2183</v>
      </c>
      <c r="C1008" s="178" t="s">
        <v>604</v>
      </c>
      <c r="D1008" s="178" t="s">
        <v>63</v>
      </c>
      <c r="E1008">
        <v>4334.3999999999996</v>
      </c>
      <c r="F1008">
        <v>650.16</v>
      </c>
      <c r="G1008">
        <v>4984.5600000000004</v>
      </c>
    </row>
    <row r="1009" spans="1:7" x14ac:dyDescent="0.35">
      <c r="A1009" s="178" t="s">
        <v>2184</v>
      </c>
      <c r="B1009" s="178" t="s">
        <v>2185</v>
      </c>
      <c r="C1009" s="178" t="s">
        <v>604</v>
      </c>
      <c r="D1009" s="178" t="s">
        <v>2186</v>
      </c>
      <c r="E1009">
        <v>27649.4</v>
      </c>
      <c r="F1009">
        <v>4147.42</v>
      </c>
      <c r="G1009">
        <v>31796.82</v>
      </c>
    </row>
    <row r="1010" spans="1:7" x14ac:dyDescent="0.35">
      <c r="A1010" s="178" t="s">
        <v>2187</v>
      </c>
      <c r="B1010" s="178" t="s">
        <v>2188</v>
      </c>
      <c r="C1010" s="178" t="s">
        <v>604</v>
      </c>
      <c r="D1010" s="178" t="s">
        <v>2189</v>
      </c>
      <c r="E1010">
        <v>2919.3</v>
      </c>
      <c r="F1010">
        <v>437.9</v>
      </c>
      <c r="G1010">
        <v>3357.2</v>
      </c>
    </row>
    <row r="1011" spans="1:7" x14ac:dyDescent="0.35">
      <c r="A1011" s="178" t="s">
        <v>637</v>
      </c>
      <c r="B1011" s="178" t="s">
        <v>2190</v>
      </c>
      <c r="C1011" s="178" t="s">
        <v>604</v>
      </c>
      <c r="D1011" s="178" t="s">
        <v>2191</v>
      </c>
      <c r="E1011">
        <v>1477.95</v>
      </c>
      <c r="F1011">
        <v>221.69</v>
      </c>
      <c r="G1011">
        <v>1699.64</v>
      </c>
    </row>
    <row r="1012" spans="1:7" x14ac:dyDescent="0.35">
      <c r="A1012" s="178" t="s">
        <v>981</v>
      </c>
      <c r="B1012" s="178" t="s">
        <v>2192</v>
      </c>
      <c r="C1012" s="178" t="s">
        <v>604</v>
      </c>
      <c r="D1012" s="178" t="s">
        <v>983</v>
      </c>
      <c r="E1012">
        <v>16023.75</v>
      </c>
      <c r="F1012">
        <v>2403.56</v>
      </c>
      <c r="G1012">
        <v>18427.310000000001</v>
      </c>
    </row>
    <row r="1013" spans="1:7" x14ac:dyDescent="0.35">
      <c r="A1013" s="178" t="s">
        <v>857</v>
      </c>
      <c r="B1013" s="178" t="s">
        <v>2193</v>
      </c>
      <c r="C1013" s="178" t="s">
        <v>604</v>
      </c>
      <c r="D1013" s="178" t="s">
        <v>63</v>
      </c>
      <c r="E1013">
        <v>1000</v>
      </c>
      <c r="F1013">
        <v>150</v>
      </c>
      <c r="G1013">
        <v>1150</v>
      </c>
    </row>
    <row r="1014" spans="1:7" x14ac:dyDescent="0.35">
      <c r="A1014" s="178" t="s">
        <v>1339</v>
      </c>
      <c r="B1014" s="178" t="s">
        <v>2194</v>
      </c>
      <c r="C1014" s="178" t="s">
        <v>604</v>
      </c>
      <c r="D1014" s="178" t="s">
        <v>1341</v>
      </c>
      <c r="E1014">
        <v>1498.5</v>
      </c>
      <c r="F1014">
        <v>224.78</v>
      </c>
      <c r="G1014">
        <v>1723.28</v>
      </c>
    </row>
    <row r="1015" spans="1:7" x14ac:dyDescent="0.35">
      <c r="A1015" s="178" t="s">
        <v>593</v>
      </c>
      <c r="B1015" s="178" t="s">
        <v>2195</v>
      </c>
      <c r="C1015" s="178" t="s">
        <v>604</v>
      </c>
      <c r="D1015" s="178" t="s">
        <v>2186</v>
      </c>
      <c r="E1015">
        <v>3696</v>
      </c>
      <c r="F1015">
        <v>554.4</v>
      </c>
      <c r="G1015">
        <v>4250.3999999999996</v>
      </c>
    </row>
    <row r="1016" spans="1:7" x14ac:dyDescent="0.35">
      <c r="A1016" s="178" t="s">
        <v>663</v>
      </c>
      <c r="B1016" s="178" t="s">
        <v>2196</v>
      </c>
      <c r="C1016" s="178" t="s">
        <v>604</v>
      </c>
      <c r="D1016" s="178" t="s">
        <v>63</v>
      </c>
      <c r="E1016">
        <v>11704.95</v>
      </c>
      <c r="F1016">
        <v>1755.74</v>
      </c>
      <c r="G1016">
        <v>13460.69</v>
      </c>
    </row>
    <row r="1017" spans="1:7" x14ac:dyDescent="0.35">
      <c r="A1017" s="178" t="s">
        <v>1610</v>
      </c>
      <c r="B1017" s="178" t="s">
        <v>2197</v>
      </c>
      <c r="C1017" s="178" t="s">
        <v>604</v>
      </c>
      <c r="D1017" s="178" t="s">
        <v>63</v>
      </c>
      <c r="E1017">
        <v>2638.5</v>
      </c>
      <c r="F1017">
        <v>395.78</v>
      </c>
      <c r="G1017">
        <v>3034.28</v>
      </c>
    </row>
    <row r="1018" spans="1:7" x14ac:dyDescent="0.35">
      <c r="A1018" s="178" t="s">
        <v>976</v>
      </c>
      <c r="B1018" s="178" t="s">
        <v>2198</v>
      </c>
      <c r="C1018" s="178" t="s">
        <v>604</v>
      </c>
      <c r="D1018" s="178" t="s">
        <v>63</v>
      </c>
      <c r="E1018">
        <v>7905.6</v>
      </c>
      <c r="F1018">
        <v>1185.8399999999999</v>
      </c>
      <c r="G1018">
        <v>9091.44</v>
      </c>
    </row>
    <row r="1019" spans="1:7" x14ac:dyDescent="0.35">
      <c r="A1019" s="178" t="s">
        <v>609</v>
      </c>
      <c r="B1019" s="178" t="s">
        <v>2199</v>
      </c>
      <c r="C1019" s="178" t="s">
        <v>604</v>
      </c>
      <c r="D1019" s="178" t="s">
        <v>63</v>
      </c>
      <c r="E1019">
        <v>23991.45</v>
      </c>
      <c r="F1019">
        <v>3598.72</v>
      </c>
      <c r="G1019">
        <v>27590.17</v>
      </c>
    </row>
    <row r="1020" spans="1:7" x14ac:dyDescent="0.35">
      <c r="A1020" s="178" t="s">
        <v>2200</v>
      </c>
      <c r="B1020" s="178" t="s">
        <v>2201</v>
      </c>
      <c r="C1020" s="178" t="s">
        <v>604</v>
      </c>
      <c r="D1020" s="178" t="s">
        <v>63</v>
      </c>
      <c r="E1020">
        <v>7179.5</v>
      </c>
      <c r="F1020">
        <v>1076.93</v>
      </c>
      <c r="G1020">
        <v>8256.43</v>
      </c>
    </row>
    <row r="1021" spans="1:7" x14ac:dyDescent="0.35">
      <c r="A1021" s="178" t="s">
        <v>2202</v>
      </c>
      <c r="B1021" s="178" t="s">
        <v>2203</v>
      </c>
      <c r="C1021" s="178" t="s">
        <v>604</v>
      </c>
      <c r="D1021" s="178" t="s">
        <v>2204</v>
      </c>
      <c r="E1021">
        <v>3932.5</v>
      </c>
      <c r="F1021">
        <v>589.88</v>
      </c>
      <c r="G1021">
        <v>4522.38</v>
      </c>
    </row>
    <row r="1022" spans="1:7" x14ac:dyDescent="0.35">
      <c r="A1022" s="178" t="s">
        <v>606</v>
      </c>
      <c r="B1022" s="178" t="s">
        <v>2205</v>
      </c>
      <c r="C1022" s="178" t="s">
        <v>604</v>
      </c>
      <c r="D1022" s="178" t="s">
        <v>63</v>
      </c>
      <c r="E1022">
        <v>2427.3000000000002</v>
      </c>
      <c r="F1022">
        <v>364.1</v>
      </c>
      <c r="G1022">
        <v>2791.4</v>
      </c>
    </row>
    <row r="1023" spans="1:7" x14ac:dyDescent="0.35">
      <c r="A1023" s="178" t="s">
        <v>643</v>
      </c>
      <c r="B1023" s="178" t="s">
        <v>2206</v>
      </c>
      <c r="C1023" s="178" t="s">
        <v>604</v>
      </c>
      <c r="D1023" s="178" t="s">
        <v>63</v>
      </c>
      <c r="E1023">
        <v>6331</v>
      </c>
      <c r="F1023">
        <v>949.65</v>
      </c>
      <c r="G1023">
        <v>7280.65</v>
      </c>
    </row>
    <row r="1024" spans="1:7" x14ac:dyDescent="0.35">
      <c r="A1024" s="178" t="s">
        <v>1281</v>
      </c>
      <c r="B1024" s="178" t="s">
        <v>2207</v>
      </c>
      <c r="C1024" s="178" t="s">
        <v>604</v>
      </c>
      <c r="D1024" s="178" t="s">
        <v>63</v>
      </c>
      <c r="E1024">
        <v>28525.4</v>
      </c>
      <c r="F1024">
        <v>4278.8100000000004</v>
      </c>
      <c r="G1024">
        <v>32804.21</v>
      </c>
    </row>
    <row r="1025" spans="1:7" x14ac:dyDescent="0.35">
      <c r="A1025" s="178" t="s">
        <v>1882</v>
      </c>
      <c r="B1025" s="178" t="s">
        <v>2208</v>
      </c>
      <c r="C1025" s="178" t="s">
        <v>604</v>
      </c>
      <c r="D1025" s="178" t="s">
        <v>63</v>
      </c>
      <c r="E1025">
        <v>8096.4</v>
      </c>
      <c r="F1025">
        <v>1214.46</v>
      </c>
      <c r="G1025">
        <v>9310.86</v>
      </c>
    </row>
    <row r="1026" spans="1:7" x14ac:dyDescent="0.35">
      <c r="A1026" s="178" t="s">
        <v>2209</v>
      </c>
      <c r="B1026" s="178" t="s">
        <v>2210</v>
      </c>
      <c r="C1026" s="178" t="s">
        <v>604</v>
      </c>
      <c r="D1026" s="178" t="s">
        <v>63</v>
      </c>
      <c r="E1026">
        <v>1498.2</v>
      </c>
      <c r="F1026">
        <v>224.73</v>
      </c>
      <c r="G1026">
        <v>1722.93</v>
      </c>
    </row>
    <row r="1027" spans="1:7" x14ac:dyDescent="0.35">
      <c r="A1027" s="178" t="s">
        <v>933</v>
      </c>
      <c r="B1027" s="178" t="s">
        <v>2211</v>
      </c>
      <c r="C1027" s="178" t="s">
        <v>604</v>
      </c>
      <c r="D1027" s="178" t="s">
        <v>935</v>
      </c>
      <c r="E1027">
        <v>8270.65</v>
      </c>
      <c r="F1027">
        <v>1240.5999999999999</v>
      </c>
      <c r="G1027">
        <v>9511.25</v>
      </c>
    </row>
    <row r="1028" spans="1:7" x14ac:dyDescent="0.35">
      <c r="A1028" s="178" t="s">
        <v>1542</v>
      </c>
      <c r="B1028" s="178" t="s">
        <v>2212</v>
      </c>
      <c r="C1028" s="178" t="s">
        <v>604</v>
      </c>
      <c r="D1028" s="178" t="s">
        <v>63</v>
      </c>
      <c r="E1028">
        <v>458.4</v>
      </c>
      <c r="F1028">
        <v>68.760000000000005</v>
      </c>
      <c r="G1028">
        <v>527.16</v>
      </c>
    </row>
    <row r="1029" spans="1:7" x14ac:dyDescent="0.35">
      <c r="A1029" s="178" t="s">
        <v>2213</v>
      </c>
      <c r="B1029" s="178" t="s">
        <v>2214</v>
      </c>
      <c r="C1029" s="178" t="s">
        <v>604</v>
      </c>
      <c r="D1029" s="178" t="s">
        <v>63</v>
      </c>
      <c r="E1029">
        <v>9724.5499999999993</v>
      </c>
      <c r="F1029">
        <v>1458.68</v>
      </c>
      <c r="G1029">
        <v>11183.23</v>
      </c>
    </row>
    <row r="1030" spans="1:7" x14ac:dyDescent="0.35">
      <c r="A1030" s="178" t="s">
        <v>968</v>
      </c>
      <c r="B1030" s="178" t="s">
        <v>2215</v>
      </c>
      <c r="C1030" s="178" t="s">
        <v>604</v>
      </c>
      <c r="D1030" s="178" t="s">
        <v>63</v>
      </c>
      <c r="E1030">
        <v>30841.200000000001</v>
      </c>
      <c r="F1030">
        <v>4626.18</v>
      </c>
      <c r="G1030">
        <v>35467.379999999997</v>
      </c>
    </row>
    <row r="1031" spans="1:7" x14ac:dyDescent="0.35">
      <c r="A1031" s="178" t="s">
        <v>1281</v>
      </c>
      <c r="B1031" s="178" t="s">
        <v>2216</v>
      </c>
      <c r="C1031" s="178" t="s">
        <v>604</v>
      </c>
      <c r="D1031" s="178" t="s">
        <v>63</v>
      </c>
      <c r="E1031">
        <v>1530</v>
      </c>
      <c r="F1031">
        <v>229.5</v>
      </c>
      <c r="G1031">
        <v>1759.5</v>
      </c>
    </row>
    <row r="1032" spans="1:7" x14ac:dyDescent="0.35">
      <c r="A1032" s="178" t="s">
        <v>747</v>
      </c>
      <c r="B1032" s="178" t="s">
        <v>2217</v>
      </c>
      <c r="C1032" s="178" t="s">
        <v>604</v>
      </c>
      <c r="D1032" s="178" t="s">
        <v>63</v>
      </c>
      <c r="E1032">
        <v>6031.8</v>
      </c>
      <c r="F1032">
        <v>904.77</v>
      </c>
      <c r="G1032">
        <v>6936.57</v>
      </c>
    </row>
    <row r="1033" spans="1:7" x14ac:dyDescent="0.35">
      <c r="A1033" s="178" t="s">
        <v>2218</v>
      </c>
      <c r="B1033" s="178" t="s">
        <v>2219</v>
      </c>
      <c r="C1033" s="178" t="s">
        <v>604</v>
      </c>
      <c r="D1033" s="178" t="s">
        <v>63</v>
      </c>
      <c r="E1033">
        <v>8340.5</v>
      </c>
      <c r="F1033">
        <v>1251.08</v>
      </c>
      <c r="G1033">
        <v>9591.58</v>
      </c>
    </row>
    <row r="1034" spans="1:7" x14ac:dyDescent="0.35">
      <c r="A1034" s="178" t="s">
        <v>2220</v>
      </c>
      <c r="B1034" s="178" t="s">
        <v>2221</v>
      </c>
      <c r="C1034" s="178" t="s">
        <v>604</v>
      </c>
      <c r="D1034" s="178" t="s">
        <v>63</v>
      </c>
      <c r="E1034">
        <v>8207.25</v>
      </c>
      <c r="F1034">
        <v>1231.0899999999999</v>
      </c>
      <c r="G1034">
        <v>9438.34</v>
      </c>
    </row>
    <row r="1035" spans="1:7" x14ac:dyDescent="0.35">
      <c r="A1035" s="178" t="s">
        <v>1610</v>
      </c>
      <c r="B1035" s="178" t="s">
        <v>2222</v>
      </c>
      <c r="C1035" s="178" t="s">
        <v>604</v>
      </c>
      <c r="D1035" s="178" t="s">
        <v>2223</v>
      </c>
      <c r="E1035">
        <v>35316.519999999997</v>
      </c>
      <c r="F1035">
        <v>5297.49</v>
      </c>
      <c r="G1035">
        <v>40614.01</v>
      </c>
    </row>
    <row r="1036" spans="1:7" x14ac:dyDescent="0.35">
      <c r="A1036" s="178" t="s">
        <v>694</v>
      </c>
      <c r="B1036" s="178" t="s">
        <v>2224</v>
      </c>
      <c r="C1036" s="178" t="s">
        <v>604</v>
      </c>
      <c r="D1036" s="178" t="s">
        <v>63</v>
      </c>
      <c r="E1036">
        <v>1672.7</v>
      </c>
      <c r="F1036">
        <v>250.91</v>
      </c>
      <c r="G1036">
        <v>1923.61</v>
      </c>
    </row>
    <row r="1037" spans="1:7" x14ac:dyDescent="0.35">
      <c r="A1037" s="178" t="s">
        <v>1074</v>
      </c>
      <c r="B1037" s="178" t="s">
        <v>2225</v>
      </c>
      <c r="C1037" s="178" t="s">
        <v>604</v>
      </c>
      <c r="D1037" s="178" t="s">
        <v>63</v>
      </c>
      <c r="E1037">
        <v>8015</v>
      </c>
      <c r="F1037">
        <v>1202.25</v>
      </c>
      <c r="G1037">
        <v>9217.25</v>
      </c>
    </row>
    <row r="1038" spans="1:7" x14ac:dyDescent="0.35">
      <c r="A1038" s="178" t="s">
        <v>1708</v>
      </c>
      <c r="B1038" s="178" t="s">
        <v>2226</v>
      </c>
      <c r="C1038" s="178" t="s">
        <v>604</v>
      </c>
      <c r="D1038" s="178" t="s">
        <v>63</v>
      </c>
      <c r="E1038">
        <v>2403.6999999999998</v>
      </c>
      <c r="F1038">
        <v>360.56</v>
      </c>
      <c r="G1038">
        <v>2764.26</v>
      </c>
    </row>
    <row r="1039" spans="1:7" x14ac:dyDescent="0.35">
      <c r="A1039" s="178" t="s">
        <v>1220</v>
      </c>
      <c r="B1039" s="178" t="s">
        <v>2227</v>
      </c>
      <c r="C1039" s="178" t="s">
        <v>604</v>
      </c>
      <c r="D1039" s="178" t="s">
        <v>63</v>
      </c>
      <c r="E1039">
        <v>1173</v>
      </c>
      <c r="F1039">
        <v>175.95</v>
      </c>
      <c r="G1039">
        <v>1348.95</v>
      </c>
    </row>
    <row r="1040" spans="1:7" x14ac:dyDescent="0.35">
      <c r="A1040" s="178" t="s">
        <v>1865</v>
      </c>
      <c r="B1040" s="178" t="s">
        <v>2228</v>
      </c>
      <c r="C1040" s="178" t="s">
        <v>604</v>
      </c>
      <c r="D1040" s="178" t="s">
        <v>63</v>
      </c>
      <c r="E1040">
        <v>3213.51</v>
      </c>
      <c r="F1040">
        <v>482.03</v>
      </c>
      <c r="G1040">
        <v>3695.54</v>
      </c>
    </row>
    <row r="1041" spans="1:7" x14ac:dyDescent="0.35">
      <c r="A1041" s="178" t="s">
        <v>1033</v>
      </c>
      <c r="B1041" s="178" t="s">
        <v>2229</v>
      </c>
      <c r="C1041" s="178" t="s">
        <v>604</v>
      </c>
      <c r="D1041" s="178" t="s">
        <v>2230</v>
      </c>
      <c r="E1041">
        <v>1373.1</v>
      </c>
      <c r="F1041">
        <v>205.97</v>
      </c>
      <c r="G1041">
        <v>1579.07</v>
      </c>
    </row>
    <row r="1042" spans="1:7" x14ac:dyDescent="0.35">
      <c r="A1042" s="178" t="s">
        <v>1030</v>
      </c>
      <c r="B1042" s="178" t="s">
        <v>2231</v>
      </c>
      <c r="C1042" s="178" t="s">
        <v>604</v>
      </c>
      <c r="D1042" s="178" t="s">
        <v>63</v>
      </c>
      <c r="E1042">
        <v>855.7</v>
      </c>
      <c r="F1042">
        <v>128.36000000000001</v>
      </c>
      <c r="G1042">
        <v>984.06</v>
      </c>
    </row>
    <row r="1043" spans="1:7" x14ac:dyDescent="0.35">
      <c r="A1043" s="178" t="s">
        <v>989</v>
      </c>
      <c r="B1043" s="178" t="s">
        <v>2232</v>
      </c>
      <c r="C1043" s="178" t="s">
        <v>604</v>
      </c>
      <c r="D1043" s="178" t="s">
        <v>63</v>
      </c>
      <c r="E1043">
        <v>1283.1500000000001</v>
      </c>
      <c r="F1043">
        <v>192.48</v>
      </c>
      <c r="G1043">
        <v>1475.63</v>
      </c>
    </row>
    <row r="1044" spans="1:7" x14ac:dyDescent="0.35">
      <c r="A1044" s="178" t="s">
        <v>684</v>
      </c>
      <c r="B1044" s="178" t="s">
        <v>2233</v>
      </c>
      <c r="C1044" s="178" t="s">
        <v>604</v>
      </c>
      <c r="D1044" s="178" t="s">
        <v>63</v>
      </c>
      <c r="E1044">
        <v>1831.75</v>
      </c>
      <c r="F1044">
        <v>274.76</v>
      </c>
      <c r="G1044">
        <v>2106.5100000000002</v>
      </c>
    </row>
    <row r="1045" spans="1:7" x14ac:dyDescent="0.35">
      <c r="A1045" s="178" t="s">
        <v>614</v>
      </c>
      <c r="B1045" s="178" t="s">
        <v>2234</v>
      </c>
      <c r="C1045" s="178" t="s">
        <v>604</v>
      </c>
      <c r="D1045" s="178" t="s">
        <v>63</v>
      </c>
      <c r="E1045">
        <v>6347.2</v>
      </c>
      <c r="F1045">
        <v>952.08</v>
      </c>
      <c r="G1045">
        <v>7299.28</v>
      </c>
    </row>
    <row r="1046" spans="1:7" x14ac:dyDescent="0.35">
      <c r="A1046" s="178" t="s">
        <v>1120</v>
      </c>
      <c r="B1046" s="178" t="s">
        <v>2235</v>
      </c>
      <c r="C1046" s="178" t="s">
        <v>604</v>
      </c>
      <c r="D1046" s="178" t="s">
        <v>63</v>
      </c>
      <c r="E1046">
        <v>2590.65</v>
      </c>
      <c r="F1046">
        <v>388.6</v>
      </c>
      <c r="G1046">
        <v>2979.25</v>
      </c>
    </row>
    <row r="1047" spans="1:7" x14ac:dyDescent="0.35">
      <c r="A1047" s="178" t="s">
        <v>889</v>
      </c>
      <c r="B1047" s="178" t="s">
        <v>2236</v>
      </c>
      <c r="C1047" s="178" t="s">
        <v>604</v>
      </c>
      <c r="D1047" s="178" t="s">
        <v>63</v>
      </c>
      <c r="E1047">
        <v>639.6</v>
      </c>
      <c r="F1047">
        <v>95.94</v>
      </c>
      <c r="G1047">
        <v>735.54</v>
      </c>
    </row>
    <row r="1048" spans="1:7" x14ac:dyDescent="0.35">
      <c r="A1048" s="178" t="s">
        <v>1431</v>
      </c>
      <c r="B1048" s="178" t="s">
        <v>2237</v>
      </c>
      <c r="C1048" s="178" t="s">
        <v>604</v>
      </c>
      <c r="D1048" s="178" t="s">
        <v>63</v>
      </c>
      <c r="E1048">
        <v>2759.2</v>
      </c>
      <c r="F1048">
        <v>413.88</v>
      </c>
      <c r="G1048">
        <v>3173.08</v>
      </c>
    </row>
    <row r="1049" spans="1:7" x14ac:dyDescent="0.35">
      <c r="A1049" s="178" t="s">
        <v>1373</v>
      </c>
      <c r="B1049" s="178" t="s">
        <v>2238</v>
      </c>
      <c r="C1049" s="178" t="s">
        <v>604</v>
      </c>
      <c r="D1049" s="178" t="s">
        <v>63</v>
      </c>
      <c r="E1049">
        <v>1658.5</v>
      </c>
      <c r="F1049">
        <v>248.78</v>
      </c>
      <c r="G1049">
        <v>1907.28</v>
      </c>
    </row>
    <row r="1050" spans="1:7" x14ac:dyDescent="0.35">
      <c r="A1050" s="178" t="s">
        <v>538</v>
      </c>
      <c r="B1050" s="178" t="s">
        <v>2239</v>
      </c>
      <c r="C1050" s="178" t="s">
        <v>604</v>
      </c>
      <c r="D1050" s="178" t="s">
        <v>63</v>
      </c>
      <c r="E1050">
        <v>9554</v>
      </c>
      <c r="F1050">
        <v>1433.11</v>
      </c>
      <c r="G1050">
        <v>10987.11</v>
      </c>
    </row>
    <row r="1051" spans="1:7" x14ac:dyDescent="0.35">
      <c r="A1051" s="178" t="s">
        <v>1727</v>
      </c>
      <c r="B1051" s="178" t="s">
        <v>2240</v>
      </c>
      <c r="C1051" s="178" t="s">
        <v>604</v>
      </c>
      <c r="D1051" s="178" t="s">
        <v>63</v>
      </c>
      <c r="E1051">
        <v>1582.35</v>
      </c>
      <c r="F1051">
        <v>237.35</v>
      </c>
      <c r="G1051">
        <v>1819.7</v>
      </c>
    </row>
    <row r="1052" spans="1:7" x14ac:dyDescent="0.35">
      <c r="A1052" s="178" t="s">
        <v>535</v>
      </c>
      <c r="B1052" s="178" t="s">
        <v>2241</v>
      </c>
      <c r="C1052" s="178" t="s">
        <v>604</v>
      </c>
      <c r="D1052" s="178" t="s">
        <v>63</v>
      </c>
      <c r="E1052">
        <v>13620.3</v>
      </c>
      <c r="F1052">
        <v>2043.05</v>
      </c>
      <c r="G1052">
        <v>15663.35</v>
      </c>
    </row>
    <row r="1053" spans="1:7" x14ac:dyDescent="0.35">
      <c r="A1053" s="178" t="s">
        <v>647</v>
      </c>
      <c r="B1053" s="178" t="s">
        <v>2242</v>
      </c>
      <c r="C1053" s="178" t="s">
        <v>604</v>
      </c>
      <c r="D1053" s="178" t="s">
        <v>63</v>
      </c>
      <c r="E1053">
        <v>1003.25</v>
      </c>
      <c r="F1053">
        <v>150.49</v>
      </c>
      <c r="G1053">
        <v>1153.74</v>
      </c>
    </row>
    <row r="1054" spans="1:7" x14ac:dyDescent="0.35">
      <c r="A1054" s="178" t="s">
        <v>460</v>
      </c>
      <c r="B1054" s="178" t="s">
        <v>2243</v>
      </c>
      <c r="C1054" s="178" t="s">
        <v>604</v>
      </c>
      <c r="D1054" s="178" t="s">
        <v>63</v>
      </c>
      <c r="E1054">
        <v>2072.15</v>
      </c>
      <c r="F1054">
        <v>310.83</v>
      </c>
      <c r="G1054">
        <v>2382.98</v>
      </c>
    </row>
    <row r="1055" spans="1:7" x14ac:dyDescent="0.35">
      <c r="A1055" s="178" t="s">
        <v>1640</v>
      </c>
      <c r="B1055" s="178" t="s">
        <v>2244</v>
      </c>
      <c r="C1055" s="178" t="s">
        <v>604</v>
      </c>
      <c r="D1055" s="178" t="s">
        <v>2245</v>
      </c>
      <c r="E1055">
        <v>1380</v>
      </c>
      <c r="F1055">
        <v>207</v>
      </c>
      <c r="G1055">
        <v>1587</v>
      </c>
    </row>
    <row r="1056" spans="1:7" x14ac:dyDescent="0.35">
      <c r="A1056" s="178" t="s">
        <v>846</v>
      </c>
      <c r="B1056" s="178" t="s">
        <v>2246</v>
      </c>
      <c r="C1056" s="178" t="s">
        <v>604</v>
      </c>
      <c r="D1056" s="178" t="s">
        <v>63</v>
      </c>
      <c r="E1056">
        <v>1341.9</v>
      </c>
      <c r="F1056">
        <v>201.29</v>
      </c>
      <c r="G1056">
        <v>1543.19</v>
      </c>
    </row>
    <row r="1057" spans="1:7" x14ac:dyDescent="0.35">
      <c r="A1057" s="178" t="s">
        <v>1163</v>
      </c>
      <c r="B1057" s="178" t="s">
        <v>2247</v>
      </c>
      <c r="C1057" s="178" t="s">
        <v>604</v>
      </c>
      <c r="D1057" s="178" t="s">
        <v>63</v>
      </c>
      <c r="E1057">
        <v>1859.86</v>
      </c>
      <c r="F1057">
        <v>278.98</v>
      </c>
      <c r="G1057">
        <v>2138.84</v>
      </c>
    </row>
    <row r="1058" spans="1:7" x14ac:dyDescent="0.35">
      <c r="A1058" s="178" t="s">
        <v>920</v>
      </c>
      <c r="B1058" s="178" t="s">
        <v>2248</v>
      </c>
      <c r="C1058" s="178" t="s">
        <v>604</v>
      </c>
      <c r="D1058" s="178" t="s">
        <v>63</v>
      </c>
      <c r="E1058">
        <v>7068.3</v>
      </c>
      <c r="F1058">
        <v>1060.25</v>
      </c>
      <c r="G1058">
        <v>8128.55</v>
      </c>
    </row>
    <row r="1059" spans="1:7" x14ac:dyDescent="0.35">
      <c r="A1059" s="178" t="s">
        <v>623</v>
      </c>
      <c r="B1059" s="178" t="s">
        <v>2249</v>
      </c>
      <c r="C1059" s="178" t="s">
        <v>604</v>
      </c>
      <c r="D1059" s="178" t="s">
        <v>2250</v>
      </c>
      <c r="E1059">
        <v>857.9</v>
      </c>
      <c r="F1059">
        <v>128.69</v>
      </c>
      <c r="G1059">
        <v>986.59</v>
      </c>
    </row>
    <row r="1060" spans="1:7" x14ac:dyDescent="0.35">
      <c r="A1060" s="178" t="s">
        <v>2251</v>
      </c>
      <c r="B1060" s="178" t="s">
        <v>2252</v>
      </c>
      <c r="C1060" s="178" t="s">
        <v>604</v>
      </c>
      <c r="D1060" s="178" t="s">
        <v>63</v>
      </c>
      <c r="E1060">
        <v>3465.41</v>
      </c>
      <c r="F1060">
        <v>519.80999999999995</v>
      </c>
      <c r="G1060">
        <v>3985.22</v>
      </c>
    </row>
    <row r="1061" spans="1:7" x14ac:dyDescent="0.35">
      <c r="A1061" s="178" t="s">
        <v>859</v>
      </c>
      <c r="B1061" s="178" t="s">
        <v>2253</v>
      </c>
      <c r="C1061" s="178" t="s">
        <v>604</v>
      </c>
      <c r="D1061" s="178" t="s">
        <v>63</v>
      </c>
      <c r="E1061">
        <v>1350</v>
      </c>
      <c r="F1061">
        <v>202.5</v>
      </c>
      <c r="G1061">
        <v>1552.5</v>
      </c>
    </row>
    <row r="1062" spans="1:7" x14ac:dyDescent="0.35">
      <c r="A1062" s="178" t="s">
        <v>2254</v>
      </c>
      <c r="B1062" s="178" t="s">
        <v>2255</v>
      </c>
      <c r="C1062" s="178" t="s">
        <v>604</v>
      </c>
      <c r="D1062" s="178" t="s">
        <v>63</v>
      </c>
      <c r="E1062">
        <v>4250</v>
      </c>
      <c r="F1062">
        <v>637.5</v>
      </c>
      <c r="G1062">
        <v>4887.5</v>
      </c>
    </row>
    <row r="1063" spans="1:7" x14ac:dyDescent="0.35">
      <c r="A1063" s="178" t="s">
        <v>466</v>
      </c>
      <c r="B1063" s="178" t="s">
        <v>2256</v>
      </c>
      <c r="C1063" s="178" t="s">
        <v>604</v>
      </c>
      <c r="D1063" s="178" t="s">
        <v>63</v>
      </c>
      <c r="E1063">
        <v>7844.35</v>
      </c>
      <c r="F1063">
        <v>1176.6600000000001</v>
      </c>
      <c r="G1063">
        <v>9021.01</v>
      </c>
    </row>
    <row r="1064" spans="1:7" x14ac:dyDescent="0.35">
      <c r="A1064" s="178" t="s">
        <v>1123</v>
      </c>
      <c r="B1064" s="178" t="s">
        <v>2257</v>
      </c>
      <c r="C1064" s="178" t="s">
        <v>604</v>
      </c>
      <c r="D1064" s="178" t="s">
        <v>63</v>
      </c>
      <c r="E1064">
        <v>2255.4</v>
      </c>
      <c r="F1064">
        <v>338.31</v>
      </c>
      <c r="G1064">
        <v>2593.71</v>
      </c>
    </row>
    <row r="1065" spans="1:7" x14ac:dyDescent="0.35">
      <c r="A1065" s="178" t="s">
        <v>785</v>
      </c>
      <c r="B1065" s="178" t="s">
        <v>2258</v>
      </c>
      <c r="C1065" s="178" t="s">
        <v>604</v>
      </c>
      <c r="D1065" s="178" t="s">
        <v>63</v>
      </c>
      <c r="E1065">
        <v>1337</v>
      </c>
      <c r="F1065">
        <v>200.55</v>
      </c>
      <c r="G1065">
        <v>1537.55</v>
      </c>
    </row>
    <row r="1066" spans="1:7" x14ac:dyDescent="0.35">
      <c r="A1066" s="178" t="s">
        <v>460</v>
      </c>
      <c r="B1066" s="178" t="s">
        <v>2259</v>
      </c>
      <c r="C1066" s="178" t="s">
        <v>604</v>
      </c>
      <c r="D1066" s="178" t="s">
        <v>63</v>
      </c>
      <c r="E1066">
        <v>1292.0999999999999</v>
      </c>
      <c r="F1066">
        <v>193.82</v>
      </c>
      <c r="G1066">
        <v>1485.92</v>
      </c>
    </row>
    <row r="1067" spans="1:7" x14ac:dyDescent="0.35">
      <c r="A1067" s="178" t="s">
        <v>460</v>
      </c>
      <c r="B1067" s="178" t="s">
        <v>2260</v>
      </c>
      <c r="C1067" s="178" t="s">
        <v>604</v>
      </c>
      <c r="D1067" s="178" t="s">
        <v>63</v>
      </c>
      <c r="E1067">
        <v>1419</v>
      </c>
      <c r="F1067">
        <v>212.85</v>
      </c>
      <c r="G1067">
        <v>1631.85</v>
      </c>
    </row>
    <row r="1068" spans="1:7" x14ac:dyDescent="0.35">
      <c r="A1068" s="178" t="s">
        <v>1053</v>
      </c>
      <c r="B1068" s="178" t="s">
        <v>2261</v>
      </c>
      <c r="C1068" s="178" t="s">
        <v>604</v>
      </c>
      <c r="D1068" s="178" t="s">
        <v>63</v>
      </c>
      <c r="E1068">
        <v>4433.8500000000004</v>
      </c>
      <c r="F1068">
        <v>665.08</v>
      </c>
      <c r="G1068">
        <v>5098.93</v>
      </c>
    </row>
    <row r="1069" spans="1:7" x14ac:dyDescent="0.35">
      <c r="A1069" s="178" t="s">
        <v>925</v>
      </c>
      <c r="B1069" s="178" t="s">
        <v>2262</v>
      </c>
      <c r="C1069" s="178" t="s">
        <v>604</v>
      </c>
      <c r="D1069" s="178" t="s">
        <v>63</v>
      </c>
      <c r="E1069">
        <v>11800</v>
      </c>
      <c r="F1069">
        <v>1770</v>
      </c>
      <c r="G1069">
        <v>13570</v>
      </c>
    </row>
    <row r="1070" spans="1:7" x14ac:dyDescent="0.35">
      <c r="A1070" s="178" t="s">
        <v>436</v>
      </c>
      <c r="B1070" s="178" t="s">
        <v>2263</v>
      </c>
      <c r="C1070" s="178" t="s">
        <v>604</v>
      </c>
      <c r="D1070" s="178" t="s">
        <v>1471</v>
      </c>
      <c r="E1070">
        <v>2642.55</v>
      </c>
      <c r="F1070">
        <v>396.38</v>
      </c>
      <c r="G1070">
        <v>3038.93</v>
      </c>
    </row>
    <row r="1071" spans="1:7" x14ac:dyDescent="0.35">
      <c r="A1071" s="178" t="s">
        <v>436</v>
      </c>
      <c r="B1071" s="178" t="s">
        <v>2264</v>
      </c>
      <c r="C1071" s="178" t="s">
        <v>604</v>
      </c>
      <c r="D1071" s="178" t="s">
        <v>1471</v>
      </c>
      <c r="E1071">
        <v>1212.6500000000001</v>
      </c>
      <c r="F1071">
        <v>181.9</v>
      </c>
      <c r="G1071">
        <v>1394.55</v>
      </c>
    </row>
    <row r="1072" spans="1:7" x14ac:dyDescent="0.35">
      <c r="A1072" s="178" t="s">
        <v>436</v>
      </c>
      <c r="B1072" s="178" t="s">
        <v>2265</v>
      </c>
      <c r="C1072" s="178" t="s">
        <v>604</v>
      </c>
      <c r="D1072" s="178" t="s">
        <v>2266</v>
      </c>
      <c r="E1072">
        <v>3894.7</v>
      </c>
      <c r="F1072">
        <v>584.21</v>
      </c>
      <c r="G1072">
        <v>4478.91</v>
      </c>
    </row>
    <row r="1073" spans="1:7" x14ac:dyDescent="0.35">
      <c r="A1073" s="178" t="s">
        <v>614</v>
      </c>
      <c r="B1073" s="178" t="s">
        <v>2267</v>
      </c>
      <c r="C1073" s="178" t="s">
        <v>604</v>
      </c>
      <c r="D1073" s="178" t="s">
        <v>63</v>
      </c>
      <c r="E1073">
        <v>1750</v>
      </c>
      <c r="F1073">
        <v>262.5</v>
      </c>
      <c r="G1073">
        <v>2012.5</v>
      </c>
    </row>
    <row r="1074" spans="1:7" x14ac:dyDescent="0.35">
      <c r="A1074" s="178" t="s">
        <v>875</v>
      </c>
      <c r="B1074" s="178" t="s">
        <v>2268</v>
      </c>
      <c r="C1074" s="178" t="s">
        <v>604</v>
      </c>
      <c r="D1074" s="178" t="s">
        <v>63</v>
      </c>
      <c r="E1074">
        <v>20422.849999999999</v>
      </c>
      <c r="F1074">
        <v>3063.43</v>
      </c>
      <c r="G1074">
        <v>23486.28</v>
      </c>
    </row>
    <row r="1075" spans="1:7" x14ac:dyDescent="0.35">
      <c r="A1075" s="178" t="s">
        <v>617</v>
      </c>
      <c r="B1075" s="178" t="s">
        <v>2269</v>
      </c>
      <c r="C1075" s="178" t="s">
        <v>604</v>
      </c>
      <c r="D1075" s="178" t="s">
        <v>63</v>
      </c>
      <c r="E1075">
        <v>5175.95</v>
      </c>
      <c r="F1075">
        <v>776.39</v>
      </c>
      <c r="G1075">
        <v>5952.34</v>
      </c>
    </row>
    <row r="1076" spans="1:7" x14ac:dyDescent="0.35">
      <c r="A1076" s="178" t="s">
        <v>793</v>
      </c>
      <c r="B1076" s="178" t="s">
        <v>2270</v>
      </c>
      <c r="C1076" s="178" t="s">
        <v>604</v>
      </c>
      <c r="D1076" s="178" t="s">
        <v>63</v>
      </c>
      <c r="E1076">
        <v>1793.93</v>
      </c>
      <c r="F1076">
        <v>269.08999999999997</v>
      </c>
      <c r="G1076">
        <v>2063.02</v>
      </c>
    </row>
    <row r="1077" spans="1:7" x14ac:dyDescent="0.35">
      <c r="A1077" s="178" t="s">
        <v>1546</v>
      </c>
      <c r="B1077" s="178" t="s">
        <v>2271</v>
      </c>
      <c r="C1077" s="178" t="s">
        <v>604</v>
      </c>
      <c r="D1077" s="178" t="s">
        <v>2272</v>
      </c>
      <c r="E1077">
        <v>1551.25</v>
      </c>
      <c r="F1077">
        <v>232.69</v>
      </c>
      <c r="G1077">
        <v>1783.94</v>
      </c>
    </row>
    <row r="1078" spans="1:7" x14ac:dyDescent="0.35">
      <c r="A1078" s="178" t="s">
        <v>2273</v>
      </c>
      <c r="B1078" s="178" t="s">
        <v>2274</v>
      </c>
      <c r="C1078" s="178" t="s">
        <v>604</v>
      </c>
      <c r="D1078" s="178" t="s">
        <v>2275</v>
      </c>
      <c r="E1078">
        <v>13916.7</v>
      </c>
      <c r="F1078" s="178" t="s">
        <v>63</v>
      </c>
      <c r="G1078">
        <v>13916.7</v>
      </c>
    </row>
    <row r="1079" spans="1:7" x14ac:dyDescent="0.35">
      <c r="A1079" s="178" t="s">
        <v>634</v>
      </c>
      <c r="B1079" s="178" t="s">
        <v>2276</v>
      </c>
      <c r="C1079" s="178" t="s">
        <v>604</v>
      </c>
      <c r="D1079" s="178" t="s">
        <v>63</v>
      </c>
      <c r="E1079">
        <v>865.1</v>
      </c>
      <c r="F1079">
        <v>129.77000000000001</v>
      </c>
      <c r="G1079">
        <v>994.87</v>
      </c>
    </row>
    <row r="1080" spans="1:7" x14ac:dyDescent="0.35">
      <c r="A1080" s="178" t="s">
        <v>2277</v>
      </c>
      <c r="B1080" s="178" t="s">
        <v>2278</v>
      </c>
      <c r="C1080" s="178" t="s">
        <v>604</v>
      </c>
      <c r="D1080" s="178" t="s">
        <v>63</v>
      </c>
      <c r="E1080">
        <v>32287.200000000001</v>
      </c>
      <c r="F1080">
        <v>4843.08</v>
      </c>
      <c r="G1080">
        <v>37130.28</v>
      </c>
    </row>
    <row r="1081" spans="1:7" x14ac:dyDescent="0.35">
      <c r="A1081" s="178" t="s">
        <v>501</v>
      </c>
      <c r="B1081" s="178" t="s">
        <v>2279</v>
      </c>
      <c r="C1081" s="178" t="s">
        <v>621</v>
      </c>
      <c r="D1081" s="178" t="s">
        <v>2280</v>
      </c>
      <c r="E1081">
        <v>926.55</v>
      </c>
      <c r="F1081">
        <v>138.97999999999999</v>
      </c>
      <c r="G1081">
        <v>1065.53</v>
      </c>
    </row>
    <row r="1082" spans="1:7" x14ac:dyDescent="0.35">
      <c r="A1082" s="178" t="s">
        <v>653</v>
      </c>
      <c r="B1082" s="178" t="s">
        <v>2281</v>
      </c>
      <c r="C1082" s="178" t="s">
        <v>621</v>
      </c>
      <c r="D1082" s="178" t="s">
        <v>63</v>
      </c>
      <c r="E1082">
        <v>1236.5999999999999</v>
      </c>
      <c r="F1082">
        <v>185.49</v>
      </c>
      <c r="G1082">
        <v>1422.09</v>
      </c>
    </row>
    <row r="1083" spans="1:7" x14ac:dyDescent="0.35">
      <c r="A1083" s="178" t="s">
        <v>1396</v>
      </c>
      <c r="B1083" s="178" t="s">
        <v>2282</v>
      </c>
      <c r="C1083" s="178" t="s">
        <v>621</v>
      </c>
      <c r="D1083" s="178" t="s">
        <v>2283</v>
      </c>
      <c r="E1083">
        <v>1445</v>
      </c>
      <c r="F1083">
        <v>216.75</v>
      </c>
      <c r="G1083">
        <v>1661.75</v>
      </c>
    </row>
    <row r="1084" spans="1:7" x14ac:dyDescent="0.35">
      <c r="A1084" s="178" t="s">
        <v>460</v>
      </c>
      <c r="B1084" s="178" t="s">
        <v>2284</v>
      </c>
      <c r="C1084" s="178" t="s">
        <v>621</v>
      </c>
      <c r="D1084" s="178" t="s">
        <v>2285</v>
      </c>
      <c r="E1084">
        <v>1946.55</v>
      </c>
      <c r="F1084">
        <v>291.98</v>
      </c>
      <c r="G1084">
        <v>2238.5300000000002</v>
      </c>
    </row>
    <row r="1085" spans="1:7" x14ac:dyDescent="0.35">
      <c r="A1085" s="178" t="s">
        <v>2286</v>
      </c>
      <c r="B1085" s="178" t="s">
        <v>2287</v>
      </c>
      <c r="C1085" s="178" t="s">
        <v>621</v>
      </c>
      <c r="D1085" s="178" t="s">
        <v>2288</v>
      </c>
      <c r="E1085">
        <v>22858.6</v>
      </c>
      <c r="F1085">
        <v>3428.8</v>
      </c>
      <c r="G1085">
        <v>26287.4</v>
      </c>
    </row>
    <row r="1086" spans="1:7" x14ac:dyDescent="0.35">
      <c r="A1086" s="178" t="s">
        <v>2289</v>
      </c>
      <c r="B1086" s="178" t="s">
        <v>2290</v>
      </c>
      <c r="C1086" s="178" t="s">
        <v>621</v>
      </c>
      <c r="D1086" s="178" t="s">
        <v>63</v>
      </c>
      <c r="E1086">
        <v>1554.2</v>
      </c>
      <c r="F1086">
        <v>233.13</v>
      </c>
      <c r="G1086">
        <v>1787.33</v>
      </c>
    </row>
    <row r="1087" spans="1:7" x14ac:dyDescent="0.35">
      <c r="A1087" s="178" t="s">
        <v>1236</v>
      </c>
      <c r="B1087" s="178" t="s">
        <v>2291</v>
      </c>
      <c r="C1087" s="178" t="s">
        <v>621</v>
      </c>
      <c r="D1087" s="178" t="s">
        <v>63</v>
      </c>
      <c r="E1087">
        <v>13312.25</v>
      </c>
      <c r="F1087">
        <v>1996.84</v>
      </c>
      <c r="G1087">
        <v>15309.09</v>
      </c>
    </row>
    <row r="1088" spans="1:7" x14ac:dyDescent="0.35">
      <c r="A1088" s="178" t="s">
        <v>2292</v>
      </c>
      <c r="B1088" s="178" t="s">
        <v>2293</v>
      </c>
      <c r="C1088" s="178" t="s">
        <v>621</v>
      </c>
      <c r="D1088" s="178" t="s">
        <v>63</v>
      </c>
      <c r="E1088">
        <v>1232</v>
      </c>
      <c r="F1088">
        <v>184.8</v>
      </c>
      <c r="G1088">
        <v>1416.8</v>
      </c>
    </row>
    <row r="1089" spans="1:7" x14ac:dyDescent="0.35">
      <c r="A1089" s="178" t="s">
        <v>1194</v>
      </c>
      <c r="B1089" s="178" t="s">
        <v>2294</v>
      </c>
      <c r="C1089" s="178" t="s">
        <v>621</v>
      </c>
      <c r="D1089" s="178" t="s">
        <v>63</v>
      </c>
      <c r="E1089">
        <v>1087.2</v>
      </c>
      <c r="F1089">
        <v>163.08000000000001</v>
      </c>
      <c r="G1089">
        <v>1250.28</v>
      </c>
    </row>
    <row r="1090" spans="1:7" x14ac:dyDescent="0.35">
      <c r="A1090" s="178" t="s">
        <v>1626</v>
      </c>
      <c r="B1090" s="178" t="s">
        <v>2295</v>
      </c>
      <c r="C1090" s="178" t="s">
        <v>621</v>
      </c>
      <c r="D1090" s="178" t="s">
        <v>63</v>
      </c>
      <c r="E1090">
        <v>7201.25</v>
      </c>
      <c r="F1090">
        <v>1080.19</v>
      </c>
      <c r="G1090">
        <v>8281.44</v>
      </c>
    </row>
    <row r="1091" spans="1:7" x14ac:dyDescent="0.35">
      <c r="A1091" s="178" t="s">
        <v>2296</v>
      </c>
      <c r="B1091" s="178" t="s">
        <v>2297</v>
      </c>
      <c r="C1091" s="178" t="s">
        <v>621</v>
      </c>
      <c r="D1091" s="178" t="s">
        <v>63</v>
      </c>
      <c r="E1091">
        <v>2844</v>
      </c>
      <c r="F1091">
        <v>426.61</v>
      </c>
      <c r="G1091">
        <v>3270.61</v>
      </c>
    </row>
    <row r="1092" spans="1:7" x14ac:dyDescent="0.35">
      <c r="A1092" s="178" t="s">
        <v>460</v>
      </c>
      <c r="B1092" s="178" t="s">
        <v>2298</v>
      </c>
      <c r="C1092" s="178" t="s">
        <v>621</v>
      </c>
      <c r="D1092" s="178" t="s">
        <v>2299</v>
      </c>
      <c r="E1092">
        <v>1828.75</v>
      </c>
      <c r="F1092">
        <v>274.31</v>
      </c>
      <c r="G1092">
        <v>2103.06</v>
      </c>
    </row>
    <row r="1093" spans="1:7" x14ac:dyDescent="0.35">
      <c r="A1093" s="178" t="s">
        <v>1049</v>
      </c>
      <c r="B1093" s="178" t="s">
        <v>2300</v>
      </c>
      <c r="C1093" s="178" t="s">
        <v>621</v>
      </c>
      <c r="D1093" s="178" t="s">
        <v>63</v>
      </c>
      <c r="E1093">
        <v>1522.5</v>
      </c>
      <c r="F1093">
        <v>228.38</v>
      </c>
      <c r="G1093">
        <v>1750.88</v>
      </c>
    </row>
    <row r="1094" spans="1:7" x14ac:dyDescent="0.35">
      <c r="A1094" s="178" t="s">
        <v>791</v>
      </c>
      <c r="B1094" s="178" t="s">
        <v>2301</v>
      </c>
      <c r="C1094" s="178" t="s">
        <v>621</v>
      </c>
      <c r="D1094" s="178" t="s">
        <v>63</v>
      </c>
      <c r="E1094">
        <v>31120.400000000001</v>
      </c>
      <c r="F1094">
        <v>4668.0600000000004</v>
      </c>
      <c r="G1094">
        <v>35788.46</v>
      </c>
    </row>
    <row r="1095" spans="1:7" x14ac:dyDescent="0.35">
      <c r="A1095" s="178" t="s">
        <v>1279</v>
      </c>
      <c r="B1095" s="178" t="s">
        <v>2302</v>
      </c>
      <c r="C1095" s="178" t="s">
        <v>621</v>
      </c>
      <c r="D1095" s="178" t="s">
        <v>63</v>
      </c>
      <c r="E1095">
        <v>1620</v>
      </c>
      <c r="F1095">
        <v>243</v>
      </c>
      <c r="G1095">
        <v>1863</v>
      </c>
    </row>
    <row r="1096" spans="1:7" x14ac:dyDescent="0.35">
      <c r="A1096" s="178" t="s">
        <v>529</v>
      </c>
      <c r="B1096" s="178" t="s">
        <v>2303</v>
      </c>
      <c r="C1096" s="178" t="s">
        <v>621</v>
      </c>
      <c r="D1096" s="178" t="s">
        <v>63</v>
      </c>
      <c r="E1096">
        <v>13591.35</v>
      </c>
      <c r="F1096">
        <v>2038.72</v>
      </c>
      <c r="G1096">
        <v>15630.07</v>
      </c>
    </row>
    <row r="1097" spans="1:7" x14ac:dyDescent="0.35">
      <c r="A1097" s="178" t="s">
        <v>1022</v>
      </c>
      <c r="B1097" s="178" t="s">
        <v>2304</v>
      </c>
      <c r="C1097" s="178" t="s">
        <v>621</v>
      </c>
      <c r="D1097" s="178" t="s">
        <v>63</v>
      </c>
      <c r="E1097">
        <v>1419.6</v>
      </c>
      <c r="F1097">
        <v>212.94</v>
      </c>
      <c r="G1097">
        <v>1632.54</v>
      </c>
    </row>
    <row r="1098" spans="1:7" x14ac:dyDescent="0.35">
      <c r="A1098" s="178" t="s">
        <v>1316</v>
      </c>
      <c r="B1098" s="178" t="s">
        <v>2305</v>
      </c>
      <c r="C1098" s="178" t="s">
        <v>621</v>
      </c>
      <c r="D1098" s="178" t="s">
        <v>63</v>
      </c>
      <c r="E1098">
        <v>14910.25</v>
      </c>
      <c r="F1098">
        <v>2236.54</v>
      </c>
      <c r="G1098">
        <v>17146.79</v>
      </c>
    </row>
    <row r="1099" spans="1:7" x14ac:dyDescent="0.35">
      <c r="A1099" s="178" t="s">
        <v>466</v>
      </c>
      <c r="B1099" s="178" t="s">
        <v>2306</v>
      </c>
      <c r="C1099" s="178" t="s">
        <v>621</v>
      </c>
      <c r="D1099" s="178" t="s">
        <v>63</v>
      </c>
      <c r="E1099">
        <v>1501</v>
      </c>
      <c r="F1099">
        <v>225.15</v>
      </c>
      <c r="G1099">
        <v>1726.15</v>
      </c>
    </row>
    <row r="1100" spans="1:7" x14ac:dyDescent="0.35">
      <c r="A1100" s="178" t="s">
        <v>1296</v>
      </c>
      <c r="B1100" s="178" t="s">
        <v>2307</v>
      </c>
      <c r="C1100" s="178" t="s">
        <v>621</v>
      </c>
      <c r="D1100" s="178" t="s">
        <v>2308</v>
      </c>
      <c r="E1100">
        <v>1396.5</v>
      </c>
      <c r="F1100">
        <v>209.48</v>
      </c>
      <c r="G1100">
        <v>1605.98</v>
      </c>
    </row>
    <row r="1101" spans="1:7" x14ac:dyDescent="0.35">
      <c r="A1101" s="178" t="s">
        <v>590</v>
      </c>
      <c r="B1101" s="178" t="s">
        <v>2309</v>
      </c>
      <c r="C1101" s="178" t="s">
        <v>621</v>
      </c>
      <c r="D1101" s="178" t="s">
        <v>63</v>
      </c>
      <c r="E1101">
        <v>2040</v>
      </c>
      <c r="F1101">
        <v>306</v>
      </c>
      <c r="G1101">
        <v>2346</v>
      </c>
    </row>
    <row r="1102" spans="1:7" x14ac:dyDescent="0.35">
      <c r="A1102" s="178" t="s">
        <v>634</v>
      </c>
      <c r="B1102" s="178" t="s">
        <v>2310</v>
      </c>
      <c r="C1102" s="178" t="s">
        <v>621</v>
      </c>
      <c r="D1102" s="178" t="s">
        <v>63</v>
      </c>
      <c r="E1102">
        <v>5900</v>
      </c>
      <c r="F1102">
        <v>885</v>
      </c>
      <c r="G1102">
        <v>6785</v>
      </c>
    </row>
    <row r="1103" spans="1:7" x14ac:dyDescent="0.35">
      <c r="A1103" s="178" t="s">
        <v>560</v>
      </c>
      <c r="B1103" s="178" t="s">
        <v>2311</v>
      </c>
      <c r="C1103" s="178" t="s">
        <v>621</v>
      </c>
      <c r="D1103">
        <v>105983</v>
      </c>
      <c r="E1103">
        <v>3352.25</v>
      </c>
      <c r="F1103">
        <v>502.84</v>
      </c>
      <c r="G1103">
        <v>3855.09</v>
      </c>
    </row>
    <row r="1104" spans="1:7" x14ac:dyDescent="0.35">
      <c r="A1104" s="178" t="s">
        <v>634</v>
      </c>
      <c r="B1104" s="178" t="s">
        <v>2312</v>
      </c>
      <c r="C1104" s="178" t="s">
        <v>621</v>
      </c>
      <c r="D1104" s="178" t="s">
        <v>63</v>
      </c>
      <c r="E1104">
        <v>774</v>
      </c>
      <c r="F1104">
        <v>116.1</v>
      </c>
      <c r="G1104">
        <v>890.1</v>
      </c>
    </row>
    <row r="1105" spans="1:7" x14ac:dyDescent="0.35">
      <c r="A1105" s="178" t="s">
        <v>541</v>
      </c>
      <c r="B1105" s="178" t="s">
        <v>2313</v>
      </c>
      <c r="C1105" s="178" t="s">
        <v>621</v>
      </c>
      <c r="D1105" s="178" t="s">
        <v>63</v>
      </c>
      <c r="E1105">
        <v>3053.8</v>
      </c>
      <c r="F1105">
        <v>458.07</v>
      </c>
      <c r="G1105">
        <v>3511.87</v>
      </c>
    </row>
    <row r="1106" spans="1:7" x14ac:dyDescent="0.35">
      <c r="A1106" s="178" t="s">
        <v>460</v>
      </c>
      <c r="B1106" s="178" t="s">
        <v>2314</v>
      </c>
      <c r="C1106" s="178" t="s">
        <v>621</v>
      </c>
      <c r="D1106" s="178" t="s">
        <v>1939</v>
      </c>
      <c r="E1106">
        <v>688.5</v>
      </c>
      <c r="F1106">
        <v>103.28</v>
      </c>
      <c r="G1106">
        <v>791.78</v>
      </c>
    </row>
    <row r="1107" spans="1:7" x14ac:dyDescent="0.35">
      <c r="A1107" s="178" t="s">
        <v>2315</v>
      </c>
      <c r="B1107" s="178" t="s">
        <v>2316</v>
      </c>
      <c r="C1107" s="178" t="s">
        <v>621</v>
      </c>
      <c r="D1107" s="178" t="s">
        <v>2317</v>
      </c>
      <c r="E1107">
        <v>1780</v>
      </c>
      <c r="F1107">
        <v>267</v>
      </c>
      <c r="G1107">
        <v>2047</v>
      </c>
    </row>
    <row r="1108" spans="1:7" x14ac:dyDescent="0.35">
      <c r="A1108" s="178" t="s">
        <v>1296</v>
      </c>
      <c r="B1108" s="178" t="s">
        <v>2318</v>
      </c>
      <c r="C1108" s="178" t="s">
        <v>621</v>
      </c>
      <c r="D1108" s="178" t="s">
        <v>2319</v>
      </c>
      <c r="E1108">
        <v>56452.45</v>
      </c>
      <c r="F1108">
        <v>8467.8700000000008</v>
      </c>
      <c r="G1108">
        <v>64920.32</v>
      </c>
    </row>
    <row r="1109" spans="1:7" x14ac:dyDescent="0.35">
      <c r="A1109" s="178" t="s">
        <v>593</v>
      </c>
      <c r="B1109" s="178" t="s">
        <v>2320</v>
      </c>
      <c r="C1109" s="178" t="s">
        <v>621</v>
      </c>
      <c r="D1109" s="178" t="s">
        <v>63</v>
      </c>
      <c r="E1109">
        <v>7651</v>
      </c>
      <c r="F1109">
        <v>1147.6500000000001</v>
      </c>
      <c r="G1109">
        <v>8798.65</v>
      </c>
    </row>
    <row r="1110" spans="1:7" x14ac:dyDescent="0.35">
      <c r="A1110" s="178" t="s">
        <v>2321</v>
      </c>
      <c r="B1110" s="178" t="s">
        <v>2322</v>
      </c>
      <c r="C1110" s="178" t="s">
        <v>621</v>
      </c>
      <c r="D1110" s="178" t="s">
        <v>63</v>
      </c>
      <c r="E1110">
        <v>3304.2</v>
      </c>
      <c r="F1110">
        <v>495.63</v>
      </c>
      <c r="G1110">
        <v>3799.83</v>
      </c>
    </row>
    <row r="1111" spans="1:7" x14ac:dyDescent="0.35">
      <c r="A1111" s="178" t="s">
        <v>606</v>
      </c>
      <c r="B1111" s="178" t="s">
        <v>2323</v>
      </c>
      <c r="C1111" s="178" t="s">
        <v>621</v>
      </c>
      <c r="D1111" s="178" t="s">
        <v>63</v>
      </c>
      <c r="E1111">
        <v>3783</v>
      </c>
      <c r="F1111">
        <v>567.45000000000005</v>
      </c>
      <c r="G1111">
        <v>4350.45</v>
      </c>
    </row>
    <row r="1112" spans="1:7" x14ac:dyDescent="0.35">
      <c r="A1112" s="178" t="s">
        <v>1350</v>
      </c>
      <c r="B1112" s="178" t="s">
        <v>2324</v>
      </c>
      <c r="C1112" s="178" t="s">
        <v>621</v>
      </c>
      <c r="D1112" s="178" t="s">
        <v>63</v>
      </c>
      <c r="E1112">
        <v>6861.05</v>
      </c>
      <c r="F1112">
        <v>1029.17</v>
      </c>
      <c r="G1112">
        <v>7890.22</v>
      </c>
    </row>
    <row r="1113" spans="1:7" x14ac:dyDescent="0.35">
      <c r="A1113" s="178" t="s">
        <v>640</v>
      </c>
      <c r="B1113" s="178" t="s">
        <v>2325</v>
      </c>
      <c r="C1113" s="178" t="s">
        <v>621</v>
      </c>
      <c r="D1113" s="178" t="s">
        <v>1742</v>
      </c>
      <c r="E1113">
        <v>556.79999999999995</v>
      </c>
      <c r="F1113">
        <v>83.52</v>
      </c>
      <c r="G1113">
        <v>640.32000000000005</v>
      </c>
    </row>
    <row r="1114" spans="1:7" x14ac:dyDescent="0.35">
      <c r="A1114" s="178" t="s">
        <v>1184</v>
      </c>
      <c r="B1114" s="178" t="s">
        <v>2326</v>
      </c>
      <c r="C1114" s="178" t="s">
        <v>621</v>
      </c>
      <c r="D1114" s="178" t="s">
        <v>2327</v>
      </c>
      <c r="E1114">
        <v>1437.75</v>
      </c>
      <c r="F1114">
        <v>215.66</v>
      </c>
      <c r="G1114">
        <v>1653.41</v>
      </c>
    </row>
    <row r="1115" spans="1:7" x14ac:dyDescent="0.35">
      <c r="A1115" s="178" t="s">
        <v>1899</v>
      </c>
      <c r="B1115" s="178" t="s">
        <v>2328</v>
      </c>
      <c r="C1115" s="178" t="s">
        <v>621</v>
      </c>
      <c r="D1115" s="178" t="s">
        <v>2329</v>
      </c>
      <c r="E1115">
        <v>7967.7</v>
      </c>
      <c r="F1115">
        <v>1195.1600000000001</v>
      </c>
      <c r="G1115">
        <v>9162.86</v>
      </c>
    </row>
    <row r="1116" spans="1:7" x14ac:dyDescent="0.35">
      <c r="A1116" s="178" t="s">
        <v>1035</v>
      </c>
      <c r="B1116" s="178" t="s">
        <v>2330</v>
      </c>
      <c r="C1116" s="178" t="s">
        <v>621</v>
      </c>
      <c r="D1116" s="178" t="s">
        <v>63</v>
      </c>
      <c r="E1116">
        <v>32774.35</v>
      </c>
      <c r="F1116">
        <v>4916.1499999999996</v>
      </c>
      <c r="G1116">
        <v>37690.5</v>
      </c>
    </row>
    <row r="1117" spans="1:7" x14ac:dyDescent="0.35">
      <c r="A1117" s="178" t="s">
        <v>436</v>
      </c>
      <c r="B1117" s="178" t="s">
        <v>2331</v>
      </c>
      <c r="C1117" s="178" t="s">
        <v>621</v>
      </c>
      <c r="D1117" s="178" t="s">
        <v>1471</v>
      </c>
      <c r="E1117">
        <v>2607</v>
      </c>
      <c r="F1117">
        <v>391.05</v>
      </c>
      <c r="G1117">
        <v>2998.05</v>
      </c>
    </row>
    <row r="1118" spans="1:7" x14ac:dyDescent="0.35">
      <c r="A1118" s="178" t="s">
        <v>2332</v>
      </c>
      <c r="B1118" s="178" t="s">
        <v>2333</v>
      </c>
      <c r="C1118" s="178" t="s">
        <v>621</v>
      </c>
      <c r="D1118" s="178" t="s">
        <v>63</v>
      </c>
      <c r="E1118">
        <v>1425.95</v>
      </c>
      <c r="F1118">
        <v>213.89</v>
      </c>
      <c r="G1118">
        <v>1639.84</v>
      </c>
    </row>
    <row r="1119" spans="1:7" x14ac:dyDescent="0.35">
      <c r="A1119" s="178" t="s">
        <v>634</v>
      </c>
      <c r="B1119" s="178" t="s">
        <v>2334</v>
      </c>
      <c r="C1119" s="178" t="s">
        <v>621</v>
      </c>
      <c r="D1119" s="178" t="s">
        <v>63</v>
      </c>
      <c r="E1119">
        <v>5082</v>
      </c>
      <c r="F1119">
        <v>762.3</v>
      </c>
      <c r="G1119">
        <v>5844.3</v>
      </c>
    </row>
    <row r="1120" spans="1:7" x14ac:dyDescent="0.35">
      <c r="A1120" s="178" t="s">
        <v>2335</v>
      </c>
      <c r="B1120" s="178" t="s">
        <v>2336</v>
      </c>
      <c r="C1120" s="178" t="s">
        <v>621</v>
      </c>
      <c r="D1120" s="178" t="s">
        <v>2337</v>
      </c>
      <c r="E1120">
        <v>2668.95</v>
      </c>
      <c r="F1120">
        <v>400.35</v>
      </c>
      <c r="G1120">
        <v>3069.3</v>
      </c>
    </row>
    <row r="1121" spans="1:7" x14ac:dyDescent="0.35">
      <c r="A1121" s="178" t="s">
        <v>1339</v>
      </c>
      <c r="B1121" s="178" t="s">
        <v>2338</v>
      </c>
      <c r="C1121" s="178" t="s">
        <v>621</v>
      </c>
      <c r="D1121" s="178" t="s">
        <v>63</v>
      </c>
      <c r="E1121">
        <v>1753.65</v>
      </c>
      <c r="F1121">
        <v>263.05</v>
      </c>
      <c r="G1121">
        <v>2016.7</v>
      </c>
    </row>
    <row r="1122" spans="1:7" x14ac:dyDescent="0.35">
      <c r="A1122" s="178" t="s">
        <v>634</v>
      </c>
      <c r="B1122" s="178" t="s">
        <v>2339</v>
      </c>
      <c r="C1122" s="178" t="s">
        <v>621</v>
      </c>
      <c r="D1122" s="178" t="s">
        <v>63</v>
      </c>
      <c r="E1122">
        <v>3366.9</v>
      </c>
      <c r="F1122">
        <v>505.04</v>
      </c>
      <c r="G1122">
        <v>3871.94</v>
      </c>
    </row>
    <row r="1123" spans="1:7" x14ac:dyDescent="0.35">
      <c r="A1123" s="178" t="s">
        <v>2340</v>
      </c>
      <c r="B1123" s="178" t="s">
        <v>2341</v>
      </c>
      <c r="C1123" s="178" t="s">
        <v>621</v>
      </c>
      <c r="D1123" s="178" t="s">
        <v>63</v>
      </c>
      <c r="E1123">
        <v>2845.1</v>
      </c>
      <c r="F1123">
        <v>426.77</v>
      </c>
      <c r="G1123">
        <v>3271.87</v>
      </c>
    </row>
    <row r="1124" spans="1:7" x14ac:dyDescent="0.35">
      <c r="A1124" s="178" t="s">
        <v>460</v>
      </c>
      <c r="B1124" s="178" t="s">
        <v>2342</v>
      </c>
      <c r="C1124" s="178" t="s">
        <v>621</v>
      </c>
      <c r="D1124" s="178" t="s">
        <v>63</v>
      </c>
      <c r="E1124">
        <v>743.85</v>
      </c>
      <c r="F1124">
        <v>111.58</v>
      </c>
      <c r="G1124">
        <v>855.43</v>
      </c>
    </row>
    <row r="1125" spans="1:7" x14ac:dyDescent="0.35">
      <c r="A1125" s="178" t="s">
        <v>753</v>
      </c>
      <c r="B1125" s="178" t="s">
        <v>2343</v>
      </c>
      <c r="C1125" s="178" t="s">
        <v>621</v>
      </c>
      <c r="D1125" s="178" t="s">
        <v>63</v>
      </c>
      <c r="E1125">
        <v>954.8</v>
      </c>
      <c r="F1125">
        <v>143.22</v>
      </c>
      <c r="G1125">
        <v>1098.02</v>
      </c>
    </row>
    <row r="1126" spans="1:7" x14ac:dyDescent="0.35">
      <c r="A1126" s="178" t="s">
        <v>2344</v>
      </c>
      <c r="B1126" s="178" t="s">
        <v>2345</v>
      </c>
      <c r="C1126" s="178" t="s">
        <v>621</v>
      </c>
      <c r="D1126" s="178" t="s">
        <v>63</v>
      </c>
      <c r="E1126">
        <v>776.05</v>
      </c>
      <c r="F1126">
        <v>116.41</v>
      </c>
      <c r="G1126">
        <v>892.46</v>
      </c>
    </row>
    <row r="1127" spans="1:7" x14ac:dyDescent="0.35">
      <c r="A1127" s="178" t="s">
        <v>634</v>
      </c>
      <c r="B1127" s="178" t="s">
        <v>2346</v>
      </c>
      <c r="C1127" s="178" t="s">
        <v>621</v>
      </c>
      <c r="D1127" s="178" t="s">
        <v>63</v>
      </c>
      <c r="E1127">
        <v>14508.75</v>
      </c>
      <c r="F1127">
        <v>2176.31</v>
      </c>
      <c r="G1127">
        <v>16685.060000000001</v>
      </c>
    </row>
    <row r="1128" spans="1:7" x14ac:dyDescent="0.35">
      <c r="A1128" s="178" t="s">
        <v>1746</v>
      </c>
      <c r="B1128" s="178" t="s">
        <v>2347</v>
      </c>
      <c r="C1128" s="178" t="s">
        <v>621</v>
      </c>
      <c r="D1128" s="178" t="s">
        <v>63</v>
      </c>
      <c r="E1128">
        <v>8195.2999999999993</v>
      </c>
      <c r="F1128">
        <v>1229.3</v>
      </c>
      <c r="G1128">
        <v>9424.6</v>
      </c>
    </row>
    <row r="1129" spans="1:7" x14ac:dyDescent="0.35">
      <c r="A1129" s="178" t="s">
        <v>2348</v>
      </c>
      <c r="B1129" s="178" t="s">
        <v>2349</v>
      </c>
      <c r="C1129" s="178" t="s">
        <v>621</v>
      </c>
      <c r="D1129" s="178" t="s">
        <v>63</v>
      </c>
      <c r="E1129">
        <v>9600</v>
      </c>
      <c r="F1129">
        <v>1440</v>
      </c>
      <c r="G1129">
        <v>11040</v>
      </c>
    </row>
    <row r="1130" spans="1:7" x14ac:dyDescent="0.35">
      <c r="A1130" s="178" t="s">
        <v>1033</v>
      </c>
      <c r="B1130" s="178" t="s">
        <v>2350</v>
      </c>
      <c r="C1130" s="178" t="s">
        <v>621</v>
      </c>
      <c r="D1130" s="178" t="s">
        <v>63</v>
      </c>
      <c r="E1130">
        <v>5381</v>
      </c>
      <c r="F1130">
        <v>807.15</v>
      </c>
      <c r="G1130">
        <v>6188.15</v>
      </c>
    </row>
    <row r="1131" spans="1:7" x14ac:dyDescent="0.35">
      <c r="A1131" s="178" t="s">
        <v>2351</v>
      </c>
      <c r="B1131" s="178" t="s">
        <v>2352</v>
      </c>
      <c r="C1131" s="178" t="s">
        <v>621</v>
      </c>
      <c r="D1131" s="178" t="s">
        <v>2353</v>
      </c>
      <c r="E1131">
        <v>5265</v>
      </c>
      <c r="F1131">
        <v>789.75</v>
      </c>
      <c r="G1131">
        <v>6054.75</v>
      </c>
    </row>
    <row r="1132" spans="1:7" x14ac:dyDescent="0.35">
      <c r="A1132" s="178" t="s">
        <v>1131</v>
      </c>
      <c r="B1132" s="178" t="s">
        <v>2354</v>
      </c>
      <c r="C1132" s="178" t="s">
        <v>621</v>
      </c>
      <c r="D1132" s="178" t="s">
        <v>2355</v>
      </c>
      <c r="E1132">
        <v>3906</v>
      </c>
      <c r="F1132">
        <v>585.9</v>
      </c>
      <c r="G1132">
        <v>4491.8999999999996</v>
      </c>
    </row>
    <row r="1133" spans="1:7" x14ac:dyDescent="0.35">
      <c r="A1133" s="178" t="s">
        <v>2356</v>
      </c>
      <c r="B1133" s="178" t="s">
        <v>2357</v>
      </c>
      <c r="C1133" s="178" t="s">
        <v>621</v>
      </c>
      <c r="D1133" s="178" t="s">
        <v>63</v>
      </c>
      <c r="E1133">
        <v>1661.75</v>
      </c>
      <c r="F1133">
        <v>249.26</v>
      </c>
      <c r="G1133">
        <v>1911.01</v>
      </c>
    </row>
    <row r="1134" spans="1:7" x14ac:dyDescent="0.35">
      <c r="A1134" s="178" t="s">
        <v>637</v>
      </c>
      <c r="B1134" s="178" t="s">
        <v>2358</v>
      </c>
      <c r="C1134" s="178" t="s">
        <v>621</v>
      </c>
      <c r="D1134" s="178" t="s">
        <v>2359</v>
      </c>
      <c r="E1134">
        <v>1083.5</v>
      </c>
      <c r="F1134">
        <v>162.53</v>
      </c>
      <c r="G1134">
        <v>1246.03</v>
      </c>
    </row>
    <row r="1135" spans="1:7" x14ac:dyDescent="0.35">
      <c r="A1135" s="178" t="s">
        <v>1373</v>
      </c>
      <c r="B1135" s="178" t="s">
        <v>2360</v>
      </c>
      <c r="C1135" s="178" t="s">
        <v>621</v>
      </c>
      <c r="D1135" s="178" t="s">
        <v>63</v>
      </c>
      <c r="E1135">
        <v>1644.45</v>
      </c>
      <c r="F1135">
        <v>246.67</v>
      </c>
      <c r="G1135">
        <v>1891.12</v>
      </c>
    </row>
    <row r="1136" spans="1:7" x14ac:dyDescent="0.35">
      <c r="A1136" s="178" t="s">
        <v>1431</v>
      </c>
      <c r="B1136" s="178" t="s">
        <v>2361</v>
      </c>
      <c r="C1136" s="178" t="s">
        <v>621</v>
      </c>
      <c r="D1136" s="178" t="s">
        <v>63</v>
      </c>
      <c r="E1136">
        <v>3889.2</v>
      </c>
      <c r="F1136">
        <v>583.38</v>
      </c>
      <c r="G1136">
        <v>4472.58</v>
      </c>
    </row>
    <row r="1137" spans="1:7" x14ac:dyDescent="0.35">
      <c r="A1137" s="178" t="s">
        <v>1120</v>
      </c>
      <c r="B1137" s="178" t="s">
        <v>2362</v>
      </c>
      <c r="C1137" s="178" t="s">
        <v>621</v>
      </c>
      <c r="D1137" s="178" t="s">
        <v>63</v>
      </c>
      <c r="E1137">
        <v>4968.3999999999996</v>
      </c>
      <c r="F1137">
        <v>745.27</v>
      </c>
      <c r="G1137">
        <v>5713.67</v>
      </c>
    </row>
    <row r="1138" spans="1:7" x14ac:dyDescent="0.35">
      <c r="A1138" s="178" t="s">
        <v>1102</v>
      </c>
      <c r="B1138" s="178" t="s">
        <v>2363</v>
      </c>
      <c r="C1138" s="178" t="s">
        <v>621</v>
      </c>
      <c r="D1138" s="178" t="s">
        <v>63</v>
      </c>
      <c r="E1138">
        <v>2608.1999999999998</v>
      </c>
      <c r="F1138">
        <v>391.23</v>
      </c>
      <c r="G1138">
        <v>2999.43</v>
      </c>
    </row>
    <row r="1139" spans="1:7" x14ac:dyDescent="0.35">
      <c r="A1139" s="178" t="s">
        <v>487</v>
      </c>
      <c r="B1139" s="178" t="s">
        <v>2364</v>
      </c>
      <c r="C1139" s="178" t="s">
        <v>621</v>
      </c>
      <c r="D1139" s="178" t="s">
        <v>63</v>
      </c>
      <c r="E1139">
        <v>868.6</v>
      </c>
      <c r="F1139">
        <v>130.29</v>
      </c>
      <c r="G1139">
        <v>998.89</v>
      </c>
    </row>
    <row r="1140" spans="1:7" x14ac:dyDescent="0.35">
      <c r="A1140" s="178" t="s">
        <v>1943</v>
      </c>
      <c r="B1140" s="178" t="s">
        <v>2365</v>
      </c>
      <c r="C1140" s="178" t="s">
        <v>642</v>
      </c>
      <c r="D1140" s="178" t="s">
        <v>2366</v>
      </c>
      <c r="E1140">
        <v>1566.95</v>
      </c>
      <c r="F1140">
        <v>235.04</v>
      </c>
      <c r="G1140">
        <v>1801.99</v>
      </c>
    </row>
    <row r="1141" spans="1:7" x14ac:dyDescent="0.35">
      <c r="A1141" s="178" t="s">
        <v>1123</v>
      </c>
      <c r="B1141" s="178" t="s">
        <v>2367</v>
      </c>
      <c r="C1141" s="178" t="s">
        <v>642</v>
      </c>
      <c r="D1141" s="178" t="s">
        <v>63</v>
      </c>
      <c r="E1141">
        <v>3591.9</v>
      </c>
      <c r="F1141">
        <v>538.79</v>
      </c>
      <c r="G1141">
        <v>4130.6899999999996</v>
      </c>
    </row>
    <row r="1142" spans="1:7" x14ac:dyDescent="0.35">
      <c r="A1142" s="178" t="s">
        <v>560</v>
      </c>
      <c r="B1142" s="178" t="s">
        <v>2368</v>
      </c>
      <c r="C1142" s="178" t="s">
        <v>642</v>
      </c>
      <c r="D1142" s="178" t="s">
        <v>2369</v>
      </c>
      <c r="E1142">
        <v>1163.25</v>
      </c>
      <c r="F1142">
        <v>174.49</v>
      </c>
      <c r="G1142">
        <v>1337.74</v>
      </c>
    </row>
    <row r="1143" spans="1:7" x14ac:dyDescent="0.35">
      <c r="A1143" s="178" t="s">
        <v>1697</v>
      </c>
      <c r="B1143" s="178" t="s">
        <v>2370</v>
      </c>
      <c r="C1143" s="178" t="s">
        <v>642</v>
      </c>
      <c r="D1143" s="178" t="s">
        <v>1699</v>
      </c>
      <c r="E1143">
        <v>1948.5</v>
      </c>
      <c r="F1143">
        <v>292.27999999999997</v>
      </c>
      <c r="G1143">
        <v>2240.7800000000002</v>
      </c>
    </row>
    <row r="1144" spans="1:7" x14ac:dyDescent="0.35">
      <c r="A1144" s="178" t="s">
        <v>1513</v>
      </c>
      <c r="B1144" s="178" t="s">
        <v>2371</v>
      </c>
      <c r="C1144" s="178" t="s">
        <v>642</v>
      </c>
      <c r="D1144" s="178" t="s">
        <v>2372</v>
      </c>
      <c r="E1144">
        <v>16101.5</v>
      </c>
      <c r="F1144">
        <v>2415.23</v>
      </c>
      <c r="G1144">
        <v>18516.73</v>
      </c>
    </row>
    <row r="1145" spans="1:7" x14ac:dyDescent="0.35">
      <c r="A1145" s="178" t="s">
        <v>1452</v>
      </c>
      <c r="B1145" s="178" t="s">
        <v>2373</v>
      </c>
      <c r="C1145" s="178" t="s">
        <v>642</v>
      </c>
      <c r="D1145" s="178" t="s">
        <v>63</v>
      </c>
      <c r="E1145">
        <v>2233.8000000000002</v>
      </c>
      <c r="F1145">
        <v>335.07</v>
      </c>
      <c r="G1145">
        <v>2568.87</v>
      </c>
    </row>
    <row r="1146" spans="1:7" x14ac:dyDescent="0.35">
      <c r="A1146" s="178" t="s">
        <v>756</v>
      </c>
      <c r="B1146" s="178" t="s">
        <v>2374</v>
      </c>
      <c r="C1146" s="178" t="s">
        <v>642</v>
      </c>
      <c r="D1146" s="178" t="s">
        <v>63</v>
      </c>
      <c r="E1146">
        <v>3042.35</v>
      </c>
      <c r="F1146">
        <v>456.35</v>
      </c>
      <c r="G1146">
        <v>3498.7</v>
      </c>
    </row>
    <row r="1147" spans="1:7" x14ac:dyDescent="0.35">
      <c r="A1147" s="178" t="s">
        <v>634</v>
      </c>
      <c r="B1147" s="178" t="s">
        <v>2375</v>
      </c>
      <c r="C1147" s="178" t="s">
        <v>642</v>
      </c>
      <c r="D1147" s="178" t="s">
        <v>63</v>
      </c>
      <c r="E1147">
        <v>1673.51</v>
      </c>
      <c r="F1147">
        <v>251.03</v>
      </c>
      <c r="G1147">
        <v>1924.54</v>
      </c>
    </row>
    <row r="1148" spans="1:7" x14ac:dyDescent="0.35">
      <c r="A1148" s="178" t="s">
        <v>959</v>
      </c>
      <c r="B1148" s="178" t="s">
        <v>2376</v>
      </c>
      <c r="C1148" s="178" t="s">
        <v>642</v>
      </c>
      <c r="D1148" s="178" t="s">
        <v>2377</v>
      </c>
      <c r="E1148">
        <v>23904</v>
      </c>
      <c r="F1148">
        <v>3585.6</v>
      </c>
      <c r="G1148">
        <v>27489.599999999999</v>
      </c>
    </row>
    <row r="1149" spans="1:7" x14ac:dyDescent="0.35">
      <c r="A1149" s="178" t="s">
        <v>1314</v>
      </c>
      <c r="B1149" s="178" t="s">
        <v>2378</v>
      </c>
      <c r="C1149" s="178" t="s">
        <v>642</v>
      </c>
      <c r="D1149" s="178" t="s">
        <v>63</v>
      </c>
      <c r="E1149">
        <v>7355.6</v>
      </c>
      <c r="F1149">
        <v>1103.3399999999999</v>
      </c>
      <c r="G1149">
        <v>8458.94</v>
      </c>
    </row>
    <row r="1150" spans="1:7" x14ac:dyDescent="0.35">
      <c r="A1150" s="178" t="s">
        <v>541</v>
      </c>
      <c r="B1150" s="178" t="s">
        <v>2379</v>
      </c>
      <c r="C1150" s="178" t="s">
        <v>642</v>
      </c>
      <c r="D1150" s="178" t="s">
        <v>63</v>
      </c>
      <c r="E1150">
        <v>2146.25</v>
      </c>
      <c r="F1150">
        <v>321.94</v>
      </c>
      <c r="G1150">
        <v>2468.19</v>
      </c>
    </row>
    <row r="1151" spans="1:7" x14ac:dyDescent="0.35">
      <c r="A1151" s="178" t="s">
        <v>606</v>
      </c>
      <c r="B1151" s="178" t="s">
        <v>2380</v>
      </c>
      <c r="C1151" s="178" t="s">
        <v>642</v>
      </c>
      <c r="D1151" s="178" t="s">
        <v>63</v>
      </c>
      <c r="E1151">
        <v>2492.1</v>
      </c>
      <c r="F1151">
        <v>373.82</v>
      </c>
      <c r="G1151">
        <v>2865.92</v>
      </c>
    </row>
    <row r="1152" spans="1:7" x14ac:dyDescent="0.35">
      <c r="A1152" s="178" t="s">
        <v>647</v>
      </c>
      <c r="B1152" s="178" t="s">
        <v>2381</v>
      </c>
      <c r="C1152" s="178" t="s">
        <v>642</v>
      </c>
      <c r="D1152" s="178" t="s">
        <v>63</v>
      </c>
      <c r="E1152">
        <v>1843.85</v>
      </c>
      <c r="F1152">
        <v>276.58</v>
      </c>
      <c r="G1152">
        <v>2120.4299999999998</v>
      </c>
    </row>
    <row r="1153" spans="1:7" x14ac:dyDescent="0.35">
      <c r="A1153" s="178" t="s">
        <v>522</v>
      </c>
      <c r="B1153" s="178" t="s">
        <v>2382</v>
      </c>
      <c r="C1153" s="178" t="s">
        <v>642</v>
      </c>
      <c r="D1153" s="178" t="s">
        <v>63</v>
      </c>
      <c r="E1153">
        <v>7590.5</v>
      </c>
      <c r="F1153">
        <v>1138.57</v>
      </c>
      <c r="G1153">
        <v>8729.07</v>
      </c>
    </row>
    <row r="1154" spans="1:7" x14ac:dyDescent="0.35">
      <c r="A1154" s="178" t="s">
        <v>2383</v>
      </c>
      <c r="B1154" s="178" t="s">
        <v>2384</v>
      </c>
      <c r="C1154" s="178" t="s">
        <v>642</v>
      </c>
      <c r="D1154" s="178" t="s">
        <v>63</v>
      </c>
      <c r="E1154">
        <v>1501.5</v>
      </c>
      <c r="F1154">
        <v>225.23</v>
      </c>
      <c r="G1154">
        <v>1726.73</v>
      </c>
    </row>
    <row r="1155" spans="1:7" x14ac:dyDescent="0.35">
      <c r="A1155" s="178" t="s">
        <v>747</v>
      </c>
      <c r="B1155" s="178" t="s">
        <v>2385</v>
      </c>
      <c r="C1155" s="178" t="s">
        <v>642</v>
      </c>
      <c r="D1155" s="178" t="s">
        <v>63</v>
      </c>
      <c r="E1155">
        <v>3465.2</v>
      </c>
      <c r="F1155">
        <v>519.78</v>
      </c>
      <c r="G1155">
        <v>3984.98</v>
      </c>
    </row>
    <row r="1156" spans="1:7" x14ac:dyDescent="0.35">
      <c r="A1156" s="178" t="s">
        <v>2386</v>
      </c>
      <c r="B1156" s="178" t="s">
        <v>2387</v>
      </c>
      <c r="C1156" s="178" t="s">
        <v>642</v>
      </c>
      <c r="D1156" s="178" t="s">
        <v>63</v>
      </c>
      <c r="E1156">
        <v>4119.5</v>
      </c>
      <c r="F1156">
        <v>617.92999999999995</v>
      </c>
      <c r="G1156">
        <v>4737.43</v>
      </c>
    </row>
    <row r="1157" spans="1:7" x14ac:dyDescent="0.35">
      <c r="A1157" s="178" t="s">
        <v>1890</v>
      </c>
      <c r="B1157" s="178" t="s">
        <v>2388</v>
      </c>
      <c r="C1157" s="178" t="s">
        <v>642</v>
      </c>
      <c r="D1157" s="178" t="s">
        <v>63</v>
      </c>
      <c r="E1157">
        <v>812.7</v>
      </c>
      <c r="F1157">
        <v>121.91</v>
      </c>
      <c r="G1157">
        <v>934.61</v>
      </c>
    </row>
    <row r="1158" spans="1:7" x14ac:dyDescent="0.35">
      <c r="A1158" s="178" t="s">
        <v>791</v>
      </c>
      <c r="B1158" s="178" t="s">
        <v>2389</v>
      </c>
      <c r="C1158" s="178" t="s">
        <v>642</v>
      </c>
      <c r="D1158" s="178" t="s">
        <v>2065</v>
      </c>
      <c r="E1158">
        <v>2637.6</v>
      </c>
      <c r="F1158">
        <v>395.64</v>
      </c>
      <c r="G1158">
        <v>3033.24</v>
      </c>
    </row>
    <row r="1159" spans="1:7" x14ac:dyDescent="0.35">
      <c r="A1159" s="178" t="s">
        <v>663</v>
      </c>
      <c r="B1159" s="178" t="s">
        <v>2390</v>
      </c>
      <c r="C1159" s="178" t="s">
        <v>642</v>
      </c>
      <c r="D1159" s="178" t="s">
        <v>63</v>
      </c>
      <c r="E1159">
        <v>6606.3</v>
      </c>
      <c r="F1159">
        <v>990.95</v>
      </c>
      <c r="G1159">
        <v>7597.25</v>
      </c>
    </row>
    <row r="1160" spans="1:7" x14ac:dyDescent="0.35">
      <c r="A1160" s="178" t="s">
        <v>1654</v>
      </c>
      <c r="B1160" s="178" t="s">
        <v>2391</v>
      </c>
      <c r="C1160" s="178" t="s">
        <v>642</v>
      </c>
      <c r="D1160" s="178" t="s">
        <v>63</v>
      </c>
      <c r="E1160">
        <v>1431.9</v>
      </c>
      <c r="F1160">
        <v>214.79</v>
      </c>
      <c r="G1160">
        <v>1646.69</v>
      </c>
    </row>
    <row r="1161" spans="1:7" x14ac:dyDescent="0.35">
      <c r="A1161" s="178" t="s">
        <v>1615</v>
      </c>
      <c r="B1161" s="178" t="s">
        <v>2392</v>
      </c>
      <c r="C1161" s="178" t="s">
        <v>642</v>
      </c>
      <c r="D1161" s="178" t="s">
        <v>63</v>
      </c>
      <c r="E1161">
        <v>2850</v>
      </c>
      <c r="F1161">
        <v>427.5</v>
      </c>
      <c r="G1161">
        <v>3277.5</v>
      </c>
    </row>
    <row r="1162" spans="1:7" x14ac:dyDescent="0.35">
      <c r="A1162" s="178" t="s">
        <v>541</v>
      </c>
      <c r="B1162" s="178" t="s">
        <v>2393</v>
      </c>
      <c r="C1162" s="178" t="s">
        <v>642</v>
      </c>
      <c r="D1162" s="178" t="s">
        <v>63</v>
      </c>
      <c r="E1162">
        <v>3053.4</v>
      </c>
      <c r="F1162">
        <v>458.01</v>
      </c>
      <c r="G1162">
        <v>3511.41</v>
      </c>
    </row>
    <row r="1163" spans="1:7" x14ac:dyDescent="0.35">
      <c r="A1163" s="178" t="s">
        <v>2394</v>
      </c>
      <c r="B1163" s="178" t="s">
        <v>2395</v>
      </c>
      <c r="C1163" s="178" t="s">
        <v>642</v>
      </c>
      <c r="D1163" s="178" t="s">
        <v>63</v>
      </c>
      <c r="E1163">
        <v>9585.25</v>
      </c>
      <c r="F1163">
        <v>1437.78</v>
      </c>
      <c r="G1163">
        <v>11023.03</v>
      </c>
    </row>
    <row r="1164" spans="1:7" x14ac:dyDescent="0.35">
      <c r="A1164" s="178" t="s">
        <v>2396</v>
      </c>
      <c r="B1164" s="178" t="s">
        <v>2397</v>
      </c>
      <c r="C1164" s="178" t="s">
        <v>642</v>
      </c>
      <c r="D1164" s="178" t="s">
        <v>63</v>
      </c>
      <c r="E1164">
        <v>1022</v>
      </c>
      <c r="F1164">
        <v>153.30000000000001</v>
      </c>
      <c r="G1164">
        <v>1175.3</v>
      </c>
    </row>
    <row r="1165" spans="1:7" x14ac:dyDescent="0.35">
      <c r="A1165" s="178" t="s">
        <v>705</v>
      </c>
      <c r="B1165" s="178" t="s">
        <v>2398</v>
      </c>
      <c r="C1165" s="178" t="s">
        <v>642</v>
      </c>
      <c r="D1165" s="178" t="s">
        <v>2399</v>
      </c>
      <c r="E1165">
        <v>17262</v>
      </c>
      <c r="F1165">
        <v>2589.3000000000002</v>
      </c>
      <c r="G1165">
        <v>19851.3</v>
      </c>
    </row>
    <row r="1166" spans="1:7" x14ac:dyDescent="0.35">
      <c r="A1166" s="178" t="s">
        <v>430</v>
      </c>
      <c r="B1166" s="178" t="s">
        <v>2400</v>
      </c>
      <c r="C1166" s="178" t="s">
        <v>642</v>
      </c>
      <c r="D1166" s="178" t="s">
        <v>2401</v>
      </c>
      <c r="E1166">
        <v>17168.400000000001</v>
      </c>
      <c r="F1166">
        <v>2575.2600000000002</v>
      </c>
      <c r="G1166">
        <v>19743.66</v>
      </c>
    </row>
    <row r="1167" spans="1:7" x14ac:dyDescent="0.35">
      <c r="A1167" s="178" t="s">
        <v>1187</v>
      </c>
      <c r="B1167" s="178" t="s">
        <v>2402</v>
      </c>
      <c r="C1167" s="178" t="s">
        <v>642</v>
      </c>
      <c r="D1167" s="178" t="s">
        <v>63</v>
      </c>
      <c r="E1167">
        <v>2950</v>
      </c>
      <c r="F1167">
        <v>442.5</v>
      </c>
      <c r="G1167">
        <v>3392.5</v>
      </c>
    </row>
    <row r="1168" spans="1:7" x14ac:dyDescent="0.35">
      <c r="A1168" s="178" t="s">
        <v>1057</v>
      </c>
      <c r="B1168" s="178" t="s">
        <v>2403</v>
      </c>
      <c r="C1168" s="178" t="s">
        <v>642</v>
      </c>
      <c r="D1168" s="178" t="s">
        <v>63</v>
      </c>
      <c r="E1168">
        <v>3126.1</v>
      </c>
      <c r="F1168">
        <v>468.92</v>
      </c>
      <c r="G1168">
        <v>3595.02</v>
      </c>
    </row>
    <row r="1169" spans="1:7" x14ac:dyDescent="0.35">
      <c r="A1169" s="178" t="s">
        <v>849</v>
      </c>
      <c r="B1169" s="178" t="s">
        <v>2404</v>
      </c>
      <c r="C1169" s="178" t="s">
        <v>642</v>
      </c>
      <c r="D1169" s="178" t="s">
        <v>63</v>
      </c>
      <c r="E1169">
        <v>3060</v>
      </c>
      <c r="F1169">
        <v>459</v>
      </c>
      <c r="G1169">
        <v>3519</v>
      </c>
    </row>
    <row r="1170" spans="1:7" x14ac:dyDescent="0.35">
      <c r="A1170" s="178" t="s">
        <v>1072</v>
      </c>
      <c r="B1170" s="178" t="s">
        <v>2405</v>
      </c>
      <c r="C1170" s="178" t="s">
        <v>642</v>
      </c>
      <c r="D1170" s="178" t="s">
        <v>63</v>
      </c>
      <c r="E1170">
        <v>984.2</v>
      </c>
      <c r="F1170">
        <v>147.63</v>
      </c>
      <c r="G1170">
        <v>1131.83</v>
      </c>
    </row>
    <row r="1171" spans="1:7" x14ac:dyDescent="0.35">
      <c r="A1171" s="178" t="s">
        <v>720</v>
      </c>
      <c r="B1171" s="178" t="s">
        <v>2406</v>
      </c>
      <c r="C1171" s="178" t="s">
        <v>642</v>
      </c>
      <c r="D1171" s="178" t="s">
        <v>63</v>
      </c>
      <c r="E1171">
        <v>2931.6</v>
      </c>
      <c r="F1171">
        <v>439.74</v>
      </c>
      <c r="G1171">
        <v>3371.34</v>
      </c>
    </row>
    <row r="1172" spans="1:7" x14ac:dyDescent="0.35">
      <c r="A1172" s="178" t="s">
        <v>893</v>
      </c>
      <c r="B1172" s="178" t="s">
        <v>2407</v>
      </c>
      <c r="C1172" s="178" t="s">
        <v>642</v>
      </c>
      <c r="D1172" s="178" t="s">
        <v>63</v>
      </c>
      <c r="E1172">
        <v>9376.5499999999993</v>
      </c>
      <c r="F1172">
        <v>1406.48</v>
      </c>
      <c r="G1172">
        <v>10783.03</v>
      </c>
    </row>
    <row r="1173" spans="1:7" x14ac:dyDescent="0.35">
      <c r="A1173" s="178" t="s">
        <v>2408</v>
      </c>
      <c r="B1173" s="178" t="s">
        <v>2409</v>
      </c>
      <c r="C1173" s="178" t="s">
        <v>642</v>
      </c>
      <c r="D1173" s="178" t="s">
        <v>63</v>
      </c>
      <c r="E1173">
        <v>390.45</v>
      </c>
      <c r="F1173">
        <v>58.57</v>
      </c>
      <c r="G1173">
        <v>449.02</v>
      </c>
    </row>
    <row r="1174" spans="1:7" x14ac:dyDescent="0.35">
      <c r="A1174" s="178" t="s">
        <v>901</v>
      </c>
      <c r="B1174" s="178" t="s">
        <v>2410</v>
      </c>
      <c r="C1174" s="178" t="s">
        <v>642</v>
      </c>
      <c r="D1174" s="178" t="s">
        <v>63</v>
      </c>
      <c r="E1174">
        <v>4891</v>
      </c>
      <c r="F1174">
        <v>733.65</v>
      </c>
      <c r="G1174">
        <v>5624.65</v>
      </c>
    </row>
    <row r="1175" spans="1:7" x14ac:dyDescent="0.35">
      <c r="A1175" s="178" t="s">
        <v>1490</v>
      </c>
      <c r="B1175" s="178" t="s">
        <v>2411</v>
      </c>
      <c r="C1175" s="178" t="s">
        <v>642</v>
      </c>
      <c r="D1175" s="178" t="s">
        <v>63</v>
      </c>
      <c r="E1175">
        <v>2245.15</v>
      </c>
      <c r="F1175">
        <v>336.77</v>
      </c>
      <c r="G1175">
        <v>2581.92</v>
      </c>
    </row>
    <row r="1176" spans="1:7" x14ac:dyDescent="0.35">
      <c r="A1176" s="178" t="s">
        <v>1006</v>
      </c>
      <c r="B1176" s="178" t="s">
        <v>2412</v>
      </c>
      <c r="C1176" s="178" t="s">
        <v>642</v>
      </c>
      <c r="D1176">
        <v>4845</v>
      </c>
      <c r="E1176">
        <v>7112.6</v>
      </c>
      <c r="F1176">
        <v>1066.8900000000001</v>
      </c>
      <c r="G1176">
        <v>8179.49</v>
      </c>
    </row>
    <row r="1177" spans="1:7" x14ac:dyDescent="0.35">
      <c r="A1177" s="178" t="s">
        <v>1961</v>
      </c>
      <c r="B1177" s="178" t="s">
        <v>2413</v>
      </c>
      <c r="C1177" s="178" t="s">
        <v>642</v>
      </c>
      <c r="D1177" s="178" t="s">
        <v>63</v>
      </c>
      <c r="E1177">
        <v>1772.3</v>
      </c>
      <c r="F1177">
        <v>265.85000000000002</v>
      </c>
      <c r="G1177">
        <v>2038.15</v>
      </c>
    </row>
    <row r="1178" spans="1:7" x14ac:dyDescent="0.35">
      <c r="A1178" s="178" t="s">
        <v>901</v>
      </c>
      <c r="B1178" s="178" t="s">
        <v>2414</v>
      </c>
      <c r="C1178" s="178" t="s">
        <v>642</v>
      </c>
      <c r="D1178" s="178" t="s">
        <v>63</v>
      </c>
      <c r="E1178">
        <v>4323.6000000000004</v>
      </c>
      <c r="F1178">
        <v>648.54</v>
      </c>
      <c r="G1178">
        <v>4972.1400000000003</v>
      </c>
    </row>
    <row r="1179" spans="1:7" x14ac:dyDescent="0.35">
      <c r="A1179" s="178" t="s">
        <v>460</v>
      </c>
      <c r="B1179" s="178" t="s">
        <v>2415</v>
      </c>
      <c r="C1179" s="178" t="s">
        <v>642</v>
      </c>
      <c r="D1179" s="178" t="s">
        <v>2416</v>
      </c>
      <c r="E1179">
        <v>688</v>
      </c>
      <c r="F1179">
        <v>103.2</v>
      </c>
      <c r="G1179">
        <v>791.2</v>
      </c>
    </row>
    <row r="1180" spans="1:7" x14ac:dyDescent="0.35">
      <c r="A1180" s="178" t="s">
        <v>460</v>
      </c>
      <c r="B1180" s="178" t="s">
        <v>2417</v>
      </c>
      <c r="C1180" s="178" t="s">
        <v>642</v>
      </c>
      <c r="D1180" s="178" t="s">
        <v>2418</v>
      </c>
      <c r="E1180">
        <v>570</v>
      </c>
      <c r="F1180">
        <v>85.51</v>
      </c>
      <c r="G1180">
        <v>655.51</v>
      </c>
    </row>
    <row r="1181" spans="1:7" x14ac:dyDescent="0.35">
      <c r="A1181" s="178" t="s">
        <v>2419</v>
      </c>
      <c r="B1181" s="178" t="s">
        <v>2420</v>
      </c>
      <c r="C1181" s="178" t="s">
        <v>642</v>
      </c>
      <c r="D1181" s="178" t="s">
        <v>63</v>
      </c>
      <c r="E1181">
        <v>1116.9000000000001</v>
      </c>
      <c r="F1181">
        <v>167.54</v>
      </c>
      <c r="G1181">
        <v>1284.44</v>
      </c>
    </row>
    <row r="1182" spans="1:7" x14ac:dyDescent="0.35">
      <c r="A1182" s="178" t="s">
        <v>2421</v>
      </c>
      <c r="B1182" s="178" t="s">
        <v>2422</v>
      </c>
      <c r="C1182" s="178" t="s">
        <v>642</v>
      </c>
      <c r="D1182" s="178" t="s">
        <v>2423</v>
      </c>
      <c r="E1182">
        <v>2462.4</v>
      </c>
      <c r="F1182">
        <v>369.36</v>
      </c>
      <c r="G1182">
        <v>2831.76</v>
      </c>
    </row>
    <row r="1183" spans="1:7" x14ac:dyDescent="0.35">
      <c r="A1183" s="178" t="s">
        <v>879</v>
      </c>
      <c r="B1183" s="178" t="s">
        <v>2424</v>
      </c>
      <c r="C1183" s="178" t="s">
        <v>642</v>
      </c>
      <c r="D1183" s="178" t="s">
        <v>2425</v>
      </c>
      <c r="E1183">
        <v>8344</v>
      </c>
      <c r="F1183">
        <v>1251.5999999999999</v>
      </c>
      <c r="G1183">
        <v>9595.6</v>
      </c>
    </row>
    <row r="1184" spans="1:7" x14ac:dyDescent="0.35">
      <c r="A1184" s="178" t="s">
        <v>1267</v>
      </c>
      <c r="B1184" s="178" t="s">
        <v>2426</v>
      </c>
      <c r="C1184" s="178" t="s">
        <v>642</v>
      </c>
      <c r="D1184" s="178" t="s">
        <v>63</v>
      </c>
      <c r="E1184">
        <v>575</v>
      </c>
      <c r="F1184">
        <v>86.25</v>
      </c>
      <c r="G1184">
        <v>661.25</v>
      </c>
    </row>
    <row r="1185" spans="1:7" x14ac:dyDescent="0.35">
      <c r="A1185" s="178" t="s">
        <v>2105</v>
      </c>
      <c r="B1185" s="178" t="s">
        <v>2427</v>
      </c>
      <c r="C1185" s="178" t="s">
        <v>642</v>
      </c>
      <c r="D1185" s="178" t="s">
        <v>63</v>
      </c>
      <c r="E1185">
        <v>1106.4000000000001</v>
      </c>
      <c r="F1185">
        <v>165.96</v>
      </c>
      <c r="G1185">
        <v>1272.3599999999999</v>
      </c>
    </row>
    <row r="1186" spans="1:7" x14ac:dyDescent="0.35">
      <c r="A1186" s="178" t="s">
        <v>2428</v>
      </c>
      <c r="B1186" s="178" t="s">
        <v>2429</v>
      </c>
      <c r="C1186" s="178" t="s">
        <v>642</v>
      </c>
      <c r="D1186" s="178" t="s">
        <v>63</v>
      </c>
      <c r="E1186">
        <v>885.8</v>
      </c>
      <c r="F1186">
        <v>132.87</v>
      </c>
      <c r="G1186">
        <v>1018.67</v>
      </c>
    </row>
    <row r="1187" spans="1:7" x14ac:dyDescent="0.35">
      <c r="A1187" s="178" t="s">
        <v>460</v>
      </c>
      <c r="B1187" s="178" t="s">
        <v>2430</v>
      </c>
      <c r="C1187" s="178" t="s">
        <v>642</v>
      </c>
      <c r="D1187" s="178" t="s">
        <v>2431</v>
      </c>
      <c r="E1187">
        <v>1276</v>
      </c>
      <c r="F1187">
        <v>191.4</v>
      </c>
      <c r="G1187">
        <v>1467.4</v>
      </c>
    </row>
    <row r="1188" spans="1:7" x14ac:dyDescent="0.35">
      <c r="A1188" s="178" t="s">
        <v>1492</v>
      </c>
      <c r="B1188" s="178" t="s">
        <v>2432</v>
      </c>
      <c r="C1188" s="178" t="s">
        <v>642</v>
      </c>
      <c r="D1188" s="178" t="s">
        <v>63</v>
      </c>
      <c r="E1188">
        <v>1278</v>
      </c>
      <c r="F1188">
        <v>191.7</v>
      </c>
      <c r="G1188">
        <v>1469.7</v>
      </c>
    </row>
    <row r="1189" spans="1:7" x14ac:dyDescent="0.35">
      <c r="A1189" s="178" t="s">
        <v>529</v>
      </c>
      <c r="B1189" s="178" t="s">
        <v>2433</v>
      </c>
      <c r="C1189" s="178" t="s">
        <v>642</v>
      </c>
      <c r="D1189" s="178" t="s">
        <v>63</v>
      </c>
      <c r="E1189">
        <v>2567</v>
      </c>
      <c r="F1189">
        <v>385.06</v>
      </c>
      <c r="G1189">
        <v>2952.06</v>
      </c>
    </row>
    <row r="1190" spans="1:7" x14ac:dyDescent="0.35">
      <c r="A1190" s="178" t="s">
        <v>2434</v>
      </c>
      <c r="B1190" s="178" t="s">
        <v>2435</v>
      </c>
      <c r="C1190" s="178" t="s">
        <v>642</v>
      </c>
      <c r="D1190" s="178" t="s">
        <v>63</v>
      </c>
      <c r="E1190">
        <v>1429.9</v>
      </c>
      <c r="F1190">
        <v>214.49</v>
      </c>
      <c r="G1190">
        <v>1644.39</v>
      </c>
    </row>
    <row r="1191" spans="1:7" x14ac:dyDescent="0.35">
      <c r="A1191" s="178" t="s">
        <v>658</v>
      </c>
      <c r="B1191" s="178" t="s">
        <v>2436</v>
      </c>
      <c r="C1191" s="178" t="s">
        <v>642</v>
      </c>
      <c r="D1191" s="178" t="s">
        <v>63</v>
      </c>
      <c r="E1191">
        <v>6288.75</v>
      </c>
      <c r="F1191">
        <v>943.31</v>
      </c>
      <c r="G1191">
        <v>7232.06</v>
      </c>
    </row>
    <row r="1192" spans="1:7" x14ac:dyDescent="0.35">
      <c r="A1192" s="178" t="s">
        <v>1194</v>
      </c>
      <c r="B1192" s="178" t="s">
        <v>2437</v>
      </c>
      <c r="C1192" s="178" t="s">
        <v>642</v>
      </c>
      <c r="D1192" s="178" t="s">
        <v>63</v>
      </c>
      <c r="E1192">
        <v>30066.400000000001</v>
      </c>
      <c r="F1192">
        <v>4509.96</v>
      </c>
      <c r="G1192">
        <v>34576.36</v>
      </c>
    </row>
    <row r="1193" spans="1:7" x14ac:dyDescent="0.35">
      <c r="A1193" s="178" t="s">
        <v>560</v>
      </c>
      <c r="B1193" s="178" t="s">
        <v>2438</v>
      </c>
      <c r="C1193" s="178" t="s">
        <v>642</v>
      </c>
      <c r="D1193" s="178" t="s">
        <v>2439</v>
      </c>
      <c r="E1193">
        <v>6520.25</v>
      </c>
      <c r="F1193">
        <v>978.04</v>
      </c>
      <c r="G1193">
        <v>7498.29</v>
      </c>
    </row>
    <row r="1194" spans="1:7" x14ac:dyDescent="0.35">
      <c r="A1194" s="178" t="s">
        <v>634</v>
      </c>
      <c r="B1194" s="178" t="s">
        <v>2440</v>
      </c>
      <c r="C1194" s="178" t="s">
        <v>642</v>
      </c>
      <c r="D1194" s="178" t="s">
        <v>63</v>
      </c>
      <c r="E1194">
        <v>711.75</v>
      </c>
      <c r="F1194">
        <v>106.76</v>
      </c>
      <c r="G1194">
        <v>818.51</v>
      </c>
    </row>
    <row r="1195" spans="1:7" x14ac:dyDescent="0.35">
      <c r="A1195" s="178" t="s">
        <v>1347</v>
      </c>
      <c r="B1195" s="178" t="s">
        <v>2441</v>
      </c>
      <c r="C1195" s="178" t="s">
        <v>642</v>
      </c>
      <c r="D1195" s="178" t="s">
        <v>63</v>
      </c>
      <c r="E1195">
        <v>950.3</v>
      </c>
      <c r="F1195">
        <v>142.55000000000001</v>
      </c>
      <c r="G1195">
        <v>1092.8499999999999</v>
      </c>
    </row>
    <row r="1196" spans="1:7" x14ac:dyDescent="0.35">
      <c r="A1196" s="178" t="s">
        <v>1160</v>
      </c>
      <c r="B1196" s="178" t="s">
        <v>2442</v>
      </c>
      <c r="C1196" s="178" t="s">
        <v>642</v>
      </c>
      <c r="D1196" s="178" t="s">
        <v>63</v>
      </c>
      <c r="E1196">
        <v>1150</v>
      </c>
      <c r="F1196">
        <v>172.5</v>
      </c>
      <c r="G1196">
        <v>1322.5</v>
      </c>
    </row>
    <row r="1197" spans="1:7" x14ac:dyDescent="0.35">
      <c r="A1197" s="178" t="s">
        <v>1725</v>
      </c>
      <c r="B1197" s="178" t="s">
        <v>2443</v>
      </c>
      <c r="C1197" s="178" t="s">
        <v>642</v>
      </c>
      <c r="D1197" s="178" t="s">
        <v>63</v>
      </c>
      <c r="E1197">
        <v>9051.9</v>
      </c>
      <c r="F1197">
        <v>1357.79</v>
      </c>
      <c r="G1197">
        <v>10409.69</v>
      </c>
    </row>
    <row r="1198" spans="1:7" x14ac:dyDescent="0.35">
      <c r="A1198" s="178" t="s">
        <v>634</v>
      </c>
      <c r="B1198" s="178" t="s">
        <v>2444</v>
      </c>
      <c r="C1198" s="178" t="s">
        <v>642</v>
      </c>
      <c r="D1198" s="178" t="s">
        <v>63</v>
      </c>
      <c r="E1198">
        <v>1126</v>
      </c>
      <c r="F1198">
        <v>168.9</v>
      </c>
      <c r="G1198">
        <v>1294.9000000000001</v>
      </c>
    </row>
    <row r="1199" spans="1:7" x14ac:dyDescent="0.35">
      <c r="A1199" s="178" t="s">
        <v>460</v>
      </c>
      <c r="B1199" s="178" t="s">
        <v>2445</v>
      </c>
      <c r="C1199" s="178" t="s">
        <v>642</v>
      </c>
      <c r="D1199" s="178" t="s">
        <v>2446</v>
      </c>
      <c r="E1199">
        <v>645</v>
      </c>
      <c r="F1199">
        <v>96.75</v>
      </c>
      <c r="G1199">
        <v>741.75</v>
      </c>
    </row>
    <row r="1200" spans="1:7" x14ac:dyDescent="0.35">
      <c r="A1200" s="178" t="s">
        <v>460</v>
      </c>
      <c r="B1200" s="178" t="s">
        <v>2447</v>
      </c>
      <c r="C1200" s="178" t="s">
        <v>642</v>
      </c>
      <c r="D1200" s="178" t="s">
        <v>2448</v>
      </c>
      <c r="E1200">
        <v>550.04999999999995</v>
      </c>
      <c r="F1200">
        <v>82.51</v>
      </c>
      <c r="G1200">
        <v>632.55999999999995</v>
      </c>
    </row>
    <row r="1201" spans="1:7" x14ac:dyDescent="0.35">
      <c r="A1201" s="178" t="s">
        <v>587</v>
      </c>
      <c r="B1201" s="178" t="s">
        <v>2449</v>
      </c>
      <c r="C1201" s="178" t="s">
        <v>661</v>
      </c>
      <c r="D1201" s="178" t="s">
        <v>63</v>
      </c>
      <c r="E1201">
        <v>20922.900000000001</v>
      </c>
      <c r="F1201">
        <v>3138.44</v>
      </c>
      <c r="G1201">
        <v>24061.34</v>
      </c>
    </row>
    <row r="1202" spans="1:7" x14ac:dyDescent="0.35">
      <c r="A1202" s="178" t="s">
        <v>747</v>
      </c>
      <c r="B1202" s="178" t="s">
        <v>2450</v>
      </c>
      <c r="C1202" s="178" t="s">
        <v>661</v>
      </c>
      <c r="D1202" s="178" t="s">
        <v>63</v>
      </c>
      <c r="E1202">
        <v>2735.4</v>
      </c>
      <c r="F1202">
        <v>410.31</v>
      </c>
      <c r="G1202">
        <v>3145.71</v>
      </c>
    </row>
    <row r="1203" spans="1:7" x14ac:dyDescent="0.35">
      <c r="A1203" s="178" t="s">
        <v>997</v>
      </c>
      <c r="B1203" s="178" t="s">
        <v>2451</v>
      </c>
      <c r="C1203" s="178" t="s">
        <v>661</v>
      </c>
      <c r="D1203" s="178" t="s">
        <v>63</v>
      </c>
      <c r="E1203">
        <v>1369.65</v>
      </c>
      <c r="F1203">
        <v>205.45</v>
      </c>
      <c r="G1203">
        <v>1575.1</v>
      </c>
    </row>
    <row r="1204" spans="1:7" x14ac:dyDescent="0.35">
      <c r="A1204" s="178" t="s">
        <v>948</v>
      </c>
      <c r="B1204" s="178" t="s">
        <v>2452</v>
      </c>
      <c r="C1204" s="178" t="s">
        <v>661</v>
      </c>
      <c r="D1204" s="178" t="s">
        <v>63</v>
      </c>
      <c r="E1204">
        <v>3217.1</v>
      </c>
      <c r="F1204">
        <v>482.57</v>
      </c>
      <c r="G1204">
        <v>3699.67</v>
      </c>
    </row>
    <row r="1205" spans="1:7" x14ac:dyDescent="0.35">
      <c r="A1205" s="178" t="s">
        <v>538</v>
      </c>
      <c r="B1205" s="178" t="s">
        <v>2453</v>
      </c>
      <c r="C1205" s="178" t="s">
        <v>661</v>
      </c>
      <c r="D1205" s="178" t="s">
        <v>63</v>
      </c>
      <c r="E1205">
        <v>5083</v>
      </c>
      <c r="F1205">
        <v>762.45</v>
      </c>
      <c r="G1205">
        <v>5845.45</v>
      </c>
    </row>
    <row r="1206" spans="1:7" x14ac:dyDescent="0.35">
      <c r="A1206" s="178" t="s">
        <v>925</v>
      </c>
      <c r="B1206" s="178" t="s">
        <v>2454</v>
      </c>
      <c r="C1206" s="178" t="s">
        <v>661</v>
      </c>
      <c r="D1206" s="178" t="s">
        <v>63</v>
      </c>
      <c r="E1206">
        <v>11304.45</v>
      </c>
      <c r="F1206">
        <v>1695.67</v>
      </c>
      <c r="G1206">
        <v>13000.12</v>
      </c>
    </row>
    <row r="1207" spans="1:7" x14ac:dyDescent="0.35">
      <c r="A1207" s="178" t="s">
        <v>1296</v>
      </c>
      <c r="B1207" s="178" t="s">
        <v>2455</v>
      </c>
      <c r="C1207" s="178" t="s">
        <v>661</v>
      </c>
      <c r="D1207" s="178" t="s">
        <v>2319</v>
      </c>
      <c r="E1207">
        <v>35197</v>
      </c>
      <c r="F1207">
        <v>5279.55</v>
      </c>
      <c r="G1207">
        <v>40476.550000000003</v>
      </c>
    </row>
    <row r="1208" spans="1:7" x14ac:dyDescent="0.35">
      <c r="A1208" s="178" t="s">
        <v>643</v>
      </c>
      <c r="B1208" s="178" t="s">
        <v>2456</v>
      </c>
      <c r="C1208" s="178" t="s">
        <v>661</v>
      </c>
      <c r="D1208" s="178" t="s">
        <v>63</v>
      </c>
      <c r="E1208">
        <v>8032.95</v>
      </c>
      <c r="F1208">
        <v>1204.94</v>
      </c>
      <c r="G1208">
        <v>9237.89</v>
      </c>
    </row>
    <row r="1209" spans="1:7" x14ac:dyDescent="0.35">
      <c r="A1209" s="178" t="s">
        <v>623</v>
      </c>
      <c r="B1209" s="178" t="s">
        <v>2457</v>
      </c>
      <c r="C1209" s="178" t="s">
        <v>661</v>
      </c>
      <c r="D1209" s="178" t="s">
        <v>2458</v>
      </c>
      <c r="E1209">
        <v>10032</v>
      </c>
      <c r="F1209">
        <v>1504.8</v>
      </c>
      <c r="G1209">
        <v>11536.8</v>
      </c>
    </row>
    <row r="1210" spans="1:7" x14ac:dyDescent="0.35">
      <c r="A1210" s="178" t="s">
        <v>2459</v>
      </c>
      <c r="B1210" s="178" t="s">
        <v>2460</v>
      </c>
      <c r="C1210" s="178" t="s">
        <v>661</v>
      </c>
      <c r="D1210" s="178" t="s">
        <v>2461</v>
      </c>
      <c r="E1210">
        <v>3116.55</v>
      </c>
      <c r="F1210">
        <v>467.48</v>
      </c>
      <c r="G1210">
        <v>3584.03</v>
      </c>
    </row>
    <row r="1211" spans="1:7" x14ac:dyDescent="0.35">
      <c r="A1211" s="178" t="s">
        <v>623</v>
      </c>
      <c r="B1211" s="178" t="s">
        <v>2462</v>
      </c>
      <c r="C1211" s="178" t="s">
        <v>661</v>
      </c>
      <c r="D1211" s="178" t="s">
        <v>2463</v>
      </c>
      <c r="E1211">
        <v>9179.1</v>
      </c>
      <c r="F1211">
        <v>1376.87</v>
      </c>
      <c r="G1211">
        <v>10555.97</v>
      </c>
    </row>
    <row r="1212" spans="1:7" x14ac:dyDescent="0.35">
      <c r="A1212" s="178" t="s">
        <v>637</v>
      </c>
      <c r="B1212" s="178" t="s">
        <v>2464</v>
      </c>
      <c r="C1212" s="178" t="s">
        <v>661</v>
      </c>
      <c r="D1212" s="178" t="s">
        <v>2465</v>
      </c>
      <c r="E1212">
        <v>12705.65</v>
      </c>
      <c r="F1212">
        <v>1905.85</v>
      </c>
      <c r="G1212">
        <v>14611.5</v>
      </c>
    </row>
    <row r="1213" spans="1:7" x14ac:dyDescent="0.35">
      <c r="A1213" s="178" t="s">
        <v>623</v>
      </c>
      <c r="B1213" s="178" t="s">
        <v>2466</v>
      </c>
      <c r="C1213" s="178" t="s">
        <v>661</v>
      </c>
      <c r="D1213" s="178" t="s">
        <v>2467</v>
      </c>
      <c r="E1213">
        <v>12717.5</v>
      </c>
      <c r="F1213">
        <v>1907.63</v>
      </c>
      <c r="G1213">
        <v>14625.13</v>
      </c>
    </row>
    <row r="1214" spans="1:7" x14ac:dyDescent="0.35">
      <c r="A1214" s="178" t="s">
        <v>1299</v>
      </c>
      <c r="B1214" s="178" t="s">
        <v>2468</v>
      </c>
      <c r="C1214" s="178" t="s">
        <v>661</v>
      </c>
      <c r="D1214" s="178" t="s">
        <v>1301</v>
      </c>
      <c r="E1214">
        <v>970.05</v>
      </c>
      <c r="F1214">
        <v>145.51</v>
      </c>
      <c r="G1214">
        <v>1115.56</v>
      </c>
    </row>
    <row r="1215" spans="1:7" x14ac:dyDescent="0.35">
      <c r="A1215" s="178" t="s">
        <v>623</v>
      </c>
      <c r="B1215" s="178" t="s">
        <v>2469</v>
      </c>
      <c r="C1215" s="178" t="s">
        <v>661</v>
      </c>
      <c r="D1215" s="178" t="s">
        <v>2470</v>
      </c>
      <c r="E1215">
        <v>12573.6</v>
      </c>
      <c r="F1215">
        <v>1886.04</v>
      </c>
      <c r="G1215">
        <v>14459.64</v>
      </c>
    </row>
    <row r="1216" spans="1:7" x14ac:dyDescent="0.35">
      <c r="A1216" s="178" t="s">
        <v>623</v>
      </c>
      <c r="B1216" s="178" t="s">
        <v>2471</v>
      </c>
      <c r="C1216" s="178" t="s">
        <v>661</v>
      </c>
      <c r="D1216" s="178" t="s">
        <v>2472</v>
      </c>
      <c r="E1216">
        <v>8875.2000000000007</v>
      </c>
      <c r="F1216">
        <v>1331.28</v>
      </c>
      <c r="G1216">
        <v>10206.48</v>
      </c>
    </row>
    <row r="1217" spans="1:7" x14ac:dyDescent="0.35">
      <c r="A1217" s="178" t="s">
        <v>1281</v>
      </c>
      <c r="B1217" s="178" t="s">
        <v>2473</v>
      </c>
      <c r="C1217" s="178" t="s">
        <v>661</v>
      </c>
      <c r="D1217" s="178" t="s">
        <v>63</v>
      </c>
      <c r="E1217">
        <v>13369.2</v>
      </c>
      <c r="F1217">
        <v>2005.38</v>
      </c>
      <c r="G1217">
        <v>15374.58</v>
      </c>
    </row>
    <row r="1218" spans="1:7" x14ac:dyDescent="0.35">
      <c r="A1218" s="178" t="s">
        <v>1314</v>
      </c>
      <c r="B1218" s="178" t="s">
        <v>2474</v>
      </c>
      <c r="C1218" s="178" t="s">
        <v>661</v>
      </c>
      <c r="D1218" s="178" t="s">
        <v>63</v>
      </c>
      <c r="E1218">
        <v>6891.8</v>
      </c>
      <c r="F1218">
        <v>1033.77</v>
      </c>
      <c r="G1218">
        <v>7925.57</v>
      </c>
    </row>
    <row r="1219" spans="1:7" x14ac:dyDescent="0.35">
      <c r="A1219" s="178" t="s">
        <v>460</v>
      </c>
      <c r="B1219" s="178" t="s">
        <v>2475</v>
      </c>
      <c r="C1219" s="178" t="s">
        <v>661</v>
      </c>
      <c r="D1219" s="178" t="s">
        <v>2476</v>
      </c>
      <c r="E1219">
        <v>1352.7</v>
      </c>
      <c r="F1219">
        <v>202.91</v>
      </c>
      <c r="G1219">
        <v>1555.61</v>
      </c>
    </row>
    <row r="1220" spans="1:7" x14ac:dyDescent="0.35">
      <c r="A1220" s="178" t="s">
        <v>1053</v>
      </c>
      <c r="B1220" s="178" t="s">
        <v>2477</v>
      </c>
      <c r="C1220" s="178" t="s">
        <v>661</v>
      </c>
      <c r="D1220" s="178" t="s">
        <v>63</v>
      </c>
      <c r="E1220">
        <v>4806</v>
      </c>
      <c r="F1220">
        <v>720.91</v>
      </c>
      <c r="G1220">
        <v>5526.91</v>
      </c>
    </row>
    <row r="1221" spans="1:7" x14ac:dyDescent="0.35">
      <c r="A1221" s="178" t="s">
        <v>609</v>
      </c>
      <c r="B1221" s="178" t="s">
        <v>2478</v>
      </c>
      <c r="C1221" s="178" t="s">
        <v>661</v>
      </c>
      <c r="D1221" s="178" t="s">
        <v>63</v>
      </c>
      <c r="E1221">
        <v>25622.5</v>
      </c>
      <c r="F1221">
        <v>3843.38</v>
      </c>
      <c r="G1221">
        <v>29465.88</v>
      </c>
    </row>
    <row r="1222" spans="1:7" x14ac:dyDescent="0.35">
      <c r="A1222" s="178" t="s">
        <v>1494</v>
      </c>
      <c r="B1222" s="178" t="s">
        <v>2479</v>
      </c>
      <c r="C1222" s="178" t="s">
        <v>661</v>
      </c>
      <c r="D1222" s="178" t="s">
        <v>63</v>
      </c>
      <c r="E1222">
        <v>1213.2</v>
      </c>
      <c r="F1222">
        <v>181.98</v>
      </c>
      <c r="G1222">
        <v>1395.18</v>
      </c>
    </row>
    <row r="1223" spans="1:7" x14ac:dyDescent="0.35">
      <c r="A1223" s="178" t="s">
        <v>2480</v>
      </c>
      <c r="B1223" s="178" t="s">
        <v>2481</v>
      </c>
      <c r="C1223" s="178" t="s">
        <v>661</v>
      </c>
      <c r="D1223" s="178" t="s">
        <v>63</v>
      </c>
      <c r="E1223">
        <v>4804</v>
      </c>
      <c r="F1223">
        <v>720.6</v>
      </c>
      <c r="G1223">
        <v>5524.6</v>
      </c>
    </row>
    <row r="1224" spans="1:7" x14ac:dyDescent="0.35">
      <c r="A1224" s="178" t="s">
        <v>2482</v>
      </c>
      <c r="B1224" s="178" t="s">
        <v>2483</v>
      </c>
      <c r="C1224" s="178" t="s">
        <v>661</v>
      </c>
      <c r="D1224" s="178" t="s">
        <v>2484</v>
      </c>
      <c r="E1224">
        <v>1283.25</v>
      </c>
      <c r="F1224">
        <v>192.49</v>
      </c>
      <c r="G1224">
        <v>1475.74</v>
      </c>
    </row>
    <row r="1225" spans="1:7" x14ac:dyDescent="0.35">
      <c r="A1225" s="178" t="s">
        <v>498</v>
      </c>
      <c r="B1225" s="178" t="s">
        <v>2485</v>
      </c>
      <c r="C1225" s="178" t="s">
        <v>661</v>
      </c>
      <c r="D1225" s="178" t="s">
        <v>2486</v>
      </c>
      <c r="E1225">
        <v>1718.25</v>
      </c>
      <c r="F1225">
        <v>257.74</v>
      </c>
      <c r="G1225">
        <v>1975.99</v>
      </c>
    </row>
    <row r="1226" spans="1:7" x14ac:dyDescent="0.35">
      <c r="A1226" s="178" t="s">
        <v>968</v>
      </c>
      <c r="B1226" s="178" t="s">
        <v>2487</v>
      </c>
      <c r="C1226" s="178" t="s">
        <v>661</v>
      </c>
      <c r="D1226" s="178" t="s">
        <v>63</v>
      </c>
      <c r="E1226">
        <v>11671.2</v>
      </c>
      <c r="F1226">
        <v>1750.68</v>
      </c>
      <c r="G1226">
        <v>13421.88</v>
      </c>
    </row>
    <row r="1227" spans="1:7" x14ac:dyDescent="0.35">
      <c r="A1227" s="178" t="s">
        <v>582</v>
      </c>
      <c r="B1227" s="178" t="s">
        <v>2488</v>
      </c>
      <c r="C1227" s="178" t="s">
        <v>661</v>
      </c>
      <c r="D1227" s="178" t="s">
        <v>63</v>
      </c>
      <c r="E1227">
        <v>1157</v>
      </c>
      <c r="F1227">
        <v>173.55</v>
      </c>
      <c r="G1227">
        <v>1330.55</v>
      </c>
    </row>
    <row r="1228" spans="1:7" x14ac:dyDescent="0.35">
      <c r="A1228" s="178" t="s">
        <v>463</v>
      </c>
      <c r="B1228" s="178" t="s">
        <v>2489</v>
      </c>
      <c r="C1228" s="178" t="s">
        <v>661</v>
      </c>
      <c r="D1228" s="178" t="s">
        <v>63</v>
      </c>
      <c r="E1228">
        <v>1615</v>
      </c>
      <c r="F1228">
        <v>242.25</v>
      </c>
      <c r="G1228">
        <v>1857.25</v>
      </c>
    </row>
    <row r="1229" spans="1:7" x14ac:dyDescent="0.35">
      <c r="A1229" s="178" t="s">
        <v>723</v>
      </c>
      <c r="B1229" s="178" t="s">
        <v>2490</v>
      </c>
      <c r="C1229" s="178" t="s">
        <v>661</v>
      </c>
      <c r="D1229" s="178" t="s">
        <v>63</v>
      </c>
      <c r="E1229">
        <v>1848</v>
      </c>
      <c r="F1229">
        <v>277.2</v>
      </c>
      <c r="G1229">
        <v>2125.1999999999998</v>
      </c>
    </row>
    <row r="1230" spans="1:7" x14ac:dyDescent="0.35">
      <c r="A1230" s="178" t="s">
        <v>2072</v>
      </c>
      <c r="B1230" s="178" t="s">
        <v>2491</v>
      </c>
      <c r="C1230" s="178" t="s">
        <v>661</v>
      </c>
      <c r="D1230" s="178" t="s">
        <v>63</v>
      </c>
      <c r="E1230">
        <v>4281.8</v>
      </c>
      <c r="F1230">
        <v>642.27</v>
      </c>
      <c r="G1230">
        <v>4924.07</v>
      </c>
    </row>
    <row r="1231" spans="1:7" x14ac:dyDescent="0.35">
      <c r="A1231" s="178" t="s">
        <v>1316</v>
      </c>
      <c r="B1231" s="178" t="s">
        <v>2492</v>
      </c>
      <c r="C1231" s="178" t="s">
        <v>661</v>
      </c>
      <c r="D1231" s="178" t="s">
        <v>63</v>
      </c>
      <c r="E1231">
        <v>4237.6499999999996</v>
      </c>
      <c r="F1231">
        <v>635.65</v>
      </c>
      <c r="G1231">
        <v>4873.3</v>
      </c>
    </row>
    <row r="1232" spans="1:7" x14ac:dyDescent="0.35">
      <c r="A1232" s="178" t="s">
        <v>671</v>
      </c>
      <c r="B1232" s="178" t="s">
        <v>2493</v>
      </c>
      <c r="C1232" s="178" t="s">
        <v>661</v>
      </c>
      <c r="D1232" s="178" t="s">
        <v>63</v>
      </c>
      <c r="E1232">
        <v>4592</v>
      </c>
      <c r="F1232">
        <v>688.8</v>
      </c>
      <c r="G1232">
        <v>5280.8</v>
      </c>
    </row>
    <row r="1233" spans="1:7" x14ac:dyDescent="0.35">
      <c r="A1233" s="178" t="s">
        <v>761</v>
      </c>
      <c r="B1233" s="178" t="s">
        <v>2494</v>
      </c>
      <c r="C1233" s="178" t="s">
        <v>661</v>
      </c>
      <c r="D1233" s="178" t="s">
        <v>2495</v>
      </c>
      <c r="E1233">
        <v>3887.5</v>
      </c>
      <c r="F1233">
        <v>583.13</v>
      </c>
      <c r="G1233">
        <v>4470.63</v>
      </c>
    </row>
    <row r="1234" spans="1:7" x14ac:dyDescent="0.35">
      <c r="A1234" s="178" t="s">
        <v>857</v>
      </c>
      <c r="B1234" s="178" t="s">
        <v>2496</v>
      </c>
      <c r="C1234" s="178" t="s">
        <v>661</v>
      </c>
      <c r="D1234" s="178" t="s">
        <v>63</v>
      </c>
      <c r="E1234">
        <v>1000</v>
      </c>
      <c r="F1234">
        <v>150</v>
      </c>
      <c r="G1234">
        <v>1150</v>
      </c>
    </row>
    <row r="1235" spans="1:7" x14ac:dyDescent="0.35">
      <c r="A1235" s="178" t="s">
        <v>1120</v>
      </c>
      <c r="B1235" s="178" t="s">
        <v>2497</v>
      </c>
      <c r="C1235" s="178" t="s">
        <v>661</v>
      </c>
      <c r="D1235" s="178" t="s">
        <v>63</v>
      </c>
      <c r="E1235">
        <v>5563.2</v>
      </c>
      <c r="F1235">
        <v>834.48</v>
      </c>
      <c r="G1235">
        <v>6397.68</v>
      </c>
    </row>
    <row r="1236" spans="1:7" x14ac:dyDescent="0.35">
      <c r="A1236" s="178" t="s">
        <v>1038</v>
      </c>
      <c r="B1236" s="178" t="s">
        <v>2498</v>
      </c>
      <c r="C1236" s="178" t="s">
        <v>661</v>
      </c>
      <c r="D1236" s="178" t="s">
        <v>63</v>
      </c>
      <c r="E1236">
        <v>9366</v>
      </c>
      <c r="F1236">
        <v>1404.9</v>
      </c>
      <c r="G1236">
        <v>10770.9</v>
      </c>
    </row>
    <row r="1237" spans="1:7" x14ac:dyDescent="0.35">
      <c r="A1237" s="178" t="s">
        <v>2499</v>
      </c>
      <c r="B1237" s="178" t="s">
        <v>2500</v>
      </c>
      <c r="C1237" s="178" t="s">
        <v>661</v>
      </c>
      <c r="D1237" s="178" t="s">
        <v>63</v>
      </c>
      <c r="E1237">
        <v>2046.3</v>
      </c>
      <c r="F1237">
        <v>306.95</v>
      </c>
      <c r="G1237">
        <v>2353.25</v>
      </c>
    </row>
    <row r="1238" spans="1:7" x14ac:dyDescent="0.35">
      <c r="A1238" s="178" t="s">
        <v>2501</v>
      </c>
      <c r="B1238" s="178" t="s">
        <v>2502</v>
      </c>
      <c r="C1238" s="178" t="s">
        <v>661</v>
      </c>
      <c r="D1238" s="178" t="s">
        <v>63</v>
      </c>
      <c r="E1238">
        <v>2706.8</v>
      </c>
      <c r="F1238">
        <v>406.02</v>
      </c>
      <c r="G1238">
        <v>3112.82</v>
      </c>
    </row>
    <row r="1239" spans="1:7" x14ac:dyDescent="0.35">
      <c r="A1239" s="178" t="s">
        <v>899</v>
      </c>
      <c r="B1239" s="178" t="s">
        <v>2503</v>
      </c>
      <c r="C1239" s="178" t="s">
        <v>661</v>
      </c>
      <c r="D1239" s="178" t="s">
        <v>63</v>
      </c>
      <c r="E1239">
        <v>1494</v>
      </c>
      <c r="F1239">
        <v>224.1</v>
      </c>
      <c r="G1239">
        <v>1718.1</v>
      </c>
    </row>
    <row r="1240" spans="1:7" x14ac:dyDescent="0.35">
      <c r="A1240" s="178" t="s">
        <v>522</v>
      </c>
      <c r="B1240" s="178" t="s">
        <v>2504</v>
      </c>
      <c r="C1240" s="178" t="s">
        <v>661</v>
      </c>
      <c r="D1240" s="178" t="s">
        <v>63</v>
      </c>
      <c r="E1240">
        <v>4253.75</v>
      </c>
      <c r="F1240">
        <v>638.05999999999995</v>
      </c>
      <c r="G1240">
        <v>4891.8100000000004</v>
      </c>
    </row>
    <row r="1241" spans="1:7" x14ac:dyDescent="0.35">
      <c r="A1241" s="178" t="s">
        <v>541</v>
      </c>
      <c r="B1241" s="178" t="s">
        <v>2505</v>
      </c>
      <c r="C1241" s="178" t="s">
        <v>661</v>
      </c>
      <c r="D1241" s="178" t="s">
        <v>63</v>
      </c>
      <c r="E1241">
        <v>4564.5</v>
      </c>
      <c r="F1241">
        <v>684.68</v>
      </c>
      <c r="G1241">
        <v>5249.18</v>
      </c>
    </row>
    <row r="1242" spans="1:7" x14ac:dyDescent="0.35">
      <c r="A1242" s="178" t="s">
        <v>1279</v>
      </c>
      <c r="B1242" s="178" t="s">
        <v>2506</v>
      </c>
      <c r="C1242" s="178" t="s">
        <v>661</v>
      </c>
      <c r="D1242" s="178" t="s">
        <v>63</v>
      </c>
      <c r="E1242">
        <v>3211.2</v>
      </c>
      <c r="F1242">
        <v>481.68</v>
      </c>
      <c r="G1242">
        <v>3692.88</v>
      </c>
    </row>
    <row r="1243" spans="1:7" x14ac:dyDescent="0.35">
      <c r="A1243" s="178" t="s">
        <v>917</v>
      </c>
      <c r="B1243" s="178" t="s">
        <v>2507</v>
      </c>
      <c r="C1243" s="178" t="s">
        <v>661</v>
      </c>
      <c r="D1243" s="178" t="s">
        <v>63</v>
      </c>
      <c r="E1243">
        <v>13229.4</v>
      </c>
      <c r="F1243">
        <v>1984.41</v>
      </c>
      <c r="G1243">
        <v>15213.81</v>
      </c>
    </row>
    <row r="1244" spans="1:7" x14ac:dyDescent="0.35">
      <c r="A1244" s="178" t="s">
        <v>920</v>
      </c>
      <c r="B1244" s="178" t="s">
        <v>2508</v>
      </c>
      <c r="C1244" s="178" t="s">
        <v>661</v>
      </c>
      <c r="D1244" s="178" t="s">
        <v>63</v>
      </c>
      <c r="E1244">
        <v>1532.3</v>
      </c>
      <c r="F1244">
        <v>229.85</v>
      </c>
      <c r="G1244">
        <v>1762.15</v>
      </c>
    </row>
    <row r="1245" spans="1:7" x14ac:dyDescent="0.35">
      <c r="A1245" s="178" t="s">
        <v>684</v>
      </c>
      <c r="B1245" s="178" t="s">
        <v>2509</v>
      </c>
      <c r="C1245" s="178" t="s">
        <v>661</v>
      </c>
      <c r="D1245" s="178" t="s">
        <v>63</v>
      </c>
      <c r="E1245">
        <v>2664.5</v>
      </c>
      <c r="F1245">
        <v>399.68</v>
      </c>
      <c r="G1245">
        <v>3064.18</v>
      </c>
    </row>
    <row r="1246" spans="1:7" x14ac:dyDescent="0.35">
      <c r="A1246" s="178" t="s">
        <v>1238</v>
      </c>
      <c r="B1246" s="178" t="s">
        <v>2510</v>
      </c>
      <c r="C1246" s="178" t="s">
        <v>661</v>
      </c>
      <c r="D1246" s="178" t="s">
        <v>63</v>
      </c>
      <c r="E1246">
        <v>2582.5500000000002</v>
      </c>
      <c r="F1246">
        <v>387.38</v>
      </c>
      <c r="G1246">
        <v>2969.93</v>
      </c>
    </row>
    <row r="1247" spans="1:7" x14ac:dyDescent="0.35">
      <c r="A1247" s="178" t="s">
        <v>430</v>
      </c>
      <c r="B1247" s="178" t="s">
        <v>2511</v>
      </c>
      <c r="C1247" s="178" t="s">
        <v>661</v>
      </c>
      <c r="D1247" s="178" t="s">
        <v>2401</v>
      </c>
      <c r="E1247">
        <v>17327.099999999999</v>
      </c>
      <c r="F1247">
        <v>2599.0700000000002</v>
      </c>
      <c r="G1247">
        <v>19926.169999999998</v>
      </c>
    </row>
    <row r="1248" spans="1:7" x14ac:dyDescent="0.35">
      <c r="A1248" s="178" t="s">
        <v>634</v>
      </c>
      <c r="B1248" s="178" t="s">
        <v>2512</v>
      </c>
      <c r="C1248" s="178" t="s">
        <v>661</v>
      </c>
      <c r="D1248" s="178" t="s">
        <v>63</v>
      </c>
      <c r="E1248">
        <v>1235</v>
      </c>
      <c r="F1248">
        <v>185.25</v>
      </c>
      <c r="G1248">
        <v>1420.25</v>
      </c>
    </row>
    <row r="1249" spans="1:7" x14ac:dyDescent="0.35">
      <c r="A1249" s="178" t="s">
        <v>634</v>
      </c>
      <c r="B1249" s="178" t="s">
        <v>2513</v>
      </c>
      <c r="C1249" s="178" t="s">
        <v>661</v>
      </c>
      <c r="D1249" s="178" t="s">
        <v>63</v>
      </c>
      <c r="E1249">
        <v>1000</v>
      </c>
      <c r="F1249">
        <v>150</v>
      </c>
      <c r="G1249">
        <v>1150</v>
      </c>
    </row>
    <row r="1250" spans="1:7" x14ac:dyDescent="0.35">
      <c r="A1250" s="178" t="s">
        <v>2514</v>
      </c>
      <c r="B1250" s="178" t="s">
        <v>2515</v>
      </c>
      <c r="C1250" s="178" t="s">
        <v>661</v>
      </c>
      <c r="D1250" s="178" t="s">
        <v>1845</v>
      </c>
      <c r="E1250">
        <v>1012.5</v>
      </c>
      <c r="F1250">
        <v>151.88</v>
      </c>
      <c r="G1250">
        <v>1164.3800000000001</v>
      </c>
    </row>
    <row r="1251" spans="1:7" x14ac:dyDescent="0.35">
      <c r="A1251" s="178" t="s">
        <v>909</v>
      </c>
      <c r="B1251" s="178" t="s">
        <v>2516</v>
      </c>
      <c r="C1251" s="178" t="s">
        <v>661</v>
      </c>
      <c r="D1251" s="178" t="s">
        <v>63</v>
      </c>
      <c r="E1251">
        <v>769.7</v>
      </c>
      <c r="F1251">
        <v>115.46</v>
      </c>
      <c r="G1251">
        <v>885.16</v>
      </c>
    </row>
    <row r="1252" spans="1:7" x14ac:dyDescent="0.35">
      <c r="A1252" s="178" t="s">
        <v>2184</v>
      </c>
      <c r="B1252" s="178" t="s">
        <v>2517</v>
      </c>
      <c r="C1252" s="178" t="s">
        <v>661</v>
      </c>
      <c r="D1252" s="178" t="s">
        <v>63</v>
      </c>
      <c r="E1252">
        <v>2988.8</v>
      </c>
      <c r="F1252">
        <v>448.32</v>
      </c>
      <c r="G1252">
        <v>3437.12</v>
      </c>
    </row>
    <row r="1253" spans="1:7" x14ac:dyDescent="0.35">
      <c r="A1253" s="178" t="s">
        <v>602</v>
      </c>
      <c r="B1253" s="178" t="s">
        <v>2518</v>
      </c>
      <c r="C1253" s="178" t="s">
        <v>661</v>
      </c>
      <c r="D1253" s="178" t="s">
        <v>63</v>
      </c>
      <c r="E1253">
        <v>4929.75</v>
      </c>
      <c r="F1253">
        <v>739.47</v>
      </c>
      <c r="G1253">
        <v>5669.22</v>
      </c>
    </row>
    <row r="1254" spans="1:7" x14ac:dyDescent="0.35">
      <c r="A1254" s="178" t="s">
        <v>2519</v>
      </c>
      <c r="B1254" s="178" t="s">
        <v>2520</v>
      </c>
      <c r="C1254" s="178" t="s">
        <v>661</v>
      </c>
      <c r="D1254" s="178" t="s">
        <v>63</v>
      </c>
      <c r="E1254">
        <v>1790.9</v>
      </c>
      <c r="F1254">
        <v>268.64</v>
      </c>
      <c r="G1254">
        <v>2059.54</v>
      </c>
    </row>
    <row r="1255" spans="1:7" x14ac:dyDescent="0.35">
      <c r="A1255" s="178" t="s">
        <v>684</v>
      </c>
      <c r="B1255" s="178" t="s">
        <v>2521</v>
      </c>
      <c r="C1255" s="178" t="s">
        <v>661</v>
      </c>
      <c r="D1255" s="178" t="s">
        <v>63</v>
      </c>
      <c r="E1255">
        <v>3077.35</v>
      </c>
      <c r="F1255">
        <v>461.61</v>
      </c>
      <c r="G1255">
        <v>3538.96</v>
      </c>
    </row>
    <row r="1256" spans="1:7" x14ac:dyDescent="0.35">
      <c r="A1256" s="178" t="s">
        <v>1035</v>
      </c>
      <c r="B1256" s="178" t="s">
        <v>2522</v>
      </c>
      <c r="C1256" s="178" t="s">
        <v>661</v>
      </c>
      <c r="D1256" s="178" t="s">
        <v>63</v>
      </c>
      <c r="E1256">
        <v>25725.8</v>
      </c>
      <c r="F1256">
        <v>3858.87</v>
      </c>
      <c r="G1256">
        <v>29584.67</v>
      </c>
    </row>
    <row r="1257" spans="1:7" x14ac:dyDescent="0.35">
      <c r="A1257" s="178" t="s">
        <v>2523</v>
      </c>
      <c r="B1257" s="178" t="s">
        <v>2524</v>
      </c>
      <c r="C1257" s="178" t="s">
        <v>661</v>
      </c>
      <c r="D1257" s="178" t="s">
        <v>63</v>
      </c>
      <c r="E1257">
        <v>1733.3</v>
      </c>
      <c r="F1257">
        <v>260</v>
      </c>
      <c r="G1257">
        <v>1993.3</v>
      </c>
    </row>
    <row r="1258" spans="1:7" x14ac:dyDescent="0.35">
      <c r="A1258" s="178" t="s">
        <v>1371</v>
      </c>
      <c r="B1258" s="178" t="s">
        <v>2525</v>
      </c>
      <c r="C1258" s="178" t="s">
        <v>661</v>
      </c>
      <c r="D1258" s="178" t="s">
        <v>2526</v>
      </c>
      <c r="E1258">
        <v>1268.25</v>
      </c>
      <c r="F1258">
        <v>190.24</v>
      </c>
      <c r="G1258">
        <v>1458.49</v>
      </c>
    </row>
    <row r="1259" spans="1:7" x14ac:dyDescent="0.35">
      <c r="A1259" s="178" t="s">
        <v>2527</v>
      </c>
      <c r="B1259" s="178" t="s">
        <v>2528</v>
      </c>
      <c r="C1259" s="178" t="s">
        <v>661</v>
      </c>
      <c r="D1259" s="178" t="s">
        <v>63</v>
      </c>
      <c r="E1259">
        <v>5963.65</v>
      </c>
      <c r="F1259">
        <v>894.55</v>
      </c>
      <c r="G1259">
        <v>6858.2</v>
      </c>
    </row>
    <row r="1260" spans="1:7" x14ac:dyDescent="0.35">
      <c r="A1260" s="178" t="s">
        <v>1047</v>
      </c>
      <c r="B1260" s="178" t="s">
        <v>2529</v>
      </c>
      <c r="C1260" s="178" t="s">
        <v>661</v>
      </c>
      <c r="D1260" s="178" t="s">
        <v>63</v>
      </c>
      <c r="E1260">
        <v>4748.8</v>
      </c>
      <c r="F1260">
        <v>712.32</v>
      </c>
      <c r="G1260">
        <v>5461.12</v>
      </c>
    </row>
    <row r="1261" spans="1:7" x14ac:dyDescent="0.35">
      <c r="A1261" s="178" t="s">
        <v>2530</v>
      </c>
      <c r="B1261" s="178" t="s">
        <v>2531</v>
      </c>
      <c r="C1261" s="178" t="s">
        <v>661</v>
      </c>
      <c r="D1261" s="178" t="s">
        <v>63</v>
      </c>
      <c r="E1261">
        <v>1393.2</v>
      </c>
      <c r="F1261">
        <v>208.99</v>
      </c>
      <c r="G1261">
        <v>1602.19</v>
      </c>
    </row>
    <row r="1262" spans="1:7" x14ac:dyDescent="0.35">
      <c r="A1262" s="178" t="s">
        <v>694</v>
      </c>
      <c r="B1262" s="178" t="s">
        <v>2532</v>
      </c>
      <c r="C1262" s="178" t="s">
        <v>661</v>
      </c>
      <c r="D1262" s="178" t="s">
        <v>63</v>
      </c>
      <c r="E1262">
        <v>1737.2</v>
      </c>
      <c r="F1262">
        <v>260.58</v>
      </c>
      <c r="G1262">
        <v>1997.78</v>
      </c>
    </row>
    <row r="1263" spans="1:7" x14ac:dyDescent="0.35">
      <c r="A1263" s="178" t="s">
        <v>560</v>
      </c>
      <c r="B1263" s="178" t="s">
        <v>2533</v>
      </c>
      <c r="C1263" s="178" t="s">
        <v>661</v>
      </c>
      <c r="D1263" s="178" t="s">
        <v>2534</v>
      </c>
      <c r="E1263">
        <v>3377</v>
      </c>
      <c r="F1263">
        <v>506.55</v>
      </c>
      <c r="G1263">
        <v>3883.55</v>
      </c>
    </row>
    <row r="1264" spans="1:7" x14ac:dyDescent="0.35">
      <c r="A1264" s="178" t="s">
        <v>623</v>
      </c>
      <c r="B1264" s="178" t="s">
        <v>2535</v>
      </c>
      <c r="C1264" s="178" t="s">
        <v>661</v>
      </c>
      <c r="D1264" s="178" t="s">
        <v>2536</v>
      </c>
      <c r="E1264">
        <v>8865.6</v>
      </c>
      <c r="F1264">
        <v>1329.84</v>
      </c>
      <c r="G1264">
        <v>10195.44</v>
      </c>
    </row>
    <row r="1265" spans="1:7" x14ac:dyDescent="0.35">
      <c r="A1265" s="178" t="s">
        <v>1026</v>
      </c>
      <c r="B1265" s="178" t="s">
        <v>2537</v>
      </c>
      <c r="C1265" s="178" t="s">
        <v>661</v>
      </c>
      <c r="D1265" s="178" t="s">
        <v>63</v>
      </c>
      <c r="E1265">
        <v>8085.6</v>
      </c>
      <c r="F1265">
        <v>1212.8399999999999</v>
      </c>
      <c r="G1265">
        <v>9298.44</v>
      </c>
    </row>
    <row r="1266" spans="1:7" x14ac:dyDescent="0.35">
      <c r="A1266" s="178" t="s">
        <v>889</v>
      </c>
      <c r="B1266" s="178" t="s">
        <v>2538</v>
      </c>
      <c r="C1266" s="178" t="s">
        <v>661</v>
      </c>
      <c r="D1266" s="178" t="s">
        <v>63</v>
      </c>
      <c r="E1266">
        <v>943</v>
      </c>
      <c r="F1266">
        <v>141.44999999999999</v>
      </c>
      <c r="G1266">
        <v>1084.45</v>
      </c>
    </row>
    <row r="1267" spans="1:7" x14ac:dyDescent="0.35">
      <c r="A1267" s="178" t="s">
        <v>1573</v>
      </c>
      <c r="B1267" s="178" t="s">
        <v>2539</v>
      </c>
      <c r="C1267" s="178" t="s">
        <v>661</v>
      </c>
      <c r="D1267" s="178" t="s">
        <v>63</v>
      </c>
      <c r="E1267">
        <v>1202.8</v>
      </c>
      <c r="F1267">
        <v>180.42</v>
      </c>
      <c r="G1267">
        <v>1383.22</v>
      </c>
    </row>
    <row r="1268" spans="1:7" x14ac:dyDescent="0.35">
      <c r="A1268" s="178" t="s">
        <v>666</v>
      </c>
      <c r="B1268" s="178" t="s">
        <v>2540</v>
      </c>
      <c r="C1268" s="178" t="s">
        <v>661</v>
      </c>
      <c r="D1268" s="178" t="s">
        <v>63</v>
      </c>
      <c r="E1268">
        <v>1111.5</v>
      </c>
      <c r="F1268">
        <v>166.73</v>
      </c>
      <c r="G1268">
        <v>1278.23</v>
      </c>
    </row>
    <row r="1269" spans="1:7" x14ac:dyDescent="0.35">
      <c r="A1269" s="178" t="s">
        <v>1055</v>
      </c>
      <c r="B1269" s="178" t="s">
        <v>2541</v>
      </c>
      <c r="C1269" s="178" t="s">
        <v>661</v>
      </c>
      <c r="D1269" s="178" t="s">
        <v>63</v>
      </c>
      <c r="E1269">
        <v>739.5</v>
      </c>
      <c r="F1269">
        <v>110.93</v>
      </c>
      <c r="G1269">
        <v>850.43</v>
      </c>
    </row>
    <row r="1270" spans="1:7" x14ac:dyDescent="0.35">
      <c r="A1270" s="178" t="s">
        <v>863</v>
      </c>
      <c r="B1270" s="178" t="s">
        <v>2542</v>
      </c>
      <c r="C1270" s="178" t="s">
        <v>661</v>
      </c>
      <c r="D1270" s="178" t="s">
        <v>63</v>
      </c>
      <c r="E1270">
        <v>2274.6999999999998</v>
      </c>
      <c r="F1270">
        <v>341.2</v>
      </c>
      <c r="G1270">
        <v>2615.9</v>
      </c>
    </row>
    <row r="1271" spans="1:7" x14ac:dyDescent="0.35">
      <c r="A1271" s="178" t="s">
        <v>1727</v>
      </c>
      <c r="B1271" s="178" t="s">
        <v>2543</v>
      </c>
      <c r="C1271" s="178" t="s">
        <v>661</v>
      </c>
      <c r="D1271" s="178" t="s">
        <v>63</v>
      </c>
      <c r="E1271">
        <v>875.5</v>
      </c>
      <c r="F1271">
        <v>131.33000000000001</v>
      </c>
      <c r="G1271">
        <v>1006.83</v>
      </c>
    </row>
    <row r="1272" spans="1:7" x14ac:dyDescent="0.35">
      <c r="A1272" s="178" t="s">
        <v>1447</v>
      </c>
      <c r="B1272" s="178" t="s">
        <v>2544</v>
      </c>
      <c r="C1272" s="178" t="s">
        <v>661</v>
      </c>
      <c r="D1272" s="178" t="s">
        <v>63</v>
      </c>
      <c r="E1272">
        <v>10665.9</v>
      </c>
      <c r="F1272">
        <v>1599.89</v>
      </c>
      <c r="G1272">
        <v>12265.79</v>
      </c>
    </row>
    <row r="1273" spans="1:7" x14ac:dyDescent="0.35">
      <c r="A1273" s="178" t="s">
        <v>723</v>
      </c>
      <c r="B1273" s="178" t="s">
        <v>2545</v>
      </c>
      <c r="C1273" s="178" t="s">
        <v>661</v>
      </c>
      <c r="D1273" s="178" t="s">
        <v>63</v>
      </c>
      <c r="E1273">
        <v>617.4</v>
      </c>
      <c r="F1273">
        <v>92.61</v>
      </c>
      <c r="G1273">
        <v>710.01</v>
      </c>
    </row>
    <row r="1274" spans="1:7" x14ac:dyDescent="0.35">
      <c r="A1274" s="178" t="s">
        <v>1194</v>
      </c>
      <c r="B1274" s="178" t="s">
        <v>2546</v>
      </c>
      <c r="C1274" s="178" t="s">
        <v>661</v>
      </c>
      <c r="D1274" s="178" t="s">
        <v>63</v>
      </c>
      <c r="E1274">
        <v>22312.75</v>
      </c>
      <c r="F1274">
        <v>3346.91</v>
      </c>
      <c r="G1274">
        <v>25659.66</v>
      </c>
    </row>
    <row r="1275" spans="1:7" x14ac:dyDescent="0.35">
      <c r="A1275" s="178" t="s">
        <v>2547</v>
      </c>
      <c r="B1275" s="178" t="s">
        <v>2548</v>
      </c>
      <c r="C1275" s="178" t="s">
        <v>661</v>
      </c>
      <c r="D1275" s="178" t="s">
        <v>63</v>
      </c>
      <c r="E1275">
        <v>1044</v>
      </c>
      <c r="F1275">
        <v>156.6</v>
      </c>
      <c r="G1275">
        <v>1200.5999999999999</v>
      </c>
    </row>
    <row r="1276" spans="1:7" x14ac:dyDescent="0.35">
      <c r="A1276" s="178" t="s">
        <v>460</v>
      </c>
      <c r="B1276" s="178" t="s">
        <v>2549</v>
      </c>
      <c r="C1276" s="178" t="s">
        <v>661</v>
      </c>
      <c r="D1276" s="178" t="s">
        <v>2550</v>
      </c>
      <c r="E1276">
        <v>799.8</v>
      </c>
      <c r="F1276">
        <v>119.97</v>
      </c>
      <c r="G1276">
        <v>919.77</v>
      </c>
    </row>
    <row r="1277" spans="1:7" x14ac:dyDescent="0.35">
      <c r="A1277" s="178" t="s">
        <v>460</v>
      </c>
      <c r="B1277" s="178" t="s">
        <v>2551</v>
      </c>
      <c r="C1277" s="178" t="s">
        <v>661</v>
      </c>
      <c r="D1277" s="178" t="s">
        <v>1571</v>
      </c>
      <c r="E1277">
        <v>851.4</v>
      </c>
      <c r="F1277">
        <v>127.71</v>
      </c>
      <c r="G1277">
        <v>979.11</v>
      </c>
    </row>
    <row r="1278" spans="1:7" x14ac:dyDescent="0.35">
      <c r="A1278" s="178" t="s">
        <v>1562</v>
      </c>
      <c r="B1278" s="178" t="s">
        <v>2552</v>
      </c>
      <c r="C1278" s="178" t="s">
        <v>642</v>
      </c>
      <c r="D1278" s="178" t="s">
        <v>63</v>
      </c>
      <c r="E1278">
        <v>805.95</v>
      </c>
      <c r="F1278">
        <v>120.89</v>
      </c>
      <c r="G1278">
        <v>926.84</v>
      </c>
    </row>
    <row r="1279" spans="1:7" x14ac:dyDescent="0.35">
      <c r="A1279" s="178" t="s">
        <v>501</v>
      </c>
      <c r="B1279" s="178" t="s">
        <v>2553</v>
      </c>
      <c r="C1279" s="178" t="s">
        <v>682</v>
      </c>
      <c r="D1279" s="178" t="s">
        <v>2554</v>
      </c>
      <c r="E1279">
        <v>93394.5</v>
      </c>
      <c r="F1279">
        <v>14009.18</v>
      </c>
      <c r="G1279">
        <v>107403.68</v>
      </c>
    </row>
    <row r="1280" spans="1:7" x14ac:dyDescent="0.35">
      <c r="A1280" s="178" t="s">
        <v>697</v>
      </c>
      <c r="B1280" s="178" t="s">
        <v>2555</v>
      </c>
      <c r="C1280" s="178" t="s">
        <v>682</v>
      </c>
      <c r="D1280" s="178" t="s">
        <v>63</v>
      </c>
      <c r="E1280">
        <v>1279.5999999999999</v>
      </c>
      <c r="F1280">
        <v>191.94</v>
      </c>
      <c r="G1280">
        <v>1471.54</v>
      </c>
    </row>
    <row r="1281" spans="1:7" x14ac:dyDescent="0.35">
      <c r="A1281" s="178" t="s">
        <v>1513</v>
      </c>
      <c r="B1281" s="178" t="s">
        <v>2556</v>
      </c>
      <c r="C1281" s="178" t="s">
        <v>682</v>
      </c>
      <c r="D1281" s="178" t="s">
        <v>1515</v>
      </c>
      <c r="E1281">
        <v>12562.8</v>
      </c>
      <c r="F1281">
        <v>1884.42</v>
      </c>
      <c r="G1281">
        <v>14447.22</v>
      </c>
    </row>
    <row r="1282" spans="1:7" x14ac:dyDescent="0.35">
      <c r="A1282" s="178" t="s">
        <v>2557</v>
      </c>
      <c r="B1282" s="178" t="s">
        <v>2558</v>
      </c>
      <c r="C1282" s="178" t="s">
        <v>682</v>
      </c>
      <c r="D1282" s="178" t="s">
        <v>2559</v>
      </c>
      <c r="E1282">
        <v>7774.85</v>
      </c>
      <c r="F1282">
        <v>1166.23</v>
      </c>
      <c r="G1282">
        <v>8941.08</v>
      </c>
    </row>
    <row r="1283" spans="1:7" x14ac:dyDescent="0.35">
      <c r="A1283" s="178" t="s">
        <v>2560</v>
      </c>
      <c r="B1283" s="178" t="s">
        <v>2561</v>
      </c>
      <c r="C1283" s="178" t="s">
        <v>682</v>
      </c>
      <c r="D1283" s="178" t="s">
        <v>2562</v>
      </c>
      <c r="E1283">
        <v>4217.3999999999996</v>
      </c>
      <c r="F1283">
        <v>632.61</v>
      </c>
      <c r="G1283">
        <v>4850.01</v>
      </c>
    </row>
    <row r="1284" spans="1:7" x14ac:dyDescent="0.35">
      <c r="A1284" s="178" t="s">
        <v>687</v>
      </c>
      <c r="B1284" s="178" t="s">
        <v>2563</v>
      </c>
      <c r="C1284" s="178" t="s">
        <v>682</v>
      </c>
      <c r="D1284" s="178" t="s">
        <v>1379</v>
      </c>
      <c r="E1284">
        <v>7435.05</v>
      </c>
      <c r="F1284">
        <v>1115.26</v>
      </c>
      <c r="G1284">
        <v>8550.31</v>
      </c>
    </row>
    <row r="1285" spans="1:7" x14ac:dyDescent="0.35">
      <c r="A1285" s="178" t="s">
        <v>1492</v>
      </c>
      <c r="B1285" s="178" t="s">
        <v>2564</v>
      </c>
      <c r="C1285" s="178" t="s">
        <v>682</v>
      </c>
      <c r="D1285" s="178" t="s">
        <v>63</v>
      </c>
      <c r="E1285">
        <v>14719.15</v>
      </c>
      <c r="F1285">
        <v>2207.88</v>
      </c>
      <c r="G1285">
        <v>16927.03</v>
      </c>
    </row>
    <row r="1286" spans="1:7" x14ac:dyDescent="0.35">
      <c r="A1286" s="178" t="s">
        <v>663</v>
      </c>
      <c r="B1286" s="178" t="s">
        <v>2565</v>
      </c>
      <c r="C1286" s="178" t="s">
        <v>682</v>
      </c>
      <c r="D1286" s="178" t="s">
        <v>63</v>
      </c>
      <c r="E1286">
        <v>7337.2</v>
      </c>
      <c r="F1286">
        <v>1100.58</v>
      </c>
      <c r="G1286">
        <v>8437.7800000000007</v>
      </c>
    </row>
    <row r="1287" spans="1:7" x14ac:dyDescent="0.35">
      <c r="A1287" s="178" t="s">
        <v>1859</v>
      </c>
      <c r="B1287" s="178" t="s">
        <v>2566</v>
      </c>
      <c r="C1287" s="178" t="s">
        <v>682</v>
      </c>
      <c r="D1287" s="178" t="s">
        <v>1861</v>
      </c>
      <c r="E1287">
        <v>12372.3</v>
      </c>
      <c r="F1287">
        <v>1855.85</v>
      </c>
      <c r="G1287">
        <v>14228.15</v>
      </c>
    </row>
    <row r="1288" spans="1:7" x14ac:dyDescent="0.35">
      <c r="A1288" s="178" t="s">
        <v>593</v>
      </c>
      <c r="B1288" s="178" t="s">
        <v>2567</v>
      </c>
      <c r="C1288" s="178" t="s">
        <v>682</v>
      </c>
      <c r="D1288" s="178" t="s">
        <v>63</v>
      </c>
      <c r="E1288">
        <v>1173.2</v>
      </c>
      <c r="F1288">
        <v>175.98</v>
      </c>
      <c r="G1288">
        <v>1349.18</v>
      </c>
    </row>
    <row r="1289" spans="1:7" x14ac:dyDescent="0.35">
      <c r="A1289" s="178" t="s">
        <v>529</v>
      </c>
      <c r="B1289" s="178" t="s">
        <v>2568</v>
      </c>
      <c r="C1289" s="178" t="s">
        <v>682</v>
      </c>
      <c r="D1289" s="178" t="s">
        <v>63</v>
      </c>
      <c r="E1289">
        <v>1785</v>
      </c>
      <c r="F1289">
        <v>267.75</v>
      </c>
      <c r="G1289">
        <v>2052.75</v>
      </c>
    </row>
    <row r="1290" spans="1:7" x14ac:dyDescent="0.35">
      <c r="A1290" s="178" t="s">
        <v>2569</v>
      </c>
      <c r="B1290" s="178" t="s">
        <v>2570</v>
      </c>
      <c r="C1290" s="178" t="s">
        <v>682</v>
      </c>
      <c r="D1290" s="178" t="s">
        <v>63</v>
      </c>
      <c r="E1290">
        <v>10316.5</v>
      </c>
      <c r="F1290">
        <v>1547.48</v>
      </c>
      <c r="G1290">
        <v>11863.98</v>
      </c>
    </row>
    <row r="1291" spans="1:7" x14ac:dyDescent="0.35">
      <c r="A1291" s="178" t="s">
        <v>623</v>
      </c>
      <c r="B1291" s="178" t="s">
        <v>2571</v>
      </c>
      <c r="C1291" s="178" t="s">
        <v>661</v>
      </c>
      <c r="D1291" s="178" t="s">
        <v>2572</v>
      </c>
      <c r="E1291">
        <v>3067.2</v>
      </c>
      <c r="F1291">
        <v>460.08</v>
      </c>
      <c r="G1291">
        <v>3527.28</v>
      </c>
    </row>
    <row r="1292" spans="1:7" x14ac:dyDescent="0.35">
      <c r="A1292" s="178" t="s">
        <v>2573</v>
      </c>
      <c r="B1292" s="178" t="s">
        <v>2574</v>
      </c>
      <c r="C1292" s="178" t="s">
        <v>682</v>
      </c>
      <c r="D1292" s="178" t="s">
        <v>2575</v>
      </c>
      <c r="E1292">
        <v>1722.6</v>
      </c>
      <c r="F1292">
        <v>258.39</v>
      </c>
      <c r="G1292">
        <v>1980.99</v>
      </c>
    </row>
    <row r="1293" spans="1:7" x14ac:dyDescent="0.35">
      <c r="A1293" s="178" t="s">
        <v>747</v>
      </c>
      <c r="B1293" s="178" t="s">
        <v>2576</v>
      </c>
      <c r="C1293" s="178" t="s">
        <v>682</v>
      </c>
      <c r="D1293" s="178" t="s">
        <v>63</v>
      </c>
      <c r="E1293">
        <v>4451</v>
      </c>
      <c r="F1293">
        <v>667.66</v>
      </c>
      <c r="G1293">
        <v>5118.66</v>
      </c>
    </row>
    <row r="1294" spans="1:7" x14ac:dyDescent="0.35">
      <c r="A1294" s="178" t="s">
        <v>460</v>
      </c>
      <c r="B1294" s="178" t="s">
        <v>2577</v>
      </c>
      <c r="C1294" s="178" t="s">
        <v>682</v>
      </c>
      <c r="D1294" s="178" t="s">
        <v>2578</v>
      </c>
      <c r="E1294">
        <v>1844.65</v>
      </c>
      <c r="F1294">
        <v>276.7</v>
      </c>
      <c r="G1294">
        <v>2121.35</v>
      </c>
    </row>
    <row r="1295" spans="1:7" x14ac:dyDescent="0.35">
      <c r="A1295" s="178" t="s">
        <v>666</v>
      </c>
      <c r="B1295" s="178" t="s">
        <v>2579</v>
      </c>
      <c r="C1295" s="178" t="s">
        <v>682</v>
      </c>
      <c r="D1295" s="178" t="s">
        <v>63</v>
      </c>
      <c r="E1295">
        <v>2643.2</v>
      </c>
      <c r="F1295">
        <v>396.48</v>
      </c>
      <c r="G1295">
        <v>3039.68</v>
      </c>
    </row>
    <row r="1296" spans="1:7" x14ac:dyDescent="0.35">
      <c r="A1296" s="178" t="s">
        <v>573</v>
      </c>
      <c r="B1296" s="178" t="s">
        <v>2580</v>
      </c>
      <c r="C1296" s="178" t="s">
        <v>682</v>
      </c>
      <c r="D1296" s="178" t="s">
        <v>63</v>
      </c>
      <c r="E1296">
        <v>6773.5</v>
      </c>
      <c r="F1296">
        <v>1016.03</v>
      </c>
      <c r="G1296">
        <v>7789.53</v>
      </c>
    </row>
    <row r="1297" spans="1:7" x14ac:dyDescent="0.35">
      <c r="A1297" s="178" t="s">
        <v>573</v>
      </c>
      <c r="B1297" s="178" t="s">
        <v>2581</v>
      </c>
      <c r="C1297" s="178" t="s">
        <v>682</v>
      </c>
      <c r="D1297" s="178" t="s">
        <v>63</v>
      </c>
      <c r="E1297">
        <v>7167.45</v>
      </c>
      <c r="F1297">
        <v>1075.1199999999999</v>
      </c>
      <c r="G1297">
        <v>8242.57</v>
      </c>
    </row>
    <row r="1298" spans="1:7" x14ac:dyDescent="0.35">
      <c r="A1298" s="178" t="s">
        <v>590</v>
      </c>
      <c r="B1298" s="178" t="s">
        <v>2582</v>
      </c>
      <c r="C1298" s="178" t="s">
        <v>682</v>
      </c>
      <c r="D1298" s="178" t="s">
        <v>63</v>
      </c>
      <c r="E1298">
        <v>5483.4</v>
      </c>
      <c r="F1298">
        <v>822.51</v>
      </c>
      <c r="G1298">
        <v>6305.91</v>
      </c>
    </row>
    <row r="1299" spans="1:7" x14ac:dyDescent="0.35">
      <c r="A1299" s="178" t="s">
        <v>2583</v>
      </c>
      <c r="B1299" s="178" t="s">
        <v>2584</v>
      </c>
      <c r="C1299" s="178" t="s">
        <v>682</v>
      </c>
      <c r="D1299" s="178" t="s">
        <v>1320</v>
      </c>
      <c r="E1299">
        <v>5292</v>
      </c>
      <c r="F1299">
        <v>793.8</v>
      </c>
      <c r="G1299">
        <v>6085.8</v>
      </c>
    </row>
    <row r="1300" spans="1:7" x14ac:dyDescent="0.35">
      <c r="A1300" s="178" t="s">
        <v>791</v>
      </c>
      <c r="B1300" s="178" t="s">
        <v>2585</v>
      </c>
      <c r="C1300" s="178" t="s">
        <v>682</v>
      </c>
      <c r="D1300" s="178" t="s">
        <v>63</v>
      </c>
      <c r="E1300">
        <v>19408.8</v>
      </c>
      <c r="F1300">
        <v>2911.32</v>
      </c>
      <c r="G1300">
        <v>22320.12</v>
      </c>
    </row>
    <row r="1301" spans="1:7" x14ac:dyDescent="0.35">
      <c r="A1301" s="178" t="s">
        <v>541</v>
      </c>
      <c r="B1301" s="178" t="s">
        <v>2586</v>
      </c>
      <c r="C1301" s="178" t="s">
        <v>682</v>
      </c>
      <c r="D1301" s="178" t="s">
        <v>63</v>
      </c>
      <c r="E1301">
        <v>5946.95</v>
      </c>
      <c r="F1301">
        <v>892.05</v>
      </c>
      <c r="G1301">
        <v>6839</v>
      </c>
    </row>
    <row r="1302" spans="1:7" x14ac:dyDescent="0.35">
      <c r="A1302" s="178" t="s">
        <v>1033</v>
      </c>
      <c r="B1302" s="178" t="s">
        <v>2587</v>
      </c>
      <c r="C1302" s="178" t="s">
        <v>682</v>
      </c>
      <c r="D1302" s="178" t="s">
        <v>2588</v>
      </c>
      <c r="E1302">
        <v>650</v>
      </c>
      <c r="F1302">
        <v>97.5</v>
      </c>
      <c r="G1302">
        <v>747.5</v>
      </c>
    </row>
    <row r="1303" spans="1:7" x14ac:dyDescent="0.35">
      <c r="A1303" s="178" t="s">
        <v>529</v>
      </c>
      <c r="B1303" s="178" t="s">
        <v>2589</v>
      </c>
      <c r="C1303" s="178" t="s">
        <v>682</v>
      </c>
      <c r="D1303" s="178" t="s">
        <v>63</v>
      </c>
      <c r="E1303">
        <v>23159.599999999999</v>
      </c>
      <c r="F1303">
        <v>3473.94</v>
      </c>
      <c r="G1303">
        <v>26633.54</v>
      </c>
    </row>
    <row r="1304" spans="1:7" x14ac:dyDescent="0.35">
      <c r="A1304" s="178" t="s">
        <v>1410</v>
      </c>
      <c r="B1304" s="178" t="s">
        <v>2590</v>
      </c>
      <c r="C1304" s="178" t="s">
        <v>682</v>
      </c>
      <c r="D1304" s="178" t="s">
        <v>63</v>
      </c>
      <c r="E1304">
        <v>1942.2</v>
      </c>
      <c r="F1304">
        <v>291.33</v>
      </c>
      <c r="G1304">
        <v>2233.5300000000002</v>
      </c>
    </row>
    <row r="1305" spans="1:7" x14ac:dyDescent="0.35">
      <c r="A1305" s="178" t="s">
        <v>2591</v>
      </c>
      <c r="B1305" s="178" t="s">
        <v>2592</v>
      </c>
      <c r="C1305" s="178" t="s">
        <v>682</v>
      </c>
      <c r="D1305" s="178" t="s">
        <v>63</v>
      </c>
      <c r="E1305">
        <v>8183.3</v>
      </c>
      <c r="F1305">
        <v>1227.5</v>
      </c>
      <c r="G1305">
        <v>9410.7999999999993</v>
      </c>
    </row>
    <row r="1306" spans="1:7" x14ac:dyDescent="0.35">
      <c r="A1306" s="178" t="s">
        <v>529</v>
      </c>
      <c r="B1306" s="178" t="s">
        <v>2593</v>
      </c>
      <c r="C1306" s="178" t="s">
        <v>682</v>
      </c>
      <c r="D1306" s="178" t="s">
        <v>63</v>
      </c>
      <c r="E1306">
        <v>8070.75</v>
      </c>
      <c r="F1306">
        <v>1210.6099999999999</v>
      </c>
      <c r="G1306">
        <v>9281.36</v>
      </c>
    </row>
    <row r="1307" spans="1:7" x14ac:dyDescent="0.35">
      <c r="A1307" s="178" t="s">
        <v>2594</v>
      </c>
      <c r="B1307" s="178" t="s">
        <v>2595</v>
      </c>
      <c r="C1307" s="178" t="s">
        <v>682</v>
      </c>
      <c r="D1307" s="178" t="s">
        <v>63</v>
      </c>
      <c r="E1307">
        <v>6464.2</v>
      </c>
      <c r="F1307">
        <v>969.63</v>
      </c>
      <c r="G1307">
        <v>7433.83</v>
      </c>
    </row>
    <row r="1308" spans="1:7" x14ac:dyDescent="0.35">
      <c r="A1308" s="178" t="s">
        <v>753</v>
      </c>
      <c r="B1308" s="178" t="s">
        <v>2596</v>
      </c>
      <c r="C1308" s="178" t="s">
        <v>682</v>
      </c>
      <c r="D1308" s="178" t="s">
        <v>63</v>
      </c>
      <c r="E1308">
        <v>360</v>
      </c>
      <c r="F1308">
        <v>54</v>
      </c>
      <c r="G1308">
        <v>414</v>
      </c>
    </row>
    <row r="1309" spans="1:7" x14ac:dyDescent="0.35">
      <c r="A1309" s="178" t="s">
        <v>1350</v>
      </c>
      <c r="B1309" s="178" t="s">
        <v>2597</v>
      </c>
      <c r="C1309" s="178" t="s">
        <v>682</v>
      </c>
      <c r="D1309" s="178" t="s">
        <v>63</v>
      </c>
      <c r="E1309">
        <v>3875.5</v>
      </c>
      <c r="F1309">
        <v>581.33000000000004</v>
      </c>
      <c r="G1309">
        <v>4456.83</v>
      </c>
    </row>
    <row r="1310" spans="1:7" x14ac:dyDescent="0.35">
      <c r="A1310" s="178" t="s">
        <v>474</v>
      </c>
      <c r="B1310" s="178" t="s">
        <v>2598</v>
      </c>
      <c r="C1310" s="178" t="s">
        <v>682</v>
      </c>
      <c r="D1310" s="178" t="s">
        <v>2599</v>
      </c>
      <c r="E1310">
        <v>4991.3</v>
      </c>
      <c r="F1310">
        <v>748.7</v>
      </c>
      <c r="G1310">
        <v>5740</v>
      </c>
    </row>
    <row r="1311" spans="1:7" x14ac:dyDescent="0.35">
      <c r="A1311" s="178" t="s">
        <v>978</v>
      </c>
      <c r="B1311" s="178" t="s">
        <v>2600</v>
      </c>
      <c r="C1311" s="178" t="s">
        <v>682</v>
      </c>
      <c r="D1311" s="178" t="s">
        <v>2601</v>
      </c>
      <c r="E1311">
        <v>1439.85</v>
      </c>
      <c r="F1311">
        <v>215.98</v>
      </c>
      <c r="G1311">
        <v>1655.83</v>
      </c>
    </row>
    <row r="1312" spans="1:7" x14ac:dyDescent="0.35">
      <c r="A1312" s="178" t="s">
        <v>933</v>
      </c>
      <c r="B1312" s="178" t="s">
        <v>2602</v>
      </c>
      <c r="C1312" s="178" t="s">
        <v>682</v>
      </c>
      <c r="D1312" s="178" t="s">
        <v>935</v>
      </c>
      <c r="E1312">
        <v>3111.7</v>
      </c>
      <c r="F1312">
        <v>466.76</v>
      </c>
      <c r="G1312">
        <v>3578.46</v>
      </c>
    </row>
    <row r="1313" spans="1:7" x14ac:dyDescent="0.35">
      <c r="A1313" s="178" t="s">
        <v>1131</v>
      </c>
      <c r="B1313" s="178" t="s">
        <v>2603</v>
      </c>
      <c r="C1313" s="178" t="s">
        <v>682</v>
      </c>
      <c r="D1313" s="178" t="s">
        <v>432</v>
      </c>
      <c r="E1313">
        <v>18864.45</v>
      </c>
      <c r="F1313">
        <v>2829.67</v>
      </c>
      <c r="G1313">
        <v>21694.12</v>
      </c>
    </row>
    <row r="1314" spans="1:7" x14ac:dyDescent="0.35">
      <c r="A1314" s="178" t="s">
        <v>538</v>
      </c>
      <c r="B1314" s="178" t="s">
        <v>2604</v>
      </c>
      <c r="C1314" s="178" t="s">
        <v>682</v>
      </c>
      <c r="D1314" s="178" t="s">
        <v>63</v>
      </c>
      <c r="E1314">
        <v>3780.65</v>
      </c>
      <c r="F1314">
        <v>567.1</v>
      </c>
      <c r="G1314">
        <v>4347.75</v>
      </c>
    </row>
    <row r="1315" spans="1:7" x14ac:dyDescent="0.35">
      <c r="A1315" s="178" t="s">
        <v>2605</v>
      </c>
      <c r="B1315" s="178" t="s">
        <v>2606</v>
      </c>
      <c r="C1315" s="178" t="s">
        <v>682</v>
      </c>
      <c r="D1315" s="178" t="s">
        <v>63</v>
      </c>
      <c r="E1315">
        <v>6761.4</v>
      </c>
      <c r="F1315">
        <v>1014.22</v>
      </c>
      <c r="G1315">
        <v>7775.62</v>
      </c>
    </row>
    <row r="1316" spans="1:7" x14ac:dyDescent="0.35">
      <c r="A1316" s="178" t="s">
        <v>839</v>
      </c>
      <c r="B1316" s="178" t="s">
        <v>2607</v>
      </c>
      <c r="C1316" s="178" t="s">
        <v>682</v>
      </c>
      <c r="D1316" s="178" t="s">
        <v>63</v>
      </c>
      <c r="E1316">
        <v>1735.1</v>
      </c>
      <c r="F1316">
        <v>260.27</v>
      </c>
      <c r="G1316">
        <v>1995.37</v>
      </c>
    </row>
    <row r="1317" spans="1:7" x14ac:dyDescent="0.35">
      <c r="A1317" s="178" t="s">
        <v>824</v>
      </c>
      <c r="B1317" s="178" t="s">
        <v>2608</v>
      </c>
      <c r="C1317" s="178" t="s">
        <v>682</v>
      </c>
      <c r="D1317" s="178" t="s">
        <v>63</v>
      </c>
      <c r="E1317">
        <v>2739.6</v>
      </c>
      <c r="F1317">
        <v>410.94</v>
      </c>
      <c r="G1317">
        <v>3150.54</v>
      </c>
    </row>
    <row r="1318" spans="1:7" x14ac:dyDescent="0.35">
      <c r="A1318" s="178" t="s">
        <v>707</v>
      </c>
      <c r="B1318" s="178" t="s">
        <v>2609</v>
      </c>
      <c r="C1318" s="178" t="s">
        <v>682</v>
      </c>
      <c r="D1318" s="178" t="s">
        <v>63</v>
      </c>
      <c r="E1318">
        <v>7252.2</v>
      </c>
      <c r="F1318">
        <v>1087.83</v>
      </c>
      <c r="G1318">
        <v>8340.0300000000007</v>
      </c>
    </row>
    <row r="1319" spans="1:7" x14ac:dyDescent="0.35">
      <c r="A1319" s="178" t="s">
        <v>634</v>
      </c>
      <c r="B1319" s="178" t="s">
        <v>2610</v>
      </c>
      <c r="C1319" s="178" t="s">
        <v>682</v>
      </c>
      <c r="D1319" s="178" t="s">
        <v>63</v>
      </c>
      <c r="E1319">
        <v>500</v>
      </c>
      <c r="F1319">
        <v>75</v>
      </c>
      <c r="G1319">
        <v>575</v>
      </c>
    </row>
    <row r="1320" spans="1:7" x14ac:dyDescent="0.35">
      <c r="A1320" s="178" t="s">
        <v>460</v>
      </c>
      <c r="B1320" s="178" t="s">
        <v>2611</v>
      </c>
      <c r="C1320" s="178" t="s">
        <v>682</v>
      </c>
      <c r="D1320" s="178" t="s">
        <v>2612</v>
      </c>
      <c r="E1320">
        <v>1462.8</v>
      </c>
      <c r="F1320">
        <v>219.42</v>
      </c>
      <c r="G1320">
        <v>1682.22</v>
      </c>
    </row>
    <row r="1321" spans="1:7" x14ac:dyDescent="0.35">
      <c r="A1321" s="178" t="s">
        <v>2613</v>
      </c>
      <c r="B1321" s="178" t="s">
        <v>2614</v>
      </c>
      <c r="C1321" s="178" t="s">
        <v>682</v>
      </c>
      <c r="D1321" s="178" t="s">
        <v>63</v>
      </c>
      <c r="E1321">
        <v>877.2</v>
      </c>
      <c r="F1321">
        <v>131.58000000000001</v>
      </c>
      <c r="G1321">
        <v>1008.78</v>
      </c>
    </row>
    <row r="1322" spans="1:7" x14ac:dyDescent="0.35">
      <c r="A1322" s="178" t="s">
        <v>680</v>
      </c>
      <c r="B1322" s="178" t="s">
        <v>2615</v>
      </c>
      <c r="C1322" s="178" t="s">
        <v>682</v>
      </c>
      <c r="D1322" s="178" t="s">
        <v>63</v>
      </c>
      <c r="E1322">
        <v>3541.8</v>
      </c>
      <c r="F1322">
        <v>531.28</v>
      </c>
      <c r="G1322">
        <v>4073.08</v>
      </c>
    </row>
    <row r="1323" spans="1:7" x14ac:dyDescent="0.35">
      <c r="A1323" s="178" t="s">
        <v>1494</v>
      </c>
      <c r="B1323" s="178" t="s">
        <v>2616</v>
      </c>
      <c r="C1323" s="178" t="s">
        <v>682</v>
      </c>
      <c r="D1323" s="178" t="s">
        <v>63</v>
      </c>
      <c r="E1323">
        <v>2286.9</v>
      </c>
      <c r="F1323">
        <v>343.04</v>
      </c>
      <c r="G1323">
        <v>2629.94</v>
      </c>
    </row>
    <row r="1324" spans="1:7" x14ac:dyDescent="0.35">
      <c r="A1324" s="178" t="s">
        <v>1546</v>
      </c>
      <c r="B1324" s="178" t="s">
        <v>2617</v>
      </c>
      <c r="C1324" s="178" t="s">
        <v>682</v>
      </c>
      <c r="D1324" s="178" t="s">
        <v>63</v>
      </c>
      <c r="E1324">
        <v>7923.95</v>
      </c>
      <c r="F1324">
        <v>1188.5999999999999</v>
      </c>
      <c r="G1324">
        <v>9112.5499999999993</v>
      </c>
    </row>
    <row r="1325" spans="1:7" x14ac:dyDescent="0.35">
      <c r="A1325" s="178" t="s">
        <v>1033</v>
      </c>
      <c r="B1325" s="178" t="s">
        <v>2618</v>
      </c>
      <c r="C1325" s="178" t="s">
        <v>682</v>
      </c>
      <c r="D1325" s="178" t="s">
        <v>63</v>
      </c>
      <c r="E1325">
        <v>2686.65</v>
      </c>
      <c r="F1325">
        <v>403</v>
      </c>
      <c r="G1325">
        <v>3089.65</v>
      </c>
    </row>
    <row r="1326" spans="1:7" x14ac:dyDescent="0.35">
      <c r="A1326" s="178" t="s">
        <v>705</v>
      </c>
      <c r="B1326" s="178" t="s">
        <v>2619</v>
      </c>
      <c r="C1326" s="178" t="s">
        <v>682</v>
      </c>
      <c r="D1326" s="178" t="s">
        <v>63</v>
      </c>
      <c r="E1326">
        <v>3881.5</v>
      </c>
      <c r="F1326">
        <v>582.23</v>
      </c>
      <c r="G1326">
        <v>4463.7299999999996</v>
      </c>
    </row>
    <row r="1327" spans="1:7" x14ac:dyDescent="0.35">
      <c r="A1327" s="178" t="s">
        <v>889</v>
      </c>
      <c r="B1327" s="178" t="s">
        <v>2620</v>
      </c>
      <c r="C1327" s="178" t="s">
        <v>682</v>
      </c>
      <c r="D1327" s="178" t="s">
        <v>63</v>
      </c>
      <c r="E1327">
        <v>2447.6999999999998</v>
      </c>
      <c r="F1327">
        <v>367.16</v>
      </c>
      <c r="G1327">
        <v>2814.86</v>
      </c>
    </row>
    <row r="1328" spans="1:7" x14ac:dyDescent="0.35">
      <c r="A1328" s="178" t="s">
        <v>720</v>
      </c>
      <c r="B1328" s="178" t="s">
        <v>2621</v>
      </c>
      <c r="C1328" s="178" t="s">
        <v>682</v>
      </c>
      <c r="D1328" s="178" t="s">
        <v>63</v>
      </c>
      <c r="E1328">
        <v>4754.3999999999996</v>
      </c>
      <c r="F1328">
        <v>713.16</v>
      </c>
      <c r="G1328">
        <v>5467.56</v>
      </c>
    </row>
    <row r="1329" spans="1:7" x14ac:dyDescent="0.35">
      <c r="A1329" s="178" t="s">
        <v>1654</v>
      </c>
      <c r="B1329" s="178" t="s">
        <v>2622</v>
      </c>
      <c r="C1329" s="178" t="s">
        <v>682</v>
      </c>
      <c r="D1329" s="178" t="s">
        <v>63</v>
      </c>
      <c r="E1329">
        <v>1595.1</v>
      </c>
      <c r="F1329">
        <v>239.27</v>
      </c>
      <c r="G1329">
        <v>1834.37</v>
      </c>
    </row>
    <row r="1330" spans="1:7" x14ac:dyDescent="0.35">
      <c r="A1330" s="178" t="s">
        <v>2623</v>
      </c>
      <c r="B1330" s="178" t="s">
        <v>2624</v>
      </c>
      <c r="C1330" s="178" t="s">
        <v>682</v>
      </c>
      <c r="D1330" s="178" t="s">
        <v>63</v>
      </c>
      <c r="E1330">
        <v>1344.8</v>
      </c>
      <c r="F1330">
        <v>201.73</v>
      </c>
      <c r="G1330">
        <v>1546.53</v>
      </c>
    </row>
    <row r="1331" spans="1:7" x14ac:dyDescent="0.35">
      <c r="A1331" s="178" t="s">
        <v>2625</v>
      </c>
      <c r="B1331" s="178" t="s">
        <v>2626</v>
      </c>
      <c r="C1331" s="178" t="s">
        <v>682</v>
      </c>
      <c r="D1331" s="178" t="s">
        <v>63</v>
      </c>
      <c r="E1331">
        <v>896.75</v>
      </c>
      <c r="F1331">
        <v>134.51</v>
      </c>
      <c r="G1331">
        <v>1031.26</v>
      </c>
    </row>
    <row r="1332" spans="1:7" x14ac:dyDescent="0.35">
      <c r="A1332" s="178" t="s">
        <v>2625</v>
      </c>
      <c r="B1332" s="178" t="s">
        <v>2627</v>
      </c>
      <c r="C1332" s="178" t="s">
        <v>682</v>
      </c>
      <c r="D1332" s="178" t="s">
        <v>2628</v>
      </c>
      <c r="E1332">
        <v>226.09</v>
      </c>
      <c r="F1332">
        <v>33.909999999999997</v>
      </c>
      <c r="G1332">
        <v>260</v>
      </c>
    </row>
    <row r="1333" spans="1:7" x14ac:dyDescent="0.35">
      <c r="A1333" s="178" t="s">
        <v>1102</v>
      </c>
      <c r="B1333" s="178" t="s">
        <v>2629</v>
      </c>
      <c r="C1333" s="178" t="s">
        <v>682</v>
      </c>
      <c r="D1333" s="178" t="s">
        <v>63</v>
      </c>
      <c r="E1333">
        <v>2785.3</v>
      </c>
      <c r="F1333">
        <v>417.8</v>
      </c>
      <c r="G1333">
        <v>3203.1</v>
      </c>
    </row>
    <row r="1334" spans="1:7" x14ac:dyDescent="0.35">
      <c r="A1334" s="178" t="s">
        <v>2630</v>
      </c>
      <c r="B1334" s="178" t="s">
        <v>2631</v>
      </c>
      <c r="C1334" s="178" t="s">
        <v>682</v>
      </c>
      <c r="D1334" s="178" t="s">
        <v>63</v>
      </c>
      <c r="E1334">
        <v>3195.8</v>
      </c>
      <c r="F1334">
        <v>479.37</v>
      </c>
      <c r="G1334">
        <v>3675.17</v>
      </c>
    </row>
    <row r="1335" spans="1:7" x14ac:dyDescent="0.35">
      <c r="A1335" s="178" t="s">
        <v>573</v>
      </c>
      <c r="B1335" s="178" t="s">
        <v>2632</v>
      </c>
      <c r="C1335" s="178" t="s">
        <v>689</v>
      </c>
      <c r="D1335" s="178" t="s">
        <v>63</v>
      </c>
      <c r="E1335">
        <v>4595.3999999999996</v>
      </c>
      <c r="F1335">
        <v>689.31</v>
      </c>
      <c r="G1335">
        <v>5284.71</v>
      </c>
    </row>
    <row r="1336" spans="1:7" x14ac:dyDescent="0.35">
      <c r="A1336" s="178" t="s">
        <v>697</v>
      </c>
      <c r="B1336" s="178" t="s">
        <v>2633</v>
      </c>
      <c r="C1336" s="178" t="s">
        <v>689</v>
      </c>
      <c r="D1336" s="178" t="s">
        <v>63</v>
      </c>
      <c r="E1336">
        <v>1363.6</v>
      </c>
      <c r="F1336">
        <v>204.54</v>
      </c>
      <c r="G1336">
        <v>1568.14</v>
      </c>
    </row>
    <row r="1337" spans="1:7" x14ac:dyDescent="0.35">
      <c r="A1337" s="178" t="s">
        <v>1220</v>
      </c>
      <c r="B1337" s="178" t="s">
        <v>2634</v>
      </c>
      <c r="C1337" s="178" t="s">
        <v>689</v>
      </c>
      <c r="D1337" s="178" t="s">
        <v>63</v>
      </c>
      <c r="E1337">
        <v>1561</v>
      </c>
      <c r="F1337">
        <v>234.15</v>
      </c>
      <c r="G1337">
        <v>1795.15</v>
      </c>
    </row>
    <row r="1338" spans="1:7" x14ac:dyDescent="0.35">
      <c r="A1338" s="178" t="s">
        <v>940</v>
      </c>
      <c r="B1338" s="178" t="s">
        <v>2635</v>
      </c>
      <c r="C1338" s="178" t="s">
        <v>689</v>
      </c>
      <c r="D1338" s="178" t="s">
        <v>63</v>
      </c>
      <c r="E1338">
        <v>1664.1</v>
      </c>
      <c r="F1338">
        <v>249.62</v>
      </c>
      <c r="G1338">
        <v>1913.72</v>
      </c>
    </row>
    <row r="1339" spans="1:7" x14ac:dyDescent="0.35">
      <c r="A1339" s="178" t="s">
        <v>857</v>
      </c>
      <c r="B1339" s="178" t="s">
        <v>2636</v>
      </c>
      <c r="C1339" s="178" t="s">
        <v>689</v>
      </c>
      <c r="D1339" s="178" t="s">
        <v>63</v>
      </c>
      <c r="E1339">
        <v>1000</v>
      </c>
      <c r="F1339">
        <v>150</v>
      </c>
      <c r="G1339">
        <v>1150</v>
      </c>
    </row>
    <row r="1340" spans="1:7" x14ac:dyDescent="0.35">
      <c r="A1340" s="178" t="s">
        <v>466</v>
      </c>
      <c r="B1340" s="178" t="s">
        <v>2637</v>
      </c>
      <c r="C1340" s="178" t="s">
        <v>689</v>
      </c>
      <c r="D1340" s="178" t="s">
        <v>63</v>
      </c>
      <c r="E1340">
        <v>4998.55</v>
      </c>
      <c r="F1340">
        <v>749.79</v>
      </c>
      <c r="G1340">
        <v>5748.34</v>
      </c>
    </row>
    <row r="1341" spans="1:7" x14ac:dyDescent="0.35">
      <c r="A1341" s="178" t="s">
        <v>2638</v>
      </c>
      <c r="B1341" s="178" t="s">
        <v>2639</v>
      </c>
      <c r="C1341" s="178" t="s">
        <v>689</v>
      </c>
      <c r="D1341" s="178" t="s">
        <v>2640</v>
      </c>
      <c r="E1341">
        <v>1421.4</v>
      </c>
      <c r="F1341">
        <v>213.21</v>
      </c>
      <c r="G1341">
        <v>1634.61</v>
      </c>
    </row>
    <row r="1342" spans="1:7" x14ac:dyDescent="0.35">
      <c r="A1342" s="178" t="s">
        <v>1120</v>
      </c>
      <c r="B1342" s="178" t="s">
        <v>2641</v>
      </c>
      <c r="C1342" s="178" t="s">
        <v>689</v>
      </c>
      <c r="D1342" s="178" t="s">
        <v>63</v>
      </c>
      <c r="E1342">
        <v>4882.05</v>
      </c>
      <c r="F1342">
        <v>732.31</v>
      </c>
      <c r="G1342">
        <v>5614.36</v>
      </c>
    </row>
    <row r="1343" spans="1:7" x14ac:dyDescent="0.35">
      <c r="A1343" s="178" t="s">
        <v>573</v>
      </c>
      <c r="B1343" s="178" t="s">
        <v>2642</v>
      </c>
      <c r="C1343" s="178" t="s">
        <v>689</v>
      </c>
      <c r="D1343" s="178" t="s">
        <v>63</v>
      </c>
      <c r="E1343">
        <v>4153.8</v>
      </c>
      <c r="F1343">
        <v>623.07000000000005</v>
      </c>
      <c r="G1343">
        <v>4776.87</v>
      </c>
    </row>
    <row r="1344" spans="1:7" x14ac:dyDescent="0.35">
      <c r="A1344" s="178" t="s">
        <v>2638</v>
      </c>
      <c r="B1344" s="178" t="s">
        <v>2643</v>
      </c>
      <c r="C1344" s="178" t="s">
        <v>689</v>
      </c>
      <c r="D1344" s="178" t="s">
        <v>63</v>
      </c>
      <c r="E1344">
        <v>13172.1</v>
      </c>
      <c r="F1344">
        <v>1975.82</v>
      </c>
      <c r="G1344">
        <v>15147.92</v>
      </c>
    </row>
    <row r="1345" spans="1:7" x14ac:dyDescent="0.35">
      <c r="A1345" s="178" t="s">
        <v>2644</v>
      </c>
      <c r="B1345" s="178" t="s">
        <v>2645</v>
      </c>
      <c r="C1345" s="178" t="s">
        <v>689</v>
      </c>
      <c r="D1345" s="178" t="s">
        <v>63</v>
      </c>
      <c r="E1345">
        <v>41442.800000000003</v>
      </c>
      <c r="F1345">
        <v>6216.42</v>
      </c>
      <c r="G1345">
        <v>47659.22</v>
      </c>
    </row>
    <row r="1346" spans="1:7" x14ac:dyDescent="0.35">
      <c r="A1346" s="178" t="s">
        <v>2605</v>
      </c>
      <c r="B1346" s="178" t="s">
        <v>2646</v>
      </c>
      <c r="C1346" s="178" t="s">
        <v>689</v>
      </c>
      <c r="D1346" s="178" t="s">
        <v>63</v>
      </c>
      <c r="E1346">
        <v>1372.5</v>
      </c>
      <c r="F1346">
        <v>205.88</v>
      </c>
      <c r="G1346">
        <v>1578.38</v>
      </c>
    </row>
    <row r="1347" spans="1:7" x14ac:dyDescent="0.35">
      <c r="A1347" s="178" t="s">
        <v>968</v>
      </c>
      <c r="B1347" s="178" t="s">
        <v>2647</v>
      </c>
      <c r="C1347" s="178" t="s">
        <v>689</v>
      </c>
      <c r="D1347" s="178" t="s">
        <v>63</v>
      </c>
      <c r="E1347">
        <v>35948.400000000001</v>
      </c>
      <c r="F1347">
        <v>5392.26</v>
      </c>
      <c r="G1347">
        <v>41340.660000000003</v>
      </c>
    </row>
    <row r="1348" spans="1:7" x14ac:dyDescent="0.35">
      <c r="A1348" s="178" t="s">
        <v>940</v>
      </c>
      <c r="B1348" s="178" t="s">
        <v>2648</v>
      </c>
      <c r="C1348" s="178" t="s">
        <v>689</v>
      </c>
      <c r="D1348" s="178" t="s">
        <v>63</v>
      </c>
      <c r="E1348">
        <v>795.5</v>
      </c>
      <c r="F1348">
        <v>119.33</v>
      </c>
      <c r="G1348">
        <v>914.83</v>
      </c>
    </row>
    <row r="1349" spans="1:7" x14ac:dyDescent="0.35">
      <c r="A1349" s="178" t="s">
        <v>976</v>
      </c>
      <c r="B1349" s="178" t="s">
        <v>2649</v>
      </c>
      <c r="C1349" s="178" t="s">
        <v>689</v>
      </c>
      <c r="D1349" s="178" t="s">
        <v>63</v>
      </c>
      <c r="E1349">
        <v>13435.95</v>
      </c>
      <c r="F1349">
        <v>2015.39</v>
      </c>
      <c r="G1349">
        <v>15451.34</v>
      </c>
    </row>
    <row r="1350" spans="1:7" x14ac:dyDescent="0.35">
      <c r="A1350" s="178" t="s">
        <v>2644</v>
      </c>
      <c r="B1350" s="178" t="s">
        <v>2650</v>
      </c>
      <c r="C1350" s="178" t="s">
        <v>689</v>
      </c>
      <c r="D1350" s="178" t="s">
        <v>63</v>
      </c>
      <c r="E1350">
        <v>41250.1</v>
      </c>
      <c r="F1350">
        <v>6187.52</v>
      </c>
      <c r="G1350">
        <v>47437.62</v>
      </c>
    </row>
    <row r="1351" spans="1:7" x14ac:dyDescent="0.35">
      <c r="A1351" s="178" t="s">
        <v>1293</v>
      </c>
      <c r="B1351" s="178" t="s">
        <v>2651</v>
      </c>
      <c r="C1351" s="178" t="s">
        <v>689</v>
      </c>
      <c r="D1351" s="178" t="s">
        <v>63</v>
      </c>
      <c r="E1351">
        <v>3120.75</v>
      </c>
      <c r="F1351">
        <v>468.11</v>
      </c>
      <c r="G1351">
        <v>3588.86</v>
      </c>
    </row>
    <row r="1352" spans="1:7" x14ac:dyDescent="0.35">
      <c r="A1352" s="178" t="s">
        <v>663</v>
      </c>
      <c r="B1352" s="178" t="s">
        <v>2652</v>
      </c>
      <c r="C1352" s="178" t="s">
        <v>689</v>
      </c>
      <c r="D1352" s="178" t="s">
        <v>63</v>
      </c>
      <c r="E1352">
        <v>1589.45</v>
      </c>
      <c r="F1352">
        <v>238.42</v>
      </c>
      <c r="G1352">
        <v>1827.87</v>
      </c>
    </row>
    <row r="1353" spans="1:7" x14ac:dyDescent="0.35">
      <c r="A1353" s="178" t="s">
        <v>756</v>
      </c>
      <c r="B1353" s="178" t="s">
        <v>2653</v>
      </c>
      <c r="C1353" s="178" t="s">
        <v>689</v>
      </c>
      <c r="D1353" s="178" t="s">
        <v>63</v>
      </c>
      <c r="E1353">
        <v>17661.45</v>
      </c>
      <c r="F1353">
        <v>2649.22</v>
      </c>
      <c r="G1353">
        <v>20310.669999999998</v>
      </c>
    </row>
    <row r="1354" spans="1:7" x14ac:dyDescent="0.35">
      <c r="A1354" s="178" t="s">
        <v>1074</v>
      </c>
      <c r="B1354" s="178" t="s">
        <v>2654</v>
      </c>
      <c r="C1354" s="178" t="s">
        <v>689</v>
      </c>
      <c r="D1354" s="178" t="s">
        <v>63</v>
      </c>
      <c r="E1354">
        <v>3567.5</v>
      </c>
      <c r="F1354">
        <v>535.13</v>
      </c>
      <c r="G1354">
        <v>4102.63</v>
      </c>
    </row>
    <row r="1355" spans="1:7" x14ac:dyDescent="0.35">
      <c r="A1355" s="178" t="s">
        <v>1417</v>
      </c>
      <c r="B1355" s="178" t="s">
        <v>2655</v>
      </c>
      <c r="C1355" s="178" t="s">
        <v>689</v>
      </c>
      <c r="D1355" s="178" t="s">
        <v>2656</v>
      </c>
      <c r="E1355">
        <v>3805.25</v>
      </c>
      <c r="F1355">
        <v>570.79</v>
      </c>
      <c r="G1355">
        <v>4376.04</v>
      </c>
    </row>
    <row r="1356" spans="1:7" x14ac:dyDescent="0.35">
      <c r="A1356" s="178" t="s">
        <v>2657</v>
      </c>
      <c r="B1356" s="178" t="s">
        <v>2658</v>
      </c>
      <c r="C1356" s="178" t="s">
        <v>689</v>
      </c>
      <c r="D1356" s="178" t="s">
        <v>63</v>
      </c>
      <c r="E1356">
        <v>5218.2</v>
      </c>
      <c r="F1356">
        <v>782.73</v>
      </c>
      <c r="G1356">
        <v>6000.93</v>
      </c>
    </row>
    <row r="1357" spans="1:7" x14ac:dyDescent="0.35">
      <c r="A1357" s="178" t="s">
        <v>747</v>
      </c>
      <c r="B1357" s="178" t="s">
        <v>2659</v>
      </c>
      <c r="C1357" s="178" t="s">
        <v>689</v>
      </c>
      <c r="D1357" s="178" t="s">
        <v>63</v>
      </c>
      <c r="E1357">
        <v>5289</v>
      </c>
      <c r="F1357">
        <v>793.36</v>
      </c>
      <c r="G1357">
        <v>6082.36</v>
      </c>
    </row>
    <row r="1358" spans="1:7" x14ac:dyDescent="0.35">
      <c r="A1358" s="178" t="s">
        <v>778</v>
      </c>
      <c r="B1358" s="178" t="s">
        <v>2660</v>
      </c>
      <c r="C1358" s="178" t="s">
        <v>689</v>
      </c>
      <c r="D1358" s="178" t="s">
        <v>780</v>
      </c>
      <c r="E1358">
        <v>769.95</v>
      </c>
      <c r="F1358">
        <v>115.49</v>
      </c>
      <c r="G1358">
        <v>885.44</v>
      </c>
    </row>
    <row r="1359" spans="1:7" x14ac:dyDescent="0.35">
      <c r="A1359" s="178" t="s">
        <v>687</v>
      </c>
      <c r="B1359" s="178" t="s">
        <v>2661</v>
      </c>
      <c r="C1359" s="178" t="s">
        <v>689</v>
      </c>
      <c r="D1359" s="178" t="s">
        <v>1379</v>
      </c>
      <c r="E1359">
        <v>2861.95</v>
      </c>
      <c r="F1359">
        <v>429.29</v>
      </c>
      <c r="G1359">
        <v>3291.24</v>
      </c>
    </row>
    <row r="1360" spans="1:7" x14ac:dyDescent="0.35">
      <c r="A1360" s="178" t="s">
        <v>1431</v>
      </c>
      <c r="B1360" s="178" t="s">
        <v>2662</v>
      </c>
      <c r="C1360" s="178" t="s">
        <v>689</v>
      </c>
      <c r="D1360" s="178" t="s">
        <v>63</v>
      </c>
      <c r="E1360">
        <v>4076.1</v>
      </c>
      <c r="F1360">
        <v>611.41999999999996</v>
      </c>
      <c r="G1360">
        <v>4687.5200000000004</v>
      </c>
    </row>
    <row r="1361" spans="1:7" x14ac:dyDescent="0.35">
      <c r="A1361" s="178" t="s">
        <v>484</v>
      </c>
      <c r="B1361" s="178" t="s">
        <v>2663</v>
      </c>
      <c r="C1361" s="178" t="s">
        <v>689</v>
      </c>
      <c r="D1361" s="178" t="s">
        <v>63</v>
      </c>
      <c r="E1361">
        <v>1484.2</v>
      </c>
      <c r="F1361">
        <v>222.64</v>
      </c>
      <c r="G1361">
        <v>1706.84</v>
      </c>
    </row>
    <row r="1362" spans="1:7" x14ac:dyDescent="0.35">
      <c r="A1362" s="178" t="s">
        <v>541</v>
      </c>
      <c r="B1362" s="178" t="s">
        <v>2664</v>
      </c>
      <c r="C1362" s="178" t="s">
        <v>689</v>
      </c>
      <c r="D1362" s="178" t="s">
        <v>63</v>
      </c>
      <c r="E1362">
        <v>1171.8</v>
      </c>
      <c r="F1362">
        <v>175.77</v>
      </c>
      <c r="G1362">
        <v>1347.57</v>
      </c>
    </row>
    <row r="1363" spans="1:7" x14ac:dyDescent="0.35">
      <c r="A1363" s="178" t="s">
        <v>529</v>
      </c>
      <c r="B1363" s="178" t="s">
        <v>2665</v>
      </c>
      <c r="C1363" s="178" t="s">
        <v>689</v>
      </c>
      <c r="D1363" s="178" t="s">
        <v>63</v>
      </c>
      <c r="E1363">
        <v>5398.35</v>
      </c>
      <c r="F1363">
        <v>809.75</v>
      </c>
      <c r="G1363">
        <v>6208.1</v>
      </c>
    </row>
    <row r="1364" spans="1:7" x14ac:dyDescent="0.35">
      <c r="A1364" s="178" t="s">
        <v>2666</v>
      </c>
      <c r="B1364" s="178" t="s">
        <v>2667</v>
      </c>
      <c r="C1364" s="178" t="s">
        <v>689</v>
      </c>
      <c r="D1364" s="178" t="s">
        <v>63</v>
      </c>
      <c r="E1364">
        <v>3128</v>
      </c>
      <c r="F1364">
        <v>469.2</v>
      </c>
      <c r="G1364">
        <v>3597.2</v>
      </c>
    </row>
    <row r="1365" spans="1:7" x14ac:dyDescent="0.35">
      <c r="A1365" s="178" t="s">
        <v>691</v>
      </c>
      <c r="B1365" s="178" t="s">
        <v>2668</v>
      </c>
      <c r="C1365" s="178" t="s">
        <v>689</v>
      </c>
      <c r="D1365" s="178" t="s">
        <v>63</v>
      </c>
      <c r="E1365">
        <v>5893.15</v>
      </c>
      <c r="F1365">
        <v>883.97</v>
      </c>
      <c r="G1365">
        <v>6777.12</v>
      </c>
    </row>
    <row r="1366" spans="1:7" x14ac:dyDescent="0.35">
      <c r="A1366" s="178" t="s">
        <v>691</v>
      </c>
      <c r="B1366" s="178" t="s">
        <v>2669</v>
      </c>
      <c r="C1366" s="178" t="s">
        <v>689</v>
      </c>
      <c r="D1366" s="178" t="s">
        <v>63</v>
      </c>
      <c r="E1366">
        <v>4219.6000000000004</v>
      </c>
      <c r="F1366">
        <v>632.94000000000005</v>
      </c>
      <c r="G1366">
        <v>4852.54</v>
      </c>
    </row>
    <row r="1367" spans="1:7" x14ac:dyDescent="0.35">
      <c r="A1367" s="178" t="s">
        <v>544</v>
      </c>
      <c r="B1367" s="178" t="s">
        <v>2670</v>
      </c>
      <c r="C1367" s="178" t="s">
        <v>689</v>
      </c>
      <c r="D1367" s="178" t="s">
        <v>63</v>
      </c>
      <c r="E1367">
        <v>5914.68</v>
      </c>
      <c r="F1367">
        <v>887.2</v>
      </c>
      <c r="G1367">
        <v>6801.88</v>
      </c>
    </row>
    <row r="1368" spans="1:7" x14ac:dyDescent="0.35">
      <c r="A1368" s="178" t="s">
        <v>2671</v>
      </c>
      <c r="B1368" s="178" t="s">
        <v>2672</v>
      </c>
      <c r="C1368" s="178" t="s">
        <v>689</v>
      </c>
      <c r="D1368" s="178" t="s">
        <v>63</v>
      </c>
      <c r="E1368">
        <v>858.5</v>
      </c>
      <c r="F1368">
        <v>128.78</v>
      </c>
      <c r="G1368">
        <v>987.28</v>
      </c>
    </row>
    <row r="1369" spans="1:7" x14ac:dyDescent="0.35">
      <c r="A1369" s="178" t="s">
        <v>879</v>
      </c>
      <c r="B1369" s="178" t="s">
        <v>2673</v>
      </c>
      <c r="C1369" s="178" t="s">
        <v>689</v>
      </c>
      <c r="D1369" s="178" t="s">
        <v>2425</v>
      </c>
      <c r="E1369">
        <v>4420.3</v>
      </c>
      <c r="F1369">
        <v>663.04</v>
      </c>
      <c r="G1369">
        <v>5083.34</v>
      </c>
    </row>
    <row r="1370" spans="1:7" x14ac:dyDescent="0.35">
      <c r="A1370" s="178" t="s">
        <v>634</v>
      </c>
      <c r="B1370" s="178" t="s">
        <v>2674</v>
      </c>
      <c r="C1370" s="178" t="s">
        <v>689</v>
      </c>
      <c r="D1370" s="178" t="s">
        <v>63</v>
      </c>
      <c r="E1370">
        <v>14500</v>
      </c>
      <c r="F1370">
        <v>2175</v>
      </c>
      <c r="G1370">
        <v>16675</v>
      </c>
    </row>
    <row r="1371" spans="1:7" x14ac:dyDescent="0.35">
      <c r="A1371" s="178" t="s">
        <v>1846</v>
      </c>
      <c r="B1371" s="178" t="s">
        <v>2675</v>
      </c>
      <c r="C1371" s="178" t="s">
        <v>689</v>
      </c>
      <c r="D1371" s="178" t="s">
        <v>63</v>
      </c>
      <c r="E1371">
        <v>1199.9000000000001</v>
      </c>
      <c r="F1371">
        <v>179.99</v>
      </c>
      <c r="G1371">
        <v>1379.89</v>
      </c>
    </row>
    <row r="1372" spans="1:7" x14ac:dyDescent="0.35">
      <c r="A1372" s="178" t="s">
        <v>1433</v>
      </c>
      <c r="B1372" s="178" t="s">
        <v>2676</v>
      </c>
      <c r="C1372" s="178" t="s">
        <v>689</v>
      </c>
      <c r="D1372" s="178" t="s">
        <v>2677</v>
      </c>
      <c r="E1372">
        <v>1400.4</v>
      </c>
      <c r="F1372">
        <v>210.06</v>
      </c>
      <c r="G1372">
        <v>1610.46</v>
      </c>
    </row>
    <row r="1373" spans="1:7" x14ac:dyDescent="0.35">
      <c r="A1373" s="178" t="s">
        <v>925</v>
      </c>
      <c r="B1373" s="178" t="s">
        <v>2678</v>
      </c>
      <c r="C1373" s="178" t="s">
        <v>689</v>
      </c>
      <c r="D1373" s="178" t="s">
        <v>63</v>
      </c>
      <c r="E1373">
        <v>14304.3</v>
      </c>
      <c r="F1373">
        <v>2145.65</v>
      </c>
      <c r="G1373">
        <v>16449.95</v>
      </c>
    </row>
    <row r="1374" spans="1:7" x14ac:dyDescent="0.35">
      <c r="A1374" s="178" t="s">
        <v>1713</v>
      </c>
      <c r="B1374" s="178" t="s">
        <v>2679</v>
      </c>
      <c r="C1374" s="178" t="s">
        <v>689</v>
      </c>
      <c r="D1374" s="178" t="s">
        <v>63</v>
      </c>
      <c r="E1374">
        <v>1449.65</v>
      </c>
      <c r="F1374">
        <v>217.45</v>
      </c>
      <c r="G1374">
        <v>1667.1</v>
      </c>
    </row>
    <row r="1375" spans="1:7" x14ac:dyDescent="0.35">
      <c r="A1375" s="178" t="s">
        <v>582</v>
      </c>
      <c r="B1375" s="178" t="s">
        <v>2680</v>
      </c>
      <c r="C1375" s="178" t="s">
        <v>689</v>
      </c>
      <c r="D1375" s="178" t="s">
        <v>63</v>
      </c>
      <c r="E1375">
        <v>612.25</v>
      </c>
      <c r="F1375">
        <v>91.84</v>
      </c>
      <c r="G1375">
        <v>704.09</v>
      </c>
    </row>
    <row r="1376" spans="1:7" x14ac:dyDescent="0.35">
      <c r="A1376" s="178" t="s">
        <v>1354</v>
      </c>
      <c r="B1376" s="178" t="s">
        <v>2681</v>
      </c>
      <c r="C1376" s="178" t="s">
        <v>689</v>
      </c>
      <c r="D1376" s="178" t="s">
        <v>63</v>
      </c>
      <c r="E1376">
        <v>10728.3</v>
      </c>
      <c r="F1376">
        <v>1609.25</v>
      </c>
      <c r="G1376">
        <v>12337.55</v>
      </c>
    </row>
    <row r="1377" spans="1:7" x14ac:dyDescent="0.35">
      <c r="A1377" s="178" t="s">
        <v>1402</v>
      </c>
      <c r="B1377" s="178" t="s">
        <v>2682</v>
      </c>
      <c r="C1377" s="178" t="s">
        <v>689</v>
      </c>
      <c r="D1377" s="178" t="s">
        <v>63</v>
      </c>
      <c r="E1377">
        <v>2227.25</v>
      </c>
      <c r="F1377">
        <v>334.09</v>
      </c>
      <c r="G1377">
        <v>2561.34</v>
      </c>
    </row>
    <row r="1378" spans="1:7" x14ac:dyDescent="0.35">
      <c r="A1378" s="178" t="s">
        <v>2683</v>
      </c>
      <c r="B1378" s="178" t="s">
        <v>2684</v>
      </c>
      <c r="C1378" s="178" t="s">
        <v>689</v>
      </c>
      <c r="D1378" s="178" t="s">
        <v>63</v>
      </c>
      <c r="E1378">
        <v>3385.35</v>
      </c>
      <c r="F1378">
        <v>507.81</v>
      </c>
      <c r="G1378">
        <v>3893.16</v>
      </c>
    </row>
    <row r="1379" spans="1:7" x14ac:dyDescent="0.35">
      <c r="A1379" s="178" t="s">
        <v>723</v>
      </c>
      <c r="B1379" s="178" t="s">
        <v>2685</v>
      </c>
      <c r="C1379" s="178" t="s">
        <v>689</v>
      </c>
      <c r="D1379" s="178" t="s">
        <v>63</v>
      </c>
      <c r="E1379">
        <v>1113</v>
      </c>
      <c r="F1379">
        <v>166.95</v>
      </c>
      <c r="G1379">
        <v>1279.95</v>
      </c>
    </row>
    <row r="1380" spans="1:7" x14ac:dyDescent="0.35">
      <c r="A1380" s="178" t="s">
        <v>1035</v>
      </c>
      <c r="B1380" s="178" t="s">
        <v>2686</v>
      </c>
      <c r="C1380" s="178" t="s">
        <v>689</v>
      </c>
      <c r="D1380" s="178" t="s">
        <v>63</v>
      </c>
      <c r="E1380">
        <v>2154.6</v>
      </c>
      <c r="F1380">
        <v>323.19</v>
      </c>
      <c r="G1380">
        <v>2477.79</v>
      </c>
    </row>
    <row r="1381" spans="1:7" x14ac:dyDescent="0.35">
      <c r="A1381" s="178" t="s">
        <v>2687</v>
      </c>
      <c r="B1381" s="178" t="s">
        <v>2688</v>
      </c>
      <c r="C1381" s="178" t="s">
        <v>689</v>
      </c>
      <c r="D1381" s="178" t="s">
        <v>63</v>
      </c>
      <c r="E1381">
        <v>6153.1</v>
      </c>
      <c r="F1381">
        <v>922.97</v>
      </c>
      <c r="G1381">
        <v>7076.07</v>
      </c>
    </row>
    <row r="1382" spans="1:7" x14ac:dyDescent="0.35">
      <c r="A1382" s="178" t="s">
        <v>1697</v>
      </c>
      <c r="B1382" s="178" t="s">
        <v>2689</v>
      </c>
      <c r="C1382" s="178" t="s">
        <v>689</v>
      </c>
      <c r="D1382" s="178" t="s">
        <v>1699</v>
      </c>
      <c r="E1382">
        <v>2775.25</v>
      </c>
      <c r="F1382">
        <v>416.3</v>
      </c>
      <c r="G1382">
        <v>3191.55</v>
      </c>
    </row>
    <row r="1383" spans="1:7" x14ac:dyDescent="0.35">
      <c r="A1383" s="178" t="s">
        <v>1697</v>
      </c>
      <c r="B1383" s="178" t="s">
        <v>2690</v>
      </c>
      <c r="C1383" s="178" t="s">
        <v>689</v>
      </c>
      <c r="D1383" s="178" t="s">
        <v>63</v>
      </c>
      <c r="E1383">
        <v>832</v>
      </c>
      <c r="F1383">
        <v>124.8</v>
      </c>
      <c r="G1383">
        <v>956.8</v>
      </c>
    </row>
    <row r="1384" spans="1:7" x14ac:dyDescent="0.35">
      <c r="A1384" s="178" t="s">
        <v>634</v>
      </c>
      <c r="B1384" s="178" t="s">
        <v>2691</v>
      </c>
      <c r="C1384" s="178" t="s">
        <v>689</v>
      </c>
      <c r="D1384" s="178" t="s">
        <v>63</v>
      </c>
      <c r="E1384">
        <v>936</v>
      </c>
      <c r="F1384">
        <v>140.4</v>
      </c>
      <c r="G1384">
        <v>1076.4000000000001</v>
      </c>
    </row>
    <row r="1385" spans="1:7" x14ac:dyDescent="0.35">
      <c r="A1385" s="178" t="s">
        <v>551</v>
      </c>
      <c r="B1385" s="178" t="s">
        <v>2692</v>
      </c>
      <c r="C1385" s="178" t="s">
        <v>689</v>
      </c>
      <c r="D1385" s="178" t="s">
        <v>63</v>
      </c>
      <c r="E1385">
        <v>1333.5</v>
      </c>
      <c r="F1385">
        <v>200.03</v>
      </c>
      <c r="G1385">
        <v>1533.53</v>
      </c>
    </row>
    <row r="1386" spans="1:7" x14ac:dyDescent="0.35">
      <c r="A1386" s="178" t="s">
        <v>2693</v>
      </c>
      <c r="B1386" s="178" t="s">
        <v>2694</v>
      </c>
      <c r="C1386" s="178" t="s">
        <v>689</v>
      </c>
      <c r="D1386" s="178" t="s">
        <v>63</v>
      </c>
      <c r="E1386">
        <v>4534.5</v>
      </c>
      <c r="F1386">
        <v>680.18</v>
      </c>
      <c r="G1386">
        <v>5214.68</v>
      </c>
    </row>
    <row r="1387" spans="1:7" x14ac:dyDescent="0.35">
      <c r="A1387" s="178" t="s">
        <v>691</v>
      </c>
      <c r="B1387" s="178" t="s">
        <v>2695</v>
      </c>
      <c r="C1387" s="178" t="s">
        <v>689</v>
      </c>
      <c r="D1387" s="178" t="s">
        <v>63</v>
      </c>
      <c r="E1387">
        <v>600</v>
      </c>
      <c r="F1387">
        <v>90</v>
      </c>
      <c r="G1387">
        <v>690</v>
      </c>
    </row>
    <row r="1388" spans="1:7" x14ac:dyDescent="0.35">
      <c r="A1388" s="178" t="s">
        <v>2696</v>
      </c>
      <c r="B1388" s="178" t="s">
        <v>2697</v>
      </c>
      <c r="C1388" s="178" t="s">
        <v>689</v>
      </c>
      <c r="D1388" s="178" t="s">
        <v>63</v>
      </c>
      <c r="E1388">
        <v>867</v>
      </c>
      <c r="F1388">
        <v>130.05000000000001</v>
      </c>
      <c r="G1388">
        <v>997.05</v>
      </c>
    </row>
    <row r="1389" spans="1:7" x14ac:dyDescent="0.35">
      <c r="A1389" s="178" t="s">
        <v>1245</v>
      </c>
      <c r="B1389" s="178" t="s">
        <v>2698</v>
      </c>
      <c r="C1389" s="178" t="s">
        <v>689</v>
      </c>
      <c r="D1389" s="178" t="s">
        <v>63</v>
      </c>
      <c r="E1389">
        <v>88278.7</v>
      </c>
      <c r="F1389">
        <v>13241.81</v>
      </c>
      <c r="G1389">
        <v>101520.51</v>
      </c>
    </row>
    <row r="1390" spans="1:7" x14ac:dyDescent="0.35">
      <c r="A1390" s="178" t="s">
        <v>450</v>
      </c>
      <c r="B1390" s="178" t="s">
        <v>2699</v>
      </c>
      <c r="C1390" s="178" t="s">
        <v>689</v>
      </c>
      <c r="D1390" s="178" t="s">
        <v>63</v>
      </c>
      <c r="E1390">
        <v>22156.65</v>
      </c>
      <c r="F1390">
        <v>3323.5</v>
      </c>
      <c r="G1390">
        <v>25480.15</v>
      </c>
    </row>
    <row r="1391" spans="1:7" x14ac:dyDescent="0.35">
      <c r="A1391" s="178" t="s">
        <v>460</v>
      </c>
      <c r="B1391" s="178" t="s">
        <v>2700</v>
      </c>
      <c r="C1391" s="178" t="s">
        <v>689</v>
      </c>
      <c r="D1391" s="178" t="s">
        <v>63</v>
      </c>
      <c r="E1391">
        <v>1326.4</v>
      </c>
      <c r="F1391">
        <v>198.96</v>
      </c>
      <c r="G1391">
        <v>1525.36</v>
      </c>
    </row>
    <row r="1392" spans="1:7" x14ac:dyDescent="0.35">
      <c r="A1392" s="178" t="s">
        <v>968</v>
      </c>
      <c r="B1392" s="178" t="s">
        <v>2701</v>
      </c>
      <c r="C1392" s="178" t="s">
        <v>689</v>
      </c>
      <c r="D1392" s="178" t="s">
        <v>63</v>
      </c>
      <c r="E1392">
        <v>836.93</v>
      </c>
      <c r="F1392">
        <v>125.54</v>
      </c>
      <c r="G1392">
        <v>962.47</v>
      </c>
    </row>
    <row r="1393" spans="1:7" x14ac:dyDescent="0.35">
      <c r="A1393" s="178" t="s">
        <v>697</v>
      </c>
      <c r="B1393" s="178" t="s">
        <v>2702</v>
      </c>
      <c r="C1393" s="178" t="s">
        <v>699</v>
      </c>
      <c r="D1393" s="178" t="s">
        <v>63</v>
      </c>
      <c r="E1393">
        <v>1204</v>
      </c>
      <c r="F1393">
        <v>180.6</v>
      </c>
      <c r="G1393">
        <v>1384.6</v>
      </c>
    </row>
    <row r="1394" spans="1:7" x14ac:dyDescent="0.35">
      <c r="A1394" s="178" t="s">
        <v>2703</v>
      </c>
      <c r="B1394" s="178" t="s">
        <v>2704</v>
      </c>
      <c r="C1394" s="178" t="s">
        <v>699</v>
      </c>
      <c r="D1394" s="178" t="s">
        <v>63</v>
      </c>
      <c r="E1394">
        <v>5756.25</v>
      </c>
      <c r="F1394">
        <v>863.44</v>
      </c>
      <c r="G1394">
        <v>6619.69</v>
      </c>
    </row>
    <row r="1395" spans="1:7" x14ac:dyDescent="0.35">
      <c r="A1395" s="178" t="s">
        <v>2705</v>
      </c>
      <c r="B1395" s="178" t="s">
        <v>2706</v>
      </c>
      <c r="C1395" s="178" t="s">
        <v>699</v>
      </c>
      <c r="D1395" s="178" t="s">
        <v>63</v>
      </c>
      <c r="E1395">
        <v>1324.95</v>
      </c>
      <c r="F1395">
        <v>198.74</v>
      </c>
      <c r="G1395">
        <v>1523.69</v>
      </c>
    </row>
    <row r="1396" spans="1:7" x14ac:dyDescent="0.35">
      <c r="A1396" s="178" t="s">
        <v>917</v>
      </c>
      <c r="B1396" s="178" t="s">
        <v>2707</v>
      </c>
      <c r="C1396" s="178" t="s">
        <v>699</v>
      </c>
      <c r="D1396" s="178" t="s">
        <v>63</v>
      </c>
      <c r="E1396">
        <v>9134.4</v>
      </c>
      <c r="F1396">
        <v>1370.16</v>
      </c>
      <c r="G1396">
        <v>10504.56</v>
      </c>
    </row>
    <row r="1397" spans="1:7" x14ac:dyDescent="0.35">
      <c r="A1397" s="178" t="s">
        <v>1055</v>
      </c>
      <c r="B1397" s="178" t="s">
        <v>2708</v>
      </c>
      <c r="C1397" s="178" t="s">
        <v>699</v>
      </c>
      <c r="D1397" s="178" t="s">
        <v>63</v>
      </c>
      <c r="E1397">
        <v>79720.2</v>
      </c>
      <c r="F1397">
        <v>11958.03</v>
      </c>
      <c r="G1397">
        <v>91678.23</v>
      </c>
    </row>
    <row r="1398" spans="1:7" x14ac:dyDescent="0.35">
      <c r="A1398" s="178" t="s">
        <v>1538</v>
      </c>
      <c r="B1398" s="178" t="s">
        <v>2709</v>
      </c>
      <c r="C1398" s="178" t="s">
        <v>699</v>
      </c>
      <c r="D1398" s="178" t="s">
        <v>63</v>
      </c>
      <c r="E1398">
        <v>31434.3</v>
      </c>
      <c r="F1398">
        <v>4715.1499999999996</v>
      </c>
      <c r="G1398">
        <v>36149.449999999997</v>
      </c>
    </row>
    <row r="1399" spans="1:7" x14ac:dyDescent="0.35">
      <c r="A1399" s="178" t="s">
        <v>2644</v>
      </c>
      <c r="B1399" s="178" t="s">
        <v>2710</v>
      </c>
      <c r="C1399" s="178" t="s">
        <v>699</v>
      </c>
      <c r="D1399" s="178" t="s">
        <v>2711</v>
      </c>
      <c r="E1399">
        <v>38209.050000000003</v>
      </c>
      <c r="F1399">
        <v>5731.36</v>
      </c>
      <c r="G1399">
        <v>43940.41</v>
      </c>
    </row>
    <row r="1400" spans="1:7" x14ac:dyDescent="0.35">
      <c r="A1400" s="178" t="s">
        <v>430</v>
      </c>
      <c r="B1400" s="178" t="s">
        <v>2712</v>
      </c>
      <c r="C1400" s="178" t="s">
        <v>699</v>
      </c>
      <c r="D1400" s="178" t="s">
        <v>63</v>
      </c>
      <c r="E1400">
        <v>17430.599999999999</v>
      </c>
      <c r="F1400">
        <v>2614.59</v>
      </c>
      <c r="G1400">
        <v>20045.189999999999</v>
      </c>
    </row>
    <row r="1401" spans="1:7" x14ac:dyDescent="0.35">
      <c r="A1401" s="178" t="s">
        <v>2072</v>
      </c>
      <c r="B1401" s="178" t="s">
        <v>2713</v>
      </c>
      <c r="C1401" s="178" t="s">
        <v>699</v>
      </c>
      <c r="D1401" s="178" t="s">
        <v>63</v>
      </c>
      <c r="E1401">
        <v>3586.35</v>
      </c>
      <c r="F1401">
        <v>537.96</v>
      </c>
      <c r="G1401">
        <v>4124.3100000000004</v>
      </c>
    </row>
    <row r="1402" spans="1:7" x14ac:dyDescent="0.35">
      <c r="A1402" s="178" t="s">
        <v>529</v>
      </c>
      <c r="B1402" s="178" t="s">
        <v>2714</v>
      </c>
      <c r="C1402" s="178" t="s">
        <v>699</v>
      </c>
      <c r="D1402" s="178" t="s">
        <v>63</v>
      </c>
      <c r="E1402">
        <v>2656.25</v>
      </c>
      <c r="F1402">
        <v>398.44</v>
      </c>
      <c r="G1402">
        <v>3054.69</v>
      </c>
    </row>
    <row r="1403" spans="1:7" x14ac:dyDescent="0.35">
      <c r="A1403" s="178" t="s">
        <v>1737</v>
      </c>
      <c r="B1403" s="178" t="s">
        <v>2715</v>
      </c>
      <c r="C1403" s="178" t="s">
        <v>699</v>
      </c>
      <c r="D1403" s="178" t="s">
        <v>2716</v>
      </c>
      <c r="E1403">
        <v>39179.599999999999</v>
      </c>
      <c r="F1403" s="178" t="s">
        <v>63</v>
      </c>
      <c r="G1403">
        <v>39179.599999999999</v>
      </c>
    </row>
    <row r="1404" spans="1:7" x14ac:dyDescent="0.35">
      <c r="A1404" s="178" t="s">
        <v>663</v>
      </c>
      <c r="B1404" s="178" t="s">
        <v>2717</v>
      </c>
      <c r="C1404" s="178" t="s">
        <v>699</v>
      </c>
      <c r="D1404" s="178" t="s">
        <v>63</v>
      </c>
      <c r="E1404">
        <v>6589.2</v>
      </c>
      <c r="F1404">
        <v>988.38</v>
      </c>
      <c r="G1404">
        <v>7577.58</v>
      </c>
    </row>
    <row r="1405" spans="1:7" x14ac:dyDescent="0.35">
      <c r="A1405" s="178" t="s">
        <v>2718</v>
      </c>
      <c r="B1405" s="178" t="s">
        <v>2719</v>
      </c>
      <c r="C1405" s="178" t="s">
        <v>699</v>
      </c>
      <c r="D1405" s="178" t="s">
        <v>63</v>
      </c>
      <c r="E1405">
        <v>15322.5</v>
      </c>
      <c r="F1405">
        <v>2298.38</v>
      </c>
      <c r="G1405">
        <v>17620.88</v>
      </c>
    </row>
    <row r="1406" spans="1:7" x14ac:dyDescent="0.35">
      <c r="A1406" s="178" t="s">
        <v>535</v>
      </c>
      <c r="B1406" s="178" t="s">
        <v>2720</v>
      </c>
      <c r="C1406" s="178" t="s">
        <v>699</v>
      </c>
      <c r="D1406" s="178" t="s">
        <v>2721</v>
      </c>
      <c r="E1406">
        <v>2857</v>
      </c>
      <c r="F1406">
        <v>428.55</v>
      </c>
      <c r="G1406">
        <v>3285.55</v>
      </c>
    </row>
    <row r="1407" spans="1:7" x14ac:dyDescent="0.35">
      <c r="A1407" s="178" t="s">
        <v>460</v>
      </c>
      <c r="B1407" s="178" t="s">
        <v>2722</v>
      </c>
      <c r="C1407" s="178" t="s">
        <v>699</v>
      </c>
      <c r="D1407" s="178" t="s">
        <v>2723</v>
      </c>
      <c r="E1407">
        <v>3961.8</v>
      </c>
      <c r="F1407">
        <v>594.27</v>
      </c>
      <c r="G1407">
        <v>4556.07</v>
      </c>
    </row>
    <row r="1408" spans="1:7" x14ac:dyDescent="0.35">
      <c r="A1408" s="178" t="s">
        <v>1238</v>
      </c>
      <c r="B1408" s="178" t="s">
        <v>2724</v>
      </c>
      <c r="C1408" s="178" t="s">
        <v>699</v>
      </c>
      <c r="D1408" s="178" t="s">
        <v>63</v>
      </c>
      <c r="E1408">
        <v>1678.2</v>
      </c>
      <c r="F1408">
        <v>251.73</v>
      </c>
      <c r="G1408">
        <v>1929.93</v>
      </c>
    </row>
    <row r="1409" spans="1:7" x14ac:dyDescent="0.35">
      <c r="A1409" s="178" t="s">
        <v>2725</v>
      </c>
      <c r="B1409" s="178" t="s">
        <v>2726</v>
      </c>
      <c r="C1409" s="178" t="s">
        <v>699</v>
      </c>
      <c r="D1409" s="178" t="s">
        <v>2727</v>
      </c>
      <c r="E1409">
        <v>5178.45</v>
      </c>
      <c r="F1409">
        <v>776.77</v>
      </c>
      <c r="G1409">
        <v>5955.22</v>
      </c>
    </row>
    <row r="1410" spans="1:7" x14ac:dyDescent="0.35">
      <c r="A1410" s="178" t="s">
        <v>772</v>
      </c>
      <c r="B1410" s="178" t="s">
        <v>2728</v>
      </c>
      <c r="C1410" s="178" t="s">
        <v>699</v>
      </c>
      <c r="D1410" s="178" t="s">
        <v>63</v>
      </c>
      <c r="E1410">
        <v>1364.85</v>
      </c>
      <c r="F1410">
        <v>204.73</v>
      </c>
      <c r="G1410">
        <v>1569.58</v>
      </c>
    </row>
    <row r="1411" spans="1:7" x14ac:dyDescent="0.35">
      <c r="A1411" s="178" t="s">
        <v>940</v>
      </c>
      <c r="B1411" s="178" t="s">
        <v>2729</v>
      </c>
      <c r="C1411" s="178" t="s">
        <v>699</v>
      </c>
      <c r="D1411" s="178" t="s">
        <v>63</v>
      </c>
      <c r="E1411">
        <v>868.6</v>
      </c>
      <c r="F1411">
        <v>130.29</v>
      </c>
      <c r="G1411">
        <v>998.89</v>
      </c>
    </row>
    <row r="1412" spans="1:7" x14ac:dyDescent="0.35">
      <c r="A1412" s="178" t="s">
        <v>1431</v>
      </c>
      <c r="B1412" s="178" t="s">
        <v>2730</v>
      </c>
      <c r="C1412" s="178" t="s">
        <v>699</v>
      </c>
      <c r="D1412" s="178" t="s">
        <v>63</v>
      </c>
      <c r="E1412">
        <v>1588.4</v>
      </c>
      <c r="F1412">
        <v>238.26</v>
      </c>
      <c r="G1412">
        <v>1826.66</v>
      </c>
    </row>
    <row r="1413" spans="1:7" x14ac:dyDescent="0.35">
      <c r="A1413" s="178" t="s">
        <v>933</v>
      </c>
      <c r="B1413" s="178" t="s">
        <v>2731</v>
      </c>
      <c r="C1413" s="178" t="s">
        <v>699</v>
      </c>
      <c r="D1413" s="178" t="s">
        <v>2732</v>
      </c>
      <c r="E1413">
        <v>3653.75</v>
      </c>
      <c r="F1413">
        <v>548.05999999999995</v>
      </c>
      <c r="G1413">
        <v>4201.8100000000004</v>
      </c>
    </row>
    <row r="1414" spans="1:7" x14ac:dyDescent="0.35">
      <c r="A1414" s="178" t="s">
        <v>2733</v>
      </c>
      <c r="B1414" s="178" t="s">
        <v>2734</v>
      </c>
      <c r="C1414" s="178" t="s">
        <v>699</v>
      </c>
      <c r="D1414" s="178" t="s">
        <v>63</v>
      </c>
      <c r="E1414">
        <v>1272.73</v>
      </c>
      <c r="F1414">
        <v>190.91</v>
      </c>
      <c r="G1414">
        <v>1463.64</v>
      </c>
    </row>
    <row r="1415" spans="1:7" x14ac:dyDescent="0.35">
      <c r="A1415" s="178" t="s">
        <v>2735</v>
      </c>
      <c r="B1415" s="178" t="s">
        <v>2736</v>
      </c>
      <c r="C1415" s="178" t="s">
        <v>699</v>
      </c>
      <c r="D1415" s="178" t="s">
        <v>1730</v>
      </c>
      <c r="E1415">
        <v>10502.8</v>
      </c>
      <c r="F1415">
        <v>1575.43</v>
      </c>
      <c r="G1415">
        <v>12078.23</v>
      </c>
    </row>
    <row r="1416" spans="1:7" x14ac:dyDescent="0.35">
      <c r="A1416" s="178" t="s">
        <v>1447</v>
      </c>
      <c r="B1416" s="178" t="s">
        <v>2737</v>
      </c>
      <c r="C1416" s="178" t="s">
        <v>699</v>
      </c>
      <c r="D1416" s="178" t="s">
        <v>63</v>
      </c>
      <c r="E1416">
        <v>5547.55</v>
      </c>
      <c r="F1416">
        <v>832.14</v>
      </c>
      <c r="G1416">
        <v>6379.69</v>
      </c>
    </row>
    <row r="1417" spans="1:7" x14ac:dyDescent="0.35">
      <c r="A1417" s="178" t="s">
        <v>634</v>
      </c>
      <c r="B1417" s="178" t="s">
        <v>2738</v>
      </c>
      <c r="C1417" s="178" t="s">
        <v>699</v>
      </c>
      <c r="D1417" s="178" t="s">
        <v>63</v>
      </c>
      <c r="E1417">
        <v>1598.4</v>
      </c>
      <c r="F1417">
        <v>239.76</v>
      </c>
      <c r="G1417">
        <v>1838.16</v>
      </c>
    </row>
    <row r="1418" spans="1:7" x14ac:dyDescent="0.35">
      <c r="A1418" s="178" t="s">
        <v>907</v>
      </c>
      <c r="B1418" s="178" t="s">
        <v>2739</v>
      </c>
      <c r="C1418" s="178" t="s">
        <v>699</v>
      </c>
      <c r="D1418" s="178" t="s">
        <v>63</v>
      </c>
      <c r="E1418">
        <v>6115.75</v>
      </c>
      <c r="F1418">
        <v>917.37</v>
      </c>
      <c r="G1418">
        <v>7033.12</v>
      </c>
    </row>
    <row r="1419" spans="1:7" x14ac:dyDescent="0.35">
      <c r="A1419" s="178" t="s">
        <v>582</v>
      </c>
      <c r="B1419" s="178" t="s">
        <v>2740</v>
      </c>
      <c r="C1419" s="178" t="s">
        <v>699</v>
      </c>
      <c r="D1419" s="178" t="s">
        <v>63</v>
      </c>
      <c r="E1419">
        <v>517.45000000000005</v>
      </c>
      <c r="F1419">
        <v>77.62</v>
      </c>
      <c r="G1419">
        <v>595.07000000000005</v>
      </c>
    </row>
    <row r="1420" spans="1:7" x14ac:dyDescent="0.35">
      <c r="A1420" s="178" t="s">
        <v>824</v>
      </c>
      <c r="B1420" s="178" t="s">
        <v>2741</v>
      </c>
      <c r="C1420" s="178" t="s">
        <v>699</v>
      </c>
      <c r="D1420" s="178" t="s">
        <v>63</v>
      </c>
      <c r="E1420">
        <v>792.65</v>
      </c>
      <c r="F1420">
        <v>118.9</v>
      </c>
      <c r="G1420">
        <v>911.55</v>
      </c>
    </row>
    <row r="1421" spans="1:7" x14ac:dyDescent="0.35">
      <c r="A1421" s="178" t="s">
        <v>2742</v>
      </c>
      <c r="B1421" s="178" t="s">
        <v>2743</v>
      </c>
      <c r="C1421" s="178" t="s">
        <v>699</v>
      </c>
      <c r="D1421" s="178" t="s">
        <v>2744</v>
      </c>
      <c r="E1421">
        <v>1350</v>
      </c>
      <c r="F1421">
        <v>202.5</v>
      </c>
      <c r="G1421">
        <v>1552.5</v>
      </c>
    </row>
    <row r="1422" spans="1:7" x14ac:dyDescent="0.35">
      <c r="A1422" s="178" t="s">
        <v>573</v>
      </c>
      <c r="B1422" s="178" t="s">
        <v>2745</v>
      </c>
      <c r="C1422" s="178" t="s">
        <v>699</v>
      </c>
      <c r="D1422" s="178" t="s">
        <v>63</v>
      </c>
      <c r="E1422">
        <v>7590</v>
      </c>
      <c r="F1422">
        <v>1138.5</v>
      </c>
      <c r="G1422">
        <v>8728.5</v>
      </c>
    </row>
    <row r="1423" spans="1:7" x14ac:dyDescent="0.35">
      <c r="A1423" s="178" t="s">
        <v>772</v>
      </c>
      <c r="B1423" s="178" t="s">
        <v>2746</v>
      </c>
      <c r="C1423" s="178" t="s">
        <v>699</v>
      </c>
      <c r="D1423" s="178" t="s">
        <v>63</v>
      </c>
      <c r="E1423">
        <v>8200.5</v>
      </c>
      <c r="F1423">
        <v>1230.08</v>
      </c>
      <c r="G1423">
        <v>9430.58</v>
      </c>
    </row>
    <row r="1424" spans="1:7" x14ac:dyDescent="0.35">
      <c r="A1424" s="178" t="s">
        <v>1573</v>
      </c>
      <c r="B1424" s="178" t="s">
        <v>2747</v>
      </c>
      <c r="C1424" s="178" t="s">
        <v>699</v>
      </c>
      <c r="D1424" s="178" t="s">
        <v>2748</v>
      </c>
      <c r="E1424">
        <v>15412.7</v>
      </c>
      <c r="F1424">
        <v>2311.92</v>
      </c>
      <c r="G1424">
        <v>17724.62</v>
      </c>
    </row>
    <row r="1425" spans="1:7" x14ac:dyDescent="0.35">
      <c r="A1425" s="178" t="s">
        <v>1123</v>
      </c>
      <c r="B1425" s="178" t="s">
        <v>2749</v>
      </c>
      <c r="C1425" s="178" t="s">
        <v>699</v>
      </c>
      <c r="D1425" s="178" t="s">
        <v>63</v>
      </c>
      <c r="E1425">
        <v>23600</v>
      </c>
      <c r="F1425">
        <v>3540</v>
      </c>
      <c r="G1425">
        <v>27140</v>
      </c>
    </row>
    <row r="1426" spans="1:7" x14ac:dyDescent="0.35">
      <c r="A1426" s="178" t="s">
        <v>460</v>
      </c>
      <c r="B1426" s="178" t="s">
        <v>2750</v>
      </c>
      <c r="C1426" s="178" t="s">
        <v>699</v>
      </c>
      <c r="D1426" s="178" t="s">
        <v>2751</v>
      </c>
      <c r="E1426">
        <v>1505</v>
      </c>
      <c r="F1426">
        <v>225.75</v>
      </c>
      <c r="G1426">
        <v>1730.75</v>
      </c>
    </row>
    <row r="1427" spans="1:7" x14ac:dyDescent="0.35">
      <c r="A1427" s="178" t="s">
        <v>538</v>
      </c>
      <c r="B1427" s="178" t="s">
        <v>2752</v>
      </c>
      <c r="C1427" s="178" t="s">
        <v>699</v>
      </c>
      <c r="D1427" s="178" t="s">
        <v>63</v>
      </c>
      <c r="E1427">
        <v>3939.75</v>
      </c>
      <c r="F1427">
        <v>590.97</v>
      </c>
      <c r="G1427">
        <v>4530.72</v>
      </c>
    </row>
    <row r="1428" spans="1:7" x14ac:dyDescent="0.35">
      <c r="A1428" s="178" t="s">
        <v>1102</v>
      </c>
      <c r="B1428" s="178" t="s">
        <v>2753</v>
      </c>
      <c r="C1428" s="178" t="s">
        <v>699</v>
      </c>
      <c r="D1428" s="178" t="s">
        <v>63</v>
      </c>
      <c r="E1428">
        <v>969.8</v>
      </c>
      <c r="F1428">
        <v>145.47</v>
      </c>
      <c r="G1428">
        <v>1115.27</v>
      </c>
    </row>
    <row r="1429" spans="1:7" x14ac:dyDescent="0.35">
      <c r="A1429" s="178" t="s">
        <v>634</v>
      </c>
      <c r="B1429" s="178" t="s">
        <v>2754</v>
      </c>
      <c r="C1429" s="178" t="s">
        <v>699</v>
      </c>
      <c r="D1429" s="178" t="s">
        <v>63</v>
      </c>
      <c r="E1429">
        <v>1891.5</v>
      </c>
      <c r="F1429">
        <v>283.73</v>
      </c>
      <c r="G1429">
        <v>2175.23</v>
      </c>
    </row>
    <row r="1430" spans="1:7" x14ac:dyDescent="0.35">
      <c r="A1430" s="178" t="s">
        <v>1033</v>
      </c>
      <c r="B1430" s="178" t="s">
        <v>2755</v>
      </c>
      <c r="C1430" s="178" t="s">
        <v>699</v>
      </c>
      <c r="D1430" s="178" t="s">
        <v>2756</v>
      </c>
      <c r="E1430">
        <v>959.4</v>
      </c>
      <c r="F1430">
        <v>143.91</v>
      </c>
      <c r="G1430">
        <v>1103.31</v>
      </c>
    </row>
    <row r="1431" spans="1:7" x14ac:dyDescent="0.35">
      <c r="A1431" s="178" t="s">
        <v>2757</v>
      </c>
      <c r="B1431" s="178" t="s">
        <v>2758</v>
      </c>
      <c r="C1431" s="178" t="s">
        <v>699</v>
      </c>
      <c r="D1431" s="178" t="s">
        <v>63</v>
      </c>
      <c r="E1431">
        <v>810.6</v>
      </c>
      <c r="F1431">
        <v>121.59</v>
      </c>
      <c r="G1431">
        <v>932.19</v>
      </c>
    </row>
    <row r="1432" spans="1:7" x14ac:dyDescent="0.35">
      <c r="A1432" s="178" t="s">
        <v>2759</v>
      </c>
      <c r="B1432" s="178" t="s">
        <v>2760</v>
      </c>
      <c r="C1432" s="178" t="s">
        <v>699</v>
      </c>
      <c r="D1432" s="178" t="s">
        <v>63</v>
      </c>
      <c r="E1432">
        <v>1277.3499999999999</v>
      </c>
      <c r="F1432">
        <v>191.6</v>
      </c>
      <c r="G1432">
        <v>1468.95</v>
      </c>
    </row>
    <row r="1433" spans="1:7" x14ac:dyDescent="0.35">
      <c r="A1433" s="178" t="s">
        <v>634</v>
      </c>
      <c r="B1433" s="178" t="s">
        <v>2761</v>
      </c>
      <c r="C1433" s="178" t="s">
        <v>713</v>
      </c>
      <c r="D1433" s="178" t="s">
        <v>63</v>
      </c>
      <c r="E1433">
        <v>654.1</v>
      </c>
      <c r="F1433">
        <v>98.12</v>
      </c>
      <c r="G1433">
        <v>752.22</v>
      </c>
    </row>
    <row r="1434" spans="1:7" x14ac:dyDescent="0.35">
      <c r="A1434" s="178" t="s">
        <v>1492</v>
      </c>
      <c r="B1434" s="178" t="s">
        <v>2762</v>
      </c>
      <c r="C1434" s="178" t="s">
        <v>713</v>
      </c>
      <c r="D1434" s="178" t="s">
        <v>63</v>
      </c>
      <c r="E1434">
        <v>2625</v>
      </c>
      <c r="F1434">
        <v>393.75</v>
      </c>
      <c r="G1434">
        <v>3018.75</v>
      </c>
    </row>
    <row r="1435" spans="1:7" x14ac:dyDescent="0.35">
      <c r="A1435" s="178" t="s">
        <v>1955</v>
      </c>
      <c r="B1435" s="178" t="s">
        <v>2763</v>
      </c>
      <c r="C1435" s="178" t="s">
        <v>713</v>
      </c>
      <c r="D1435" s="178" t="s">
        <v>2764</v>
      </c>
      <c r="E1435">
        <v>2028.5</v>
      </c>
      <c r="F1435">
        <v>304.27999999999997</v>
      </c>
      <c r="G1435">
        <v>2332.7800000000002</v>
      </c>
    </row>
    <row r="1436" spans="1:7" x14ac:dyDescent="0.35">
      <c r="A1436" s="178" t="s">
        <v>2765</v>
      </c>
      <c r="B1436" s="178" t="s">
        <v>2766</v>
      </c>
      <c r="C1436" s="178" t="s">
        <v>713</v>
      </c>
      <c r="D1436" s="178" t="s">
        <v>63</v>
      </c>
      <c r="E1436">
        <v>4788.2</v>
      </c>
      <c r="F1436">
        <v>718.23</v>
      </c>
      <c r="G1436">
        <v>5506.43</v>
      </c>
    </row>
    <row r="1437" spans="1:7" x14ac:dyDescent="0.35">
      <c r="A1437" s="178" t="s">
        <v>1220</v>
      </c>
      <c r="B1437" s="178" t="s">
        <v>2767</v>
      </c>
      <c r="C1437" s="178" t="s">
        <v>713</v>
      </c>
      <c r="D1437" s="178" t="s">
        <v>63</v>
      </c>
      <c r="E1437">
        <v>2982</v>
      </c>
      <c r="F1437">
        <v>447.3</v>
      </c>
      <c r="G1437">
        <v>3429.3</v>
      </c>
    </row>
    <row r="1438" spans="1:7" x14ac:dyDescent="0.35">
      <c r="A1438" s="178" t="s">
        <v>2768</v>
      </c>
      <c r="B1438" s="178" t="s">
        <v>2769</v>
      </c>
      <c r="C1438" s="178" t="s">
        <v>713</v>
      </c>
      <c r="D1438" s="178" t="s">
        <v>63</v>
      </c>
      <c r="E1438">
        <v>4905.6000000000004</v>
      </c>
      <c r="F1438">
        <v>735.84</v>
      </c>
      <c r="G1438">
        <v>5641.44</v>
      </c>
    </row>
    <row r="1439" spans="1:7" x14ac:dyDescent="0.35">
      <c r="A1439" s="178" t="s">
        <v>1038</v>
      </c>
      <c r="B1439" s="178" t="s">
        <v>2770</v>
      </c>
      <c r="C1439" s="178" t="s">
        <v>713</v>
      </c>
      <c r="D1439" s="178" t="s">
        <v>63</v>
      </c>
      <c r="E1439">
        <v>5959</v>
      </c>
      <c r="F1439">
        <v>893.85</v>
      </c>
      <c r="G1439">
        <v>6852.85</v>
      </c>
    </row>
    <row r="1440" spans="1:7" x14ac:dyDescent="0.35">
      <c r="A1440" s="178" t="s">
        <v>1194</v>
      </c>
      <c r="B1440" s="178" t="s">
        <v>2771</v>
      </c>
      <c r="C1440" s="178" t="s">
        <v>713</v>
      </c>
      <c r="D1440" s="178" t="s">
        <v>63</v>
      </c>
      <c r="E1440">
        <v>23044.799999999999</v>
      </c>
      <c r="F1440">
        <v>3456.72</v>
      </c>
      <c r="G1440">
        <v>26501.52</v>
      </c>
    </row>
    <row r="1441" spans="1:7" x14ac:dyDescent="0.35">
      <c r="A1441" s="178" t="s">
        <v>1194</v>
      </c>
      <c r="B1441" s="178" t="s">
        <v>2772</v>
      </c>
      <c r="C1441" s="178" t="s">
        <v>713</v>
      </c>
      <c r="D1441" s="178" t="s">
        <v>63</v>
      </c>
      <c r="E1441">
        <v>28226.5</v>
      </c>
      <c r="F1441">
        <v>4233.9799999999996</v>
      </c>
      <c r="G1441">
        <v>32460.48</v>
      </c>
    </row>
    <row r="1442" spans="1:7" x14ac:dyDescent="0.35">
      <c r="A1442" s="178" t="s">
        <v>614</v>
      </c>
      <c r="B1442" s="178" t="s">
        <v>2773</v>
      </c>
      <c r="C1442" s="178" t="s">
        <v>713</v>
      </c>
      <c r="D1442" s="178" t="s">
        <v>63</v>
      </c>
      <c r="E1442">
        <v>3822.15</v>
      </c>
      <c r="F1442">
        <v>573.33000000000004</v>
      </c>
      <c r="G1442">
        <v>4395.4799999999996</v>
      </c>
    </row>
    <row r="1443" spans="1:7" x14ac:dyDescent="0.35">
      <c r="A1443" s="178" t="s">
        <v>1687</v>
      </c>
      <c r="B1443" s="178" t="s">
        <v>2774</v>
      </c>
      <c r="C1443" s="178" t="s">
        <v>713</v>
      </c>
      <c r="D1443" s="178" t="s">
        <v>63</v>
      </c>
      <c r="E1443">
        <v>6434.4</v>
      </c>
      <c r="F1443">
        <v>965.16</v>
      </c>
      <c r="G1443">
        <v>7399.56</v>
      </c>
    </row>
    <row r="1444" spans="1:7" x14ac:dyDescent="0.35">
      <c r="A1444" s="178" t="s">
        <v>791</v>
      </c>
      <c r="B1444" s="178" t="s">
        <v>2775</v>
      </c>
      <c r="C1444" s="178" t="s">
        <v>713</v>
      </c>
      <c r="D1444" s="178" t="s">
        <v>2776</v>
      </c>
      <c r="E1444">
        <v>3134.4</v>
      </c>
      <c r="F1444">
        <v>470.16</v>
      </c>
      <c r="G1444">
        <v>3604.56</v>
      </c>
    </row>
    <row r="1445" spans="1:7" x14ac:dyDescent="0.35">
      <c r="A1445" s="178" t="s">
        <v>959</v>
      </c>
      <c r="B1445" s="178" t="s">
        <v>2777</v>
      </c>
      <c r="C1445" s="178" t="s">
        <v>713</v>
      </c>
      <c r="D1445" s="178" t="s">
        <v>1178</v>
      </c>
      <c r="E1445">
        <v>19214</v>
      </c>
      <c r="F1445">
        <v>2882.1</v>
      </c>
      <c r="G1445">
        <v>22096.1</v>
      </c>
    </row>
    <row r="1446" spans="1:7" x14ac:dyDescent="0.35">
      <c r="A1446" s="178" t="s">
        <v>747</v>
      </c>
      <c r="B1446" s="178" t="s">
        <v>2778</v>
      </c>
      <c r="C1446" s="178" t="s">
        <v>713</v>
      </c>
      <c r="D1446" s="178" t="s">
        <v>63</v>
      </c>
      <c r="E1446">
        <v>2141.9499999999998</v>
      </c>
      <c r="F1446">
        <v>321.29000000000002</v>
      </c>
      <c r="G1446">
        <v>2463.2399999999998</v>
      </c>
    </row>
    <row r="1447" spans="1:7" x14ac:dyDescent="0.35">
      <c r="A1447" s="178" t="s">
        <v>968</v>
      </c>
      <c r="B1447" s="178" t="s">
        <v>2779</v>
      </c>
      <c r="C1447" s="178" t="s">
        <v>713</v>
      </c>
      <c r="D1447" s="178" t="s">
        <v>63</v>
      </c>
      <c r="E1447">
        <v>920.84</v>
      </c>
      <c r="F1447">
        <v>138.13</v>
      </c>
      <c r="G1447">
        <v>1058.97</v>
      </c>
    </row>
    <row r="1448" spans="1:7" x14ac:dyDescent="0.35">
      <c r="A1448" s="178" t="s">
        <v>846</v>
      </c>
      <c r="B1448" s="178" t="s">
        <v>2780</v>
      </c>
      <c r="C1448" s="178" t="s">
        <v>713</v>
      </c>
      <c r="D1448" s="178" t="s">
        <v>63</v>
      </c>
      <c r="E1448">
        <v>1572</v>
      </c>
      <c r="F1448">
        <v>235.8</v>
      </c>
      <c r="G1448">
        <v>1807.8</v>
      </c>
    </row>
    <row r="1449" spans="1:7" x14ac:dyDescent="0.35">
      <c r="A1449" s="178" t="s">
        <v>705</v>
      </c>
      <c r="B1449" s="178" t="s">
        <v>2781</v>
      </c>
      <c r="C1449" s="178" t="s">
        <v>713</v>
      </c>
      <c r="D1449" s="178" t="s">
        <v>63</v>
      </c>
      <c r="E1449">
        <v>14266</v>
      </c>
      <c r="F1449">
        <v>2139.9</v>
      </c>
      <c r="G1449">
        <v>16405.900000000001</v>
      </c>
    </row>
    <row r="1450" spans="1:7" x14ac:dyDescent="0.35">
      <c r="A1450" s="178" t="s">
        <v>2014</v>
      </c>
      <c r="B1450" s="178" t="s">
        <v>2782</v>
      </c>
      <c r="C1450" s="178" t="s">
        <v>713</v>
      </c>
      <c r="D1450" s="178" t="s">
        <v>63</v>
      </c>
      <c r="E1450">
        <v>4292.2700000000004</v>
      </c>
      <c r="F1450">
        <v>643.84</v>
      </c>
      <c r="G1450">
        <v>4936.1099999999997</v>
      </c>
    </row>
    <row r="1451" spans="1:7" x14ac:dyDescent="0.35">
      <c r="A1451" s="178" t="s">
        <v>1035</v>
      </c>
      <c r="B1451" s="178" t="s">
        <v>2783</v>
      </c>
      <c r="C1451" s="178" t="s">
        <v>713</v>
      </c>
      <c r="D1451" s="178" t="s">
        <v>63</v>
      </c>
      <c r="E1451">
        <v>29151.7</v>
      </c>
      <c r="F1451">
        <v>4372.76</v>
      </c>
      <c r="G1451">
        <v>33524.46</v>
      </c>
    </row>
    <row r="1452" spans="1:7" x14ac:dyDescent="0.35">
      <c r="A1452" s="178" t="s">
        <v>1542</v>
      </c>
      <c r="B1452" s="178" t="s">
        <v>2784</v>
      </c>
      <c r="C1452" s="178" t="s">
        <v>713</v>
      </c>
      <c r="D1452" s="178" t="s">
        <v>63</v>
      </c>
      <c r="E1452">
        <v>3252.3</v>
      </c>
      <c r="F1452">
        <v>487.85</v>
      </c>
      <c r="G1452">
        <v>3740.15</v>
      </c>
    </row>
    <row r="1453" spans="1:7" x14ac:dyDescent="0.35">
      <c r="A1453" s="178" t="s">
        <v>893</v>
      </c>
      <c r="B1453" s="178" t="s">
        <v>2785</v>
      </c>
      <c r="C1453" s="178" t="s">
        <v>713</v>
      </c>
      <c r="D1453" s="178" t="s">
        <v>63</v>
      </c>
      <c r="E1453">
        <v>3495.47</v>
      </c>
      <c r="F1453">
        <v>524.32000000000005</v>
      </c>
      <c r="G1453">
        <v>4019.79</v>
      </c>
    </row>
    <row r="1454" spans="1:7" x14ac:dyDescent="0.35">
      <c r="A1454" s="178" t="s">
        <v>1311</v>
      </c>
      <c r="B1454" s="178" t="s">
        <v>2786</v>
      </c>
      <c r="C1454" s="178" t="s">
        <v>713</v>
      </c>
      <c r="D1454" s="178" t="s">
        <v>63</v>
      </c>
      <c r="E1454">
        <v>1868.8</v>
      </c>
      <c r="F1454">
        <v>280.32</v>
      </c>
      <c r="G1454">
        <v>2149.12</v>
      </c>
    </row>
    <row r="1455" spans="1:7" x14ac:dyDescent="0.35">
      <c r="A1455" s="178" t="s">
        <v>2787</v>
      </c>
      <c r="B1455" s="178" t="s">
        <v>2788</v>
      </c>
      <c r="C1455" s="178" t="s">
        <v>713</v>
      </c>
      <c r="D1455" s="178" t="s">
        <v>2789</v>
      </c>
      <c r="E1455">
        <v>1401.25</v>
      </c>
      <c r="F1455">
        <v>210.19</v>
      </c>
      <c r="G1455">
        <v>1611.44</v>
      </c>
    </row>
    <row r="1456" spans="1:7" x14ac:dyDescent="0.35">
      <c r="A1456" s="178" t="s">
        <v>978</v>
      </c>
      <c r="B1456" s="178" t="s">
        <v>2790</v>
      </c>
      <c r="C1456" s="178" t="s">
        <v>661</v>
      </c>
      <c r="D1456" s="178" t="s">
        <v>2791</v>
      </c>
      <c r="E1456">
        <v>595.4</v>
      </c>
      <c r="F1456">
        <v>89.31</v>
      </c>
      <c r="G1456">
        <v>684.71</v>
      </c>
    </row>
    <row r="1457" spans="1:7" x14ac:dyDescent="0.35">
      <c r="A1457" s="178" t="s">
        <v>1131</v>
      </c>
      <c r="B1457" s="178" t="s">
        <v>2792</v>
      </c>
      <c r="C1457" s="178" t="s">
        <v>713</v>
      </c>
      <c r="D1457" s="178" t="s">
        <v>2793</v>
      </c>
      <c r="E1457">
        <v>12845.3</v>
      </c>
      <c r="F1457">
        <v>1926.8</v>
      </c>
      <c r="G1457">
        <v>14772.1</v>
      </c>
    </row>
    <row r="1458" spans="1:7" x14ac:dyDescent="0.35">
      <c r="A1458" s="178" t="s">
        <v>535</v>
      </c>
      <c r="B1458" s="178" t="s">
        <v>2794</v>
      </c>
      <c r="C1458" s="178" t="s">
        <v>713</v>
      </c>
      <c r="D1458" s="178" t="s">
        <v>2795</v>
      </c>
      <c r="E1458">
        <v>871.25</v>
      </c>
      <c r="F1458">
        <v>130.69</v>
      </c>
      <c r="G1458">
        <v>1001.94</v>
      </c>
    </row>
    <row r="1459" spans="1:7" x14ac:dyDescent="0.35">
      <c r="A1459" s="178" t="s">
        <v>1326</v>
      </c>
      <c r="B1459" s="178" t="s">
        <v>2796</v>
      </c>
      <c r="C1459" s="178" t="s">
        <v>713</v>
      </c>
      <c r="D1459" s="178" t="s">
        <v>63</v>
      </c>
      <c r="E1459">
        <v>713.8</v>
      </c>
      <c r="F1459">
        <v>107.07</v>
      </c>
      <c r="G1459">
        <v>820.87</v>
      </c>
    </row>
    <row r="1460" spans="1:7" x14ac:dyDescent="0.35">
      <c r="A1460" s="178" t="s">
        <v>1084</v>
      </c>
      <c r="B1460" s="178" t="s">
        <v>2797</v>
      </c>
      <c r="C1460" s="178" t="s">
        <v>661</v>
      </c>
      <c r="D1460" s="178" t="s">
        <v>2798</v>
      </c>
      <c r="E1460">
        <v>2674.4</v>
      </c>
      <c r="F1460">
        <v>401.16</v>
      </c>
      <c r="G1460">
        <v>3075.56</v>
      </c>
    </row>
    <row r="1461" spans="1:7" x14ac:dyDescent="0.35">
      <c r="A1461" s="178" t="s">
        <v>2799</v>
      </c>
      <c r="B1461" s="178" t="s">
        <v>2800</v>
      </c>
      <c r="C1461" s="178" t="s">
        <v>713</v>
      </c>
      <c r="D1461" s="178" t="s">
        <v>63</v>
      </c>
      <c r="E1461">
        <v>4120.67</v>
      </c>
      <c r="F1461">
        <v>618.1</v>
      </c>
      <c r="G1461">
        <v>4738.7700000000004</v>
      </c>
    </row>
    <row r="1462" spans="1:7" x14ac:dyDescent="0.35">
      <c r="A1462" s="178" t="s">
        <v>1236</v>
      </c>
      <c r="B1462" s="178" t="s">
        <v>2801</v>
      </c>
      <c r="C1462" s="178" t="s">
        <v>713</v>
      </c>
      <c r="D1462" s="178" t="s">
        <v>63</v>
      </c>
      <c r="E1462">
        <v>30607.5</v>
      </c>
      <c r="F1462">
        <v>4591.13</v>
      </c>
      <c r="G1462">
        <v>35198.629999999997</v>
      </c>
    </row>
    <row r="1463" spans="1:7" x14ac:dyDescent="0.35">
      <c r="A1463" s="178" t="s">
        <v>495</v>
      </c>
      <c r="B1463" s="178" t="s">
        <v>2802</v>
      </c>
      <c r="C1463" s="178" t="s">
        <v>713</v>
      </c>
      <c r="D1463" s="178" t="s">
        <v>1468</v>
      </c>
      <c r="E1463">
        <v>10045</v>
      </c>
      <c r="F1463">
        <v>1506.75</v>
      </c>
      <c r="G1463">
        <v>11551.75</v>
      </c>
    </row>
    <row r="1464" spans="1:7" x14ac:dyDescent="0.35">
      <c r="A1464" s="178" t="s">
        <v>2803</v>
      </c>
      <c r="B1464" s="178" t="s">
        <v>2804</v>
      </c>
      <c r="C1464" s="178" t="s">
        <v>713</v>
      </c>
      <c r="D1464" s="178" t="s">
        <v>2805</v>
      </c>
      <c r="E1464">
        <v>2256</v>
      </c>
      <c r="F1464">
        <v>338.4</v>
      </c>
      <c r="G1464">
        <v>2594.4</v>
      </c>
    </row>
    <row r="1465" spans="1:7" x14ac:dyDescent="0.35">
      <c r="A1465" s="178" t="s">
        <v>2806</v>
      </c>
      <c r="B1465" s="178" t="s">
        <v>2807</v>
      </c>
      <c r="C1465" s="178" t="s">
        <v>713</v>
      </c>
      <c r="D1465" s="178" t="s">
        <v>1931</v>
      </c>
      <c r="E1465">
        <v>7907.4</v>
      </c>
      <c r="F1465">
        <v>1186.1099999999999</v>
      </c>
      <c r="G1465">
        <v>9093.51</v>
      </c>
    </row>
    <row r="1466" spans="1:7" x14ac:dyDescent="0.35">
      <c r="A1466" s="178" t="s">
        <v>2806</v>
      </c>
      <c r="B1466" s="178" t="s">
        <v>2808</v>
      </c>
      <c r="C1466" s="178" t="s">
        <v>713</v>
      </c>
      <c r="D1466" s="178" t="s">
        <v>2809</v>
      </c>
      <c r="E1466">
        <v>7769.4</v>
      </c>
      <c r="F1466">
        <v>1165.4100000000001</v>
      </c>
      <c r="G1466">
        <v>8934.81</v>
      </c>
    </row>
    <row r="1467" spans="1:7" x14ac:dyDescent="0.35">
      <c r="A1467" s="178" t="s">
        <v>606</v>
      </c>
      <c r="B1467" s="178" t="s">
        <v>2810</v>
      </c>
      <c r="C1467" s="178" t="s">
        <v>713</v>
      </c>
      <c r="D1467" s="178" t="s">
        <v>63</v>
      </c>
      <c r="E1467">
        <v>4533.3</v>
      </c>
      <c r="F1467">
        <v>680</v>
      </c>
      <c r="G1467">
        <v>5213.3</v>
      </c>
    </row>
    <row r="1468" spans="1:7" x14ac:dyDescent="0.35">
      <c r="A1468" s="178" t="s">
        <v>2811</v>
      </c>
      <c r="B1468" s="178" t="s">
        <v>2812</v>
      </c>
      <c r="C1468" s="178" t="s">
        <v>713</v>
      </c>
      <c r="D1468" s="178" t="s">
        <v>63</v>
      </c>
      <c r="E1468">
        <v>1949.4</v>
      </c>
      <c r="F1468">
        <v>292.41000000000003</v>
      </c>
      <c r="G1468">
        <v>2241.81</v>
      </c>
    </row>
    <row r="1469" spans="1:7" x14ac:dyDescent="0.35">
      <c r="A1469" s="178" t="s">
        <v>2052</v>
      </c>
      <c r="B1469" s="178" t="s">
        <v>2813</v>
      </c>
      <c r="C1469" s="178" t="s">
        <v>713</v>
      </c>
      <c r="D1469" s="178" t="s">
        <v>2814</v>
      </c>
      <c r="E1469">
        <v>8619.65</v>
      </c>
      <c r="F1469">
        <v>1292.95</v>
      </c>
      <c r="G1469">
        <v>9912.6</v>
      </c>
    </row>
    <row r="1470" spans="1:7" x14ac:dyDescent="0.35">
      <c r="A1470" s="178" t="s">
        <v>1030</v>
      </c>
      <c r="B1470" s="178" t="s">
        <v>2815</v>
      </c>
      <c r="C1470" s="178" t="s">
        <v>713</v>
      </c>
      <c r="D1470" s="178" t="s">
        <v>63</v>
      </c>
      <c r="E1470">
        <v>1758.7</v>
      </c>
      <c r="F1470">
        <v>263.81</v>
      </c>
      <c r="G1470">
        <v>2022.51</v>
      </c>
    </row>
    <row r="1471" spans="1:7" x14ac:dyDescent="0.35">
      <c r="A1471" s="178" t="s">
        <v>2816</v>
      </c>
      <c r="B1471" s="178" t="s">
        <v>2817</v>
      </c>
      <c r="C1471" s="178" t="s">
        <v>713</v>
      </c>
      <c r="D1471" s="178" t="s">
        <v>63</v>
      </c>
      <c r="E1471">
        <v>1333.8</v>
      </c>
      <c r="F1471">
        <v>200.07</v>
      </c>
      <c r="G1471">
        <v>1533.87</v>
      </c>
    </row>
    <row r="1472" spans="1:7" x14ac:dyDescent="0.35">
      <c r="A1472" s="178" t="s">
        <v>2818</v>
      </c>
      <c r="B1472" s="178" t="s">
        <v>2819</v>
      </c>
      <c r="C1472" s="178" t="s">
        <v>713</v>
      </c>
      <c r="D1472" s="178" t="s">
        <v>63</v>
      </c>
      <c r="E1472">
        <v>3429.9</v>
      </c>
      <c r="F1472">
        <v>514.49</v>
      </c>
      <c r="G1472">
        <v>3944.39</v>
      </c>
    </row>
    <row r="1473" spans="1:7" x14ac:dyDescent="0.35">
      <c r="A1473" s="178" t="s">
        <v>1250</v>
      </c>
      <c r="B1473" s="178" t="s">
        <v>2820</v>
      </c>
      <c r="C1473" s="178" t="s">
        <v>713</v>
      </c>
      <c r="D1473" s="178" t="s">
        <v>63</v>
      </c>
      <c r="E1473">
        <v>2833.7</v>
      </c>
      <c r="F1473">
        <v>425.06</v>
      </c>
      <c r="G1473">
        <v>3258.76</v>
      </c>
    </row>
    <row r="1474" spans="1:7" x14ac:dyDescent="0.35">
      <c r="A1474" s="178" t="s">
        <v>694</v>
      </c>
      <c r="B1474" s="178" t="s">
        <v>2821</v>
      </c>
      <c r="C1474" s="178" t="s">
        <v>713</v>
      </c>
      <c r="D1474" s="178" t="s">
        <v>63</v>
      </c>
      <c r="E1474">
        <v>672.3</v>
      </c>
      <c r="F1474">
        <v>100.85</v>
      </c>
      <c r="G1474">
        <v>773.15</v>
      </c>
    </row>
    <row r="1475" spans="1:7" x14ac:dyDescent="0.35">
      <c r="A1475" s="178" t="s">
        <v>634</v>
      </c>
      <c r="B1475" s="178" t="s">
        <v>2822</v>
      </c>
      <c r="C1475" s="178" t="s">
        <v>713</v>
      </c>
      <c r="D1475" s="178" t="s">
        <v>63</v>
      </c>
      <c r="E1475">
        <v>9817.2000000000007</v>
      </c>
      <c r="F1475">
        <v>1472.58</v>
      </c>
      <c r="G1475">
        <v>11289.78</v>
      </c>
    </row>
    <row r="1476" spans="1:7" x14ac:dyDescent="0.35">
      <c r="A1476" s="178" t="s">
        <v>1431</v>
      </c>
      <c r="B1476" s="178" t="s">
        <v>2823</v>
      </c>
      <c r="C1476" s="178" t="s">
        <v>713</v>
      </c>
      <c r="D1476" s="178" t="s">
        <v>63</v>
      </c>
      <c r="E1476">
        <v>3423</v>
      </c>
      <c r="F1476">
        <v>513.45000000000005</v>
      </c>
      <c r="G1476">
        <v>3936.45</v>
      </c>
    </row>
    <row r="1477" spans="1:7" x14ac:dyDescent="0.35">
      <c r="A1477" s="178" t="s">
        <v>717</v>
      </c>
      <c r="B1477" s="178" t="s">
        <v>2824</v>
      </c>
      <c r="C1477" s="178" t="s">
        <v>713</v>
      </c>
      <c r="D1477" s="178" t="s">
        <v>2122</v>
      </c>
      <c r="E1477">
        <v>4950</v>
      </c>
      <c r="F1477">
        <v>742.5</v>
      </c>
      <c r="G1477">
        <v>5692.5</v>
      </c>
    </row>
    <row r="1478" spans="1:7" x14ac:dyDescent="0.35">
      <c r="A1478" s="178" t="s">
        <v>634</v>
      </c>
      <c r="B1478" s="178" t="s">
        <v>2825</v>
      </c>
      <c r="C1478" s="178" t="s">
        <v>713</v>
      </c>
      <c r="D1478" s="178" t="s">
        <v>63</v>
      </c>
      <c r="E1478">
        <v>988.84</v>
      </c>
      <c r="F1478">
        <v>148.32</v>
      </c>
      <c r="G1478">
        <v>1137.1600000000001</v>
      </c>
    </row>
    <row r="1479" spans="1:7" x14ac:dyDescent="0.35">
      <c r="A1479" s="178" t="s">
        <v>1843</v>
      </c>
      <c r="B1479" s="178" t="s">
        <v>2826</v>
      </c>
      <c r="C1479" s="178" t="s">
        <v>713</v>
      </c>
      <c r="D1479" s="178" t="s">
        <v>2575</v>
      </c>
      <c r="E1479">
        <v>3832.4</v>
      </c>
      <c r="F1479">
        <v>574.86</v>
      </c>
      <c r="G1479">
        <v>4407.26</v>
      </c>
    </row>
    <row r="1480" spans="1:7" x14ac:dyDescent="0.35">
      <c r="A1480" s="178" t="s">
        <v>2827</v>
      </c>
      <c r="B1480" s="178" t="s">
        <v>2828</v>
      </c>
      <c r="C1480" s="178" t="s">
        <v>713</v>
      </c>
      <c r="D1480" s="178" t="s">
        <v>63</v>
      </c>
      <c r="E1480">
        <v>3414.2</v>
      </c>
      <c r="F1480">
        <v>512.14</v>
      </c>
      <c r="G1480">
        <v>3926.34</v>
      </c>
    </row>
    <row r="1481" spans="1:7" x14ac:dyDescent="0.35">
      <c r="A1481" s="178" t="s">
        <v>460</v>
      </c>
      <c r="B1481" s="178" t="s">
        <v>2829</v>
      </c>
      <c r="C1481" s="178" t="s">
        <v>713</v>
      </c>
      <c r="D1481" s="178" t="s">
        <v>2830</v>
      </c>
      <c r="E1481">
        <v>907.3</v>
      </c>
      <c r="F1481">
        <v>136.1</v>
      </c>
      <c r="G1481">
        <v>1043.4000000000001</v>
      </c>
    </row>
    <row r="1482" spans="1:7" x14ac:dyDescent="0.35">
      <c r="A1482" s="178" t="s">
        <v>460</v>
      </c>
      <c r="B1482" s="178" t="s">
        <v>2831</v>
      </c>
      <c r="C1482" s="178" t="s">
        <v>713</v>
      </c>
      <c r="D1482" s="178" t="s">
        <v>63</v>
      </c>
      <c r="E1482">
        <v>2000</v>
      </c>
      <c r="F1482">
        <v>300</v>
      </c>
      <c r="G1482">
        <v>2300</v>
      </c>
    </row>
    <row r="1483" spans="1:7" x14ac:dyDescent="0.35">
      <c r="A1483" s="178" t="s">
        <v>2832</v>
      </c>
      <c r="B1483" s="178" t="s">
        <v>2833</v>
      </c>
      <c r="C1483" s="178" t="s">
        <v>713</v>
      </c>
      <c r="D1483" s="178" t="s">
        <v>63</v>
      </c>
      <c r="E1483">
        <v>3264.8</v>
      </c>
      <c r="F1483">
        <v>489.72</v>
      </c>
      <c r="G1483">
        <v>3754.52</v>
      </c>
    </row>
    <row r="1484" spans="1:7" x14ac:dyDescent="0.35">
      <c r="A1484" s="178" t="s">
        <v>602</v>
      </c>
      <c r="B1484" s="178" t="s">
        <v>2834</v>
      </c>
      <c r="C1484" s="178" t="s">
        <v>713</v>
      </c>
      <c r="D1484" s="178" t="s">
        <v>63</v>
      </c>
      <c r="E1484">
        <v>10504.75</v>
      </c>
      <c r="F1484">
        <v>1575.74</v>
      </c>
      <c r="G1484">
        <v>12080.49</v>
      </c>
    </row>
    <row r="1485" spans="1:7" x14ac:dyDescent="0.35">
      <c r="A1485" s="178" t="s">
        <v>1708</v>
      </c>
      <c r="B1485" s="178" t="s">
        <v>2835</v>
      </c>
      <c r="C1485" s="178" t="s">
        <v>713</v>
      </c>
      <c r="D1485" s="178" t="s">
        <v>63</v>
      </c>
      <c r="E1485">
        <v>2810.9</v>
      </c>
      <c r="F1485">
        <v>421.64</v>
      </c>
      <c r="G1485">
        <v>3232.54</v>
      </c>
    </row>
    <row r="1486" spans="1:7" x14ac:dyDescent="0.35">
      <c r="A1486" s="178" t="s">
        <v>1854</v>
      </c>
      <c r="B1486" s="178" t="s">
        <v>2836</v>
      </c>
      <c r="C1486" s="178" t="s">
        <v>713</v>
      </c>
      <c r="D1486" s="178" t="s">
        <v>63</v>
      </c>
      <c r="E1486">
        <v>1606.5</v>
      </c>
      <c r="F1486">
        <v>240.98</v>
      </c>
      <c r="G1486">
        <v>1847.48</v>
      </c>
    </row>
    <row r="1487" spans="1:7" x14ac:dyDescent="0.35">
      <c r="A1487" s="178" t="s">
        <v>1053</v>
      </c>
      <c r="B1487" s="178" t="s">
        <v>2837</v>
      </c>
      <c r="C1487" s="178" t="s">
        <v>713</v>
      </c>
      <c r="D1487" s="178" t="s">
        <v>63</v>
      </c>
      <c r="E1487">
        <v>5879.15</v>
      </c>
      <c r="F1487">
        <v>881.88</v>
      </c>
      <c r="G1487">
        <v>6761.03</v>
      </c>
    </row>
    <row r="1488" spans="1:7" x14ac:dyDescent="0.35">
      <c r="A1488" s="178" t="s">
        <v>460</v>
      </c>
      <c r="B1488" s="178" t="s">
        <v>2838</v>
      </c>
      <c r="C1488" s="178" t="s">
        <v>713</v>
      </c>
      <c r="D1488" s="178" t="s">
        <v>2550</v>
      </c>
      <c r="E1488">
        <v>500</v>
      </c>
      <c r="F1488">
        <v>75</v>
      </c>
      <c r="G1488">
        <v>575</v>
      </c>
    </row>
    <row r="1489" spans="1:7" x14ac:dyDescent="0.35">
      <c r="A1489" s="178" t="s">
        <v>889</v>
      </c>
      <c r="B1489" s="178" t="s">
        <v>2839</v>
      </c>
      <c r="C1489" s="178" t="s">
        <v>713</v>
      </c>
      <c r="D1489" s="178" t="s">
        <v>63</v>
      </c>
      <c r="E1489">
        <v>1717.9</v>
      </c>
      <c r="F1489">
        <v>257.69</v>
      </c>
      <c r="G1489">
        <v>1975.59</v>
      </c>
    </row>
    <row r="1490" spans="1:7" x14ac:dyDescent="0.35">
      <c r="A1490" s="178" t="s">
        <v>2840</v>
      </c>
      <c r="B1490" s="178" t="s">
        <v>2841</v>
      </c>
      <c r="C1490" s="178" t="s">
        <v>713</v>
      </c>
      <c r="D1490" s="178" t="s">
        <v>63</v>
      </c>
      <c r="E1490">
        <v>1849</v>
      </c>
      <c r="F1490">
        <v>277.35000000000002</v>
      </c>
      <c r="G1490">
        <v>2126.35</v>
      </c>
    </row>
    <row r="1491" spans="1:7" x14ac:dyDescent="0.35">
      <c r="A1491" s="178" t="s">
        <v>889</v>
      </c>
      <c r="B1491" s="178" t="s">
        <v>2842</v>
      </c>
      <c r="C1491" s="178" t="s">
        <v>713</v>
      </c>
      <c r="D1491" s="178" t="s">
        <v>63</v>
      </c>
      <c r="E1491">
        <v>1599.75</v>
      </c>
      <c r="F1491">
        <v>239.96</v>
      </c>
      <c r="G1491">
        <v>1839.71</v>
      </c>
    </row>
    <row r="1492" spans="1:7" x14ac:dyDescent="0.35">
      <c r="A1492" s="178" t="s">
        <v>2843</v>
      </c>
      <c r="B1492" s="178" t="s">
        <v>2844</v>
      </c>
      <c r="C1492" s="178" t="s">
        <v>713</v>
      </c>
      <c r="D1492" s="178" t="s">
        <v>63</v>
      </c>
      <c r="E1492">
        <v>928.8</v>
      </c>
      <c r="F1492">
        <v>139.32</v>
      </c>
      <c r="G1492">
        <v>1068.1199999999999</v>
      </c>
    </row>
    <row r="1493" spans="1:7" x14ac:dyDescent="0.35">
      <c r="A1493" s="178" t="s">
        <v>522</v>
      </c>
      <c r="B1493" s="178" t="s">
        <v>2845</v>
      </c>
      <c r="C1493" s="178" t="s">
        <v>732</v>
      </c>
      <c r="D1493" s="178" t="s">
        <v>63</v>
      </c>
      <c r="E1493">
        <v>837.25</v>
      </c>
      <c r="F1493">
        <v>125.59</v>
      </c>
      <c r="G1493">
        <v>962.84</v>
      </c>
    </row>
    <row r="1494" spans="1:7" x14ac:dyDescent="0.35">
      <c r="A1494" s="178" t="s">
        <v>920</v>
      </c>
      <c r="B1494" s="178" t="s">
        <v>2846</v>
      </c>
      <c r="C1494" s="178" t="s">
        <v>732</v>
      </c>
      <c r="D1494" s="178" t="s">
        <v>63</v>
      </c>
      <c r="E1494">
        <v>1556.6</v>
      </c>
      <c r="F1494">
        <v>233.49</v>
      </c>
      <c r="G1494">
        <v>1790.09</v>
      </c>
    </row>
    <row r="1495" spans="1:7" x14ac:dyDescent="0.35">
      <c r="A1495" s="178" t="s">
        <v>1615</v>
      </c>
      <c r="B1495" s="178" t="s">
        <v>2847</v>
      </c>
      <c r="C1495" s="178" t="s">
        <v>732</v>
      </c>
      <c r="D1495" s="178" t="s">
        <v>63</v>
      </c>
      <c r="E1495">
        <v>726.7</v>
      </c>
      <c r="F1495">
        <v>109.01</v>
      </c>
      <c r="G1495">
        <v>835.71</v>
      </c>
    </row>
    <row r="1496" spans="1:7" x14ac:dyDescent="0.35">
      <c r="A1496" s="178" t="s">
        <v>1538</v>
      </c>
      <c r="B1496" s="178" t="s">
        <v>2848</v>
      </c>
      <c r="C1496" s="178" t="s">
        <v>732</v>
      </c>
      <c r="D1496" s="178" t="s">
        <v>2849</v>
      </c>
      <c r="E1496">
        <v>1276</v>
      </c>
      <c r="F1496">
        <v>191.4</v>
      </c>
      <c r="G1496">
        <v>1467.4</v>
      </c>
    </row>
    <row r="1497" spans="1:7" x14ac:dyDescent="0.35">
      <c r="A1497" s="178" t="s">
        <v>714</v>
      </c>
      <c r="B1497" s="178" t="s">
        <v>2850</v>
      </c>
      <c r="C1497" s="178" t="s">
        <v>732</v>
      </c>
      <c r="D1497" s="178" t="s">
        <v>63</v>
      </c>
      <c r="E1497">
        <v>32379</v>
      </c>
      <c r="F1497">
        <v>4856.8500000000004</v>
      </c>
      <c r="G1497">
        <v>37235.85</v>
      </c>
    </row>
    <row r="1498" spans="1:7" x14ac:dyDescent="0.35">
      <c r="A1498" s="178" t="s">
        <v>774</v>
      </c>
      <c r="B1498" s="178" t="s">
        <v>2851</v>
      </c>
      <c r="C1498" s="178" t="s">
        <v>732</v>
      </c>
      <c r="D1498" s="178" t="s">
        <v>63</v>
      </c>
      <c r="E1498">
        <v>564.29999999999995</v>
      </c>
      <c r="F1498">
        <v>84.65</v>
      </c>
      <c r="G1498">
        <v>648.95000000000005</v>
      </c>
    </row>
    <row r="1499" spans="1:7" x14ac:dyDescent="0.35">
      <c r="A1499" s="178" t="s">
        <v>2852</v>
      </c>
      <c r="B1499" s="178" t="s">
        <v>2853</v>
      </c>
      <c r="C1499" s="178" t="s">
        <v>732</v>
      </c>
      <c r="D1499" s="178" t="s">
        <v>63</v>
      </c>
      <c r="E1499">
        <v>1704.1</v>
      </c>
      <c r="F1499">
        <v>255.62</v>
      </c>
      <c r="G1499">
        <v>1959.72</v>
      </c>
    </row>
    <row r="1500" spans="1:7" x14ac:dyDescent="0.35">
      <c r="A1500" s="178" t="s">
        <v>2428</v>
      </c>
      <c r="B1500" s="178" t="s">
        <v>2854</v>
      </c>
      <c r="C1500" s="178" t="s">
        <v>732</v>
      </c>
      <c r="D1500" s="178" t="s">
        <v>63</v>
      </c>
      <c r="E1500">
        <v>2330.6</v>
      </c>
      <c r="F1500">
        <v>349.59</v>
      </c>
      <c r="G1500">
        <v>2680.19</v>
      </c>
    </row>
    <row r="1501" spans="1:7" x14ac:dyDescent="0.35">
      <c r="A1501" s="178" t="s">
        <v>2855</v>
      </c>
      <c r="B1501" s="178" t="s">
        <v>2856</v>
      </c>
      <c r="C1501" s="178" t="s">
        <v>732</v>
      </c>
      <c r="D1501" s="178" t="s">
        <v>2857</v>
      </c>
      <c r="E1501">
        <v>2439.35</v>
      </c>
      <c r="F1501">
        <v>365.9</v>
      </c>
      <c r="G1501">
        <v>2805.25</v>
      </c>
    </row>
    <row r="1502" spans="1:7" x14ac:dyDescent="0.35">
      <c r="A1502" s="178" t="s">
        <v>529</v>
      </c>
      <c r="B1502" s="178" t="s">
        <v>2858</v>
      </c>
      <c r="C1502" s="178" t="s">
        <v>732</v>
      </c>
      <c r="D1502" s="178" t="s">
        <v>2859</v>
      </c>
      <c r="E1502">
        <v>854.25</v>
      </c>
      <c r="F1502">
        <v>128.13999999999999</v>
      </c>
      <c r="G1502">
        <v>982.39</v>
      </c>
    </row>
    <row r="1503" spans="1:7" x14ac:dyDescent="0.35">
      <c r="A1503" s="178" t="s">
        <v>917</v>
      </c>
      <c r="B1503" s="178" t="s">
        <v>2860</v>
      </c>
      <c r="C1503" s="178" t="s">
        <v>732</v>
      </c>
      <c r="D1503" s="178" t="s">
        <v>63</v>
      </c>
      <c r="E1503">
        <v>13244</v>
      </c>
      <c r="F1503">
        <v>1986.6</v>
      </c>
      <c r="G1503">
        <v>15230.6</v>
      </c>
    </row>
    <row r="1504" spans="1:7" x14ac:dyDescent="0.35">
      <c r="A1504" s="178" t="s">
        <v>529</v>
      </c>
      <c r="B1504" s="178" t="s">
        <v>2861</v>
      </c>
      <c r="C1504" s="178" t="s">
        <v>732</v>
      </c>
      <c r="D1504" s="178" t="s">
        <v>63</v>
      </c>
      <c r="E1504">
        <v>8342.75</v>
      </c>
      <c r="F1504">
        <v>1251.4100000000001</v>
      </c>
      <c r="G1504">
        <v>9594.16</v>
      </c>
    </row>
    <row r="1505" spans="1:7" x14ac:dyDescent="0.35">
      <c r="A1505" s="178" t="s">
        <v>582</v>
      </c>
      <c r="B1505" s="178" t="s">
        <v>2862</v>
      </c>
      <c r="C1505" s="178" t="s">
        <v>732</v>
      </c>
      <c r="D1505" s="178" t="s">
        <v>63</v>
      </c>
      <c r="E1505">
        <v>1311.4</v>
      </c>
      <c r="F1505">
        <v>196.71</v>
      </c>
      <c r="G1505">
        <v>1508.11</v>
      </c>
    </row>
    <row r="1506" spans="1:7" x14ac:dyDescent="0.35">
      <c r="A1506" s="178" t="s">
        <v>460</v>
      </c>
      <c r="B1506" s="178" t="s">
        <v>2863</v>
      </c>
      <c r="C1506" s="178" t="s">
        <v>732</v>
      </c>
      <c r="D1506" s="178" t="s">
        <v>2864</v>
      </c>
      <c r="E1506">
        <v>4388.3999999999996</v>
      </c>
      <c r="F1506">
        <v>658.26</v>
      </c>
      <c r="G1506">
        <v>5046.66</v>
      </c>
    </row>
    <row r="1507" spans="1:7" x14ac:dyDescent="0.35">
      <c r="A1507" s="178" t="s">
        <v>587</v>
      </c>
      <c r="B1507" s="178" t="s">
        <v>2865</v>
      </c>
      <c r="C1507" s="178" t="s">
        <v>732</v>
      </c>
      <c r="D1507" s="178" t="s">
        <v>63</v>
      </c>
      <c r="E1507">
        <v>27999</v>
      </c>
      <c r="F1507">
        <v>4199.8599999999997</v>
      </c>
      <c r="G1507">
        <v>32198.86</v>
      </c>
    </row>
    <row r="1508" spans="1:7" x14ac:dyDescent="0.35">
      <c r="A1508" s="178" t="s">
        <v>529</v>
      </c>
      <c r="B1508" s="178" t="s">
        <v>2866</v>
      </c>
      <c r="C1508" s="178" t="s">
        <v>732</v>
      </c>
      <c r="D1508" s="178" t="s">
        <v>63</v>
      </c>
      <c r="E1508">
        <v>3208.75</v>
      </c>
      <c r="F1508">
        <v>481.31</v>
      </c>
      <c r="G1508">
        <v>3690.06</v>
      </c>
    </row>
    <row r="1509" spans="1:7" x14ac:dyDescent="0.35">
      <c r="A1509" s="178" t="s">
        <v>736</v>
      </c>
      <c r="B1509" s="178" t="s">
        <v>2867</v>
      </c>
      <c r="C1509" s="178" t="s">
        <v>732</v>
      </c>
      <c r="D1509" s="178" t="s">
        <v>2868</v>
      </c>
      <c r="E1509">
        <v>1438.5</v>
      </c>
      <c r="F1509">
        <v>215.78</v>
      </c>
      <c r="G1509">
        <v>1654.28</v>
      </c>
    </row>
    <row r="1510" spans="1:7" x14ac:dyDescent="0.35">
      <c r="A1510" s="178" t="s">
        <v>2869</v>
      </c>
      <c r="B1510" s="178" t="s">
        <v>2870</v>
      </c>
      <c r="C1510" s="178" t="s">
        <v>732</v>
      </c>
      <c r="D1510" s="178" t="s">
        <v>63</v>
      </c>
      <c r="E1510">
        <v>19278</v>
      </c>
      <c r="F1510">
        <v>2891.7</v>
      </c>
      <c r="G1510">
        <v>22169.7</v>
      </c>
    </row>
    <row r="1511" spans="1:7" x14ac:dyDescent="0.35">
      <c r="A1511" s="178" t="s">
        <v>2523</v>
      </c>
      <c r="B1511" s="178" t="s">
        <v>2871</v>
      </c>
      <c r="C1511" s="178" t="s">
        <v>732</v>
      </c>
      <c r="D1511" s="178" t="s">
        <v>63</v>
      </c>
      <c r="E1511">
        <v>1897.8</v>
      </c>
      <c r="F1511">
        <v>284.67</v>
      </c>
      <c r="G1511">
        <v>2182.4699999999998</v>
      </c>
    </row>
    <row r="1512" spans="1:7" x14ac:dyDescent="0.35">
      <c r="A1512" s="178" t="s">
        <v>976</v>
      </c>
      <c r="B1512" s="178" t="s">
        <v>2872</v>
      </c>
      <c r="C1512" s="178" t="s">
        <v>732</v>
      </c>
      <c r="D1512" s="178" t="s">
        <v>63</v>
      </c>
      <c r="E1512">
        <v>5103</v>
      </c>
      <c r="F1512">
        <v>765.45</v>
      </c>
      <c r="G1512">
        <v>5868.45</v>
      </c>
    </row>
    <row r="1513" spans="1:7" x14ac:dyDescent="0.35">
      <c r="A1513" s="178" t="s">
        <v>2873</v>
      </c>
      <c r="B1513" s="178" t="s">
        <v>2874</v>
      </c>
      <c r="C1513" s="178" t="s">
        <v>732</v>
      </c>
      <c r="D1513" s="178" t="s">
        <v>63</v>
      </c>
      <c r="E1513">
        <v>1780.75</v>
      </c>
      <c r="F1513">
        <v>267.12</v>
      </c>
      <c r="G1513">
        <v>2047.87</v>
      </c>
    </row>
    <row r="1514" spans="1:7" x14ac:dyDescent="0.35">
      <c r="A1514" s="178" t="s">
        <v>529</v>
      </c>
      <c r="B1514" s="178" t="s">
        <v>2875</v>
      </c>
      <c r="C1514" s="178" t="s">
        <v>732</v>
      </c>
      <c r="D1514" s="178" t="s">
        <v>63</v>
      </c>
      <c r="E1514">
        <v>2732.75</v>
      </c>
      <c r="F1514">
        <v>409.91</v>
      </c>
      <c r="G1514">
        <v>3142.66</v>
      </c>
    </row>
    <row r="1515" spans="1:7" x14ac:dyDescent="0.35">
      <c r="A1515" s="178" t="s">
        <v>602</v>
      </c>
      <c r="B1515" s="178" t="s">
        <v>2876</v>
      </c>
      <c r="C1515" s="178" t="s">
        <v>732</v>
      </c>
      <c r="D1515" s="178" t="s">
        <v>63</v>
      </c>
      <c r="E1515">
        <v>711</v>
      </c>
      <c r="F1515">
        <v>106.65</v>
      </c>
      <c r="G1515">
        <v>817.65</v>
      </c>
    </row>
    <row r="1516" spans="1:7" x14ac:dyDescent="0.35">
      <c r="A1516" s="178" t="s">
        <v>2877</v>
      </c>
      <c r="B1516" s="178" t="s">
        <v>63</v>
      </c>
      <c r="C1516" s="178" t="s">
        <v>63</v>
      </c>
      <c r="D1516" s="178" t="s">
        <v>63</v>
      </c>
      <c r="E1516">
        <v>9605934.7900000103</v>
      </c>
      <c r="F1516">
        <v>1326907.01</v>
      </c>
      <c r="G1516">
        <v>10932841.800000001</v>
      </c>
    </row>
  </sheetData>
  <conditionalFormatting sqref="B1:B65386"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628"/>
  <sheetViews>
    <sheetView workbookViewId="0">
      <selection activeCell="G18" sqref="G18:G20"/>
    </sheetView>
  </sheetViews>
  <sheetFormatPr defaultRowHeight="14.5" x14ac:dyDescent="0.35"/>
  <cols>
    <col min="1" max="1" width="24.54296875" bestFit="1" customWidth="1"/>
    <col min="2" max="3" width="9.1796875" style="14" customWidth="1"/>
    <col min="4" max="4" width="11" style="14" customWidth="1"/>
    <col min="5" max="5" width="9" style="14" bestFit="1" customWidth="1"/>
    <col min="6" max="7" width="11.1796875" style="14" customWidth="1"/>
    <col min="8" max="8" width="8.26953125" style="14" customWidth="1"/>
    <col min="9" max="9" width="7.81640625" style="14" customWidth="1"/>
    <col min="10" max="10" width="7.81640625" style="15" customWidth="1"/>
    <col min="11" max="11" width="12.7265625" style="14" bestFit="1" customWidth="1"/>
    <col min="12" max="12" width="9" style="14" hidden="1" customWidth="1"/>
    <col min="13" max="13" width="9.7265625" style="14" bestFit="1" customWidth="1"/>
    <col min="14" max="14" width="14.1796875" style="14" customWidth="1"/>
    <col min="15" max="17" width="13.81640625" style="12" customWidth="1"/>
    <col min="18" max="18" width="9.1796875" style="13" customWidth="1"/>
    <col min="19" max="19" width="8" style="13" customWidth="1"/>
    <col min="20" max="20" width="9.1796875" customWidth="1"/>
  </cols>
  <sheetData>
    <row r="1" spans="1:19" s="3" customFormat="1" ht="19.5" customHeight="1" x14ac:dyDescent="0.35">
      <c r="A1" s="26"/>
      <c r="B1" s="27"/>
      <c r="C1" s="27"/>
      <c r="D1" s="27"/>
      <c r="E1" s="75"/>
      <c r="F1" s="27"/>
      <c r="G1" s="28"/>
      <c r="H1" s="51"/>
      <c r="I1" s="51"/>
      <c r="J1" s="51"/>
      <c r="K1" s="27"/>
      <c r="L1" s="29"/>
      <c r="M1" s="29"/>
      <c r="N1" s="29"/>
      <c r="O1" s="29"/>
      <c r="R1" s="2"/>
      <c r="S1" s="2"/>
    </row>
    <row r="2" spans="1:19" s="5" customFormat="1" ht="22.5" customHeight="1" x14ac:dyDescent="0.35">
      <c r="A2" s="30"/>
      <c r="B2" s="19"/>
      <c r="C2" s="19"/>
      <c r="D2" s="19"/>
      <c r="E2" s="76"/>
      <c r="F2" s="19"/>
      <c r="G2" s="31"/>
      <c r="H2" s="65"/>
      <c r="I2" s="65"/>
      <c r="J2" s="65"/>
      <c r="K2" s="31"/>
      <c r="L2" s="32"/>
      <c r="M2" s="32"/>
      <c r="N2" s="32"/>
      <c r="O2" s="32"/>
      <c r="P2" s="32"/>
      <c r="Q2" s="66"/>
      <c r="R2" s="4"/>
      <c r="S2" s="4"/>
    </row>
    <row r="3" spans="1:19" s="5" customFormat="1" ht="15.5" x14ac:dyDescent="0.35">
      <c r="A3" s="21"/>
      <c r="B3" s="60"/>
      <c r="C3" s="60"/>
      <c r="D3" s="60"/>
      <c r="E3" s="77"/>
      <c r="F3" s="60"/>
      <c r="G3" s="61"/>
      <c r="H3" s="61"/>
      <c r="I3" s="61"/>
      <c r="J3" s="61"/>
      <c r="K3" s="61"/>
      <c r="L3" s="63"/>
      <c r="M3" s="63"/>
      <c r="N3" s="63"/>
      <c r="O3" s="62"/>
      <c r="P3" s="62"/>
      <c r="Q3" s="67"/>
      <c r="R3" s="6"/>
      <c r="S3" s="7"/>
    </row>
    <row r="4" spans="1:19" x14ac:dyDescent="0.35">
      <c r="A4" s="55"/>
      <c r="B4" s="17"/>
      <c r="C4" s="17"/>
      <c r="D4" s="17"/>
      <c r="E4" s="78"/>
      <c r="F4" s="17"/>
      <c r="G4" s="18"/>
      <c r="H4" s="52"/>
      <c r="I4" s="52"/>
      <c r="J4" s="52"/>
      <c r="K4" s="40"/>
      <c r="L4" s="25"/>
      <c r="M4" s="25"/>
      <c r="N4" s="25"/>
      <c r="O4" s="25"/>
      <c r="P4" s="25"/>
      <c r="Q4" s="68"/>
      <c r="R4" s="8"/>
      <c r="S4" s="8"/>
    </row>
    <row r="5" spans="1:19" x14ac:dyDescent="0.35">
      <c r="A5" s="55"/>
      <c r="B5" s="17"/>
      <c r="C5" s="17"/>
      <c r="D5" s="17"/>
      <c r="E5" s="78"/>
      <c r="F5" s="17"/>
      <c r="G5" s="18"/>
      <c r="H5" s="52"/>
      <c r="I5" s="73"/>
      <c r="J5" s="52"/>
      <c r="K5" s="40"/>
      <c r="L5" s="25"/>
      <c r="M5" s="25"/>
      <c r="N5" s="25"/>
      <c r="O5" s="25"/>
      <c r="P5" s="25"/>
      <c r="Q5" s="68"/>
      <c r="R5" s="8"/>
      <c r="S5" s="8"/>
    </row>
    <row r="6" spans="1:19" x14ac:dyDescent="0.35">
      <c r="A6" s="55"/>
      <c r="B6" s="17"/>
      <c r="C6" s="17"/>
      <c r="D6" s="17"/>
      <c r="E6" s="78"/>
      <c r="F6" s="17"/>
      <c r="G6" s="18"/>
      <c r="H6" s="71"/>
      <c r="I6" s="73"/>
      <c r="J6" s="52"/>
      <c r="K6" s="40"/>
      <c r="L6" s="25"/>
      <c r="M6" s="25"/>
      <c r="N6" s="25"/>
      <c r="O6" s="25"/>
      <c r="P6" s="25"/>
      <c r="Q6" s="68"/>
      <c r="R6" s="8"/>
      <c r="S6" s="8"/>
    </row>
    <row r="7" spans="1:19" x14ac:dyDescent="0.35">
      <c r="A7" s="55"/>
      <c r="B7" s="17"/>
      <c r="C7" s="17"/>
      <c r="D7" s="17"/>
      <c r="E7" s="78"/>
      <c r="F7" s="17"/>
      <c r="G7" s="18"/>
      <c r="H7" s="52"/>
      <c r="I7" s="73"/>
      <c r="J7" s="52"/>
      <c r="K7" s="40"/>
      <c r="L7" s="25"/>
      <c r="M7" s="25"/>
      <c r="N7" s="25"/>
      <c r="O7" s="25"/>
      <c r="P7" s="25"/>
      <c r="Q7" s="68"/>
      <c r="R7" s="8"/>
      <c r="S7" s="8"/>
    </row>
    <row r="8" spans="1:19" x14ac:dyDescent="0.35">
      <c r="A8" s="55"/>
      <c r="B8" s="17"/>
      <c r="C8" s="17"/>
      <c r="D8" s="17"/>
      <c r="E8" s="78"/>
      <c r="F8" s="17"/>
      <c r="G8" s="18"/>
      <c r="H8" s="71"/>
      <c r="I8" s="52"/>
      <c r="J8" s="52"/>
      <c r="K8" s="40"/>
      <c r="L8" s="25"/>
      <c r="M8" s="25"/>
      <c r="N8" s="25"/>
      <c r="O8" s="25"/>
      <c r="P8" s="25"/>
      <c r="Q8" s="68"/>
      <c r="R8" s="8"/>
      <c r="S8" s="8"/>
    </row>
    <row r="9" spans="1:19" x14ac:dyDescent="0.35">
      <c r="A9" s="55"/>
      <c r="B9" s="17"/>
      <c r="C9" s="17"/>
      <c r="D9" s="17"/>
      <c r="E9" s="78"/>
      <c r="F9" s="17"/>
      <c r="G9" s="18"/>
      <c r="H9" s="52"/>
      <c r="I9" s="52"/>
      <c r="J9" s="52"/>
      <c r="K9" s="40"/>
      <c r="L9" s="25"/>
      <c r="M9" s="25"/>
      <c r="N9" s="25"/>
      <c r="O9" s="25"/>
      <c r="P9" s="25"/>
      <c r="Q9" s="68"/>
      <c r="R9" s="8"/>
      <c r="S9" s="8"/>
    </row>
    <row r="10" spans="1:19" x14ac:dyDescent="0.35">
      <c r="A10" s="55"/>
      <c r="B10" s="17"/>
      <c r="C10" s="17"/>
      <c r="D10" s="17"/>
      <c r="E10" s="78"/>
      <c r="F10" s="17"/>
      <c r="G10" s="18"/>
      <c r="H10" s="52"/>
      <c r="I10" s="52"/>
      <c r="J10" s="52"/>
      <c r="K10" s="40"/>
      <c r="L10" s="25"/>
      <c r="M10" s="25"/>
      <c r="N10" s="25"/>
      <c r="O10" s="25"/>
      <c r="P10" s="25"/>
      <c r="Q10" s="68"/>
      <c r="R10" s="8"/>
      <c r="S10" s="8"/>
    </row>
    <row r="11" spans="1:19" x14ac:dyDescent="0.35">
      <c r="A11" s="55"/>
      <c r="B11" s="17"/>
      <c r="C11" s="17"/>
      <c r="D11" s="17"/>
      <c r="E11" s="78"/>
      <c r="F11" s="17"/>
      <c r="G11" s="18"/>
      <c r="H11" s="52"/>
      <c r="I11" s="52"/>
      <c r="J11" s="52"/>
      <c r="K11" s="40"/>
      <c r="L11" s="25"/>
      <c r="M11" s="25"/>
      <c r="N11" s="25"/>
      <c r="O11" s="25"/>
      <c r="P11" s="25"/>
      <c r="Q11" s="68"/>
      <c r="R11" s="8"/>
      <c r="S11" s="8"/>
    </row>
    <row r="12" spans="1:19" x14ac:dyDescent="0.35">
      <c r="A12" s="55"/>
      <c r="B12" s="17"/>
      <c r="C12" s="17"/>
      <c r="D12" s="17"/>
      <c r="E12" s="78"/>
      <c r="F12" s="17"/>
      <c r="G12" s="18"/>
      <c r="H12" s="52"/>
      <c r="I12" s="52"/>
      <c r="J12" s="52"/>
      <c r="K12" s="40"/>
      <c r="L12" s="25"/>
      <c r="M12" s="25"/>
      <c r="N12" s="25"/>
      <c r="O12" s="25"/>
      <c r="P12" s="25"/>
      <c r="Q12" s="68"/>
      <c r="R12" s="8"/>
      <c r="S12" s="8"/>
    </row>
    <row r="13" spans="1:19" x14ac:dyDescent="0.35">
      <c r="A13" s="55"/>
      <c r="B13" s="17"/>
      <c r="C13" s="17"/>
      <c r="D13" s="17"/>
      <c r="E13" s="78"/>
      <c r="F13" s="17"/>
      <c r="G13" s="18"/>
      <c r="H13" s="71"/>
      <c r="I13" s="52"/>
      <c r="J13" s="52"/>
      <c r="K13" s="40"/>
      <c r="L13" s="25"/>
      <c r="M13" s="25"/>
      <c r="N13" s="25"/>
      <c r="O13" s="25"/>
      <c r="P13" s="25"/>
      <c r="Q13" s="68"/>
      <c r="R13" s="8"/>
      <c r="S13" s="8"/>
    </row>
    <row r="14" spans="1:19" x14ac:dyDescent="0.35">
      <c r="A14" s="55"/>
      <c r="B14" s="17"/>
      <c r="C14" s="17"/>
      <c r="D14" s="17"/>
      <c r="E14" s="78"/>
      <c r="F14" s="17"/>
      <c r="G14" s="18"/>
      <c r="H14" s="52"/>
      <c r="I14" s="73"/>
      <c r="J14" s="52"/>
      <c r="K14" s="40"/>
      <c r="L14" s="25"/>
      <c r="M14" s="25"/>
      <c r="N14" s="25"/>
      <c r="O14" s="25"/>
      <c r="P14" s="25"/>
      <c r="Q14" s="68"/>
      <c r="R14" s="8"/>
      <c r="S14" s="8"/>
    </row>
    <row r="15" spans="1:19" x14ac:dyDescent="0.35">
      <c r="A15" s="55"/>
      <c r="B15" s="17"/>
      <c r="C15" s="17"/>
      <c r="D15" s="17"/>
      <c r="E15" s="78"/>
      <c r="F15" s="17"/>
      <c r="G15" s="18"/>
      <c r="H15" s="52"/>
      <c r="I15" s="52"/>
      <c r="J15" s="52"/>
      <c r="K15" s="40"/>
      <c r="L15" s="25"/>
      <c r="M15" s="25"/>
      <c r="N15" s="25"/>
      <c r="O15" s="25"/>
      <c r="P15" s="25"/>
      <c r="Q15" s="68"/>
      <c r="R15" s="8"/>
      <c r="S15" s="8"/>
    </row>
    <row r="16" spans="1:19" x14ac:dyDescent="0.35">
      <c r="A16" s="55"/>
      <c r="B16" s="17"/>
      <c r="C16" s="17"/>
      <c r="D16" s="17"/>
      <c r="E16" s="78"/>
      <c r="F16" s="17"/>
      <c r="G16" s="18"/>
      <c r="H16" s="71"/>
      <c r="I16" s="52"/>
      <c r="J16" s="52"/>
      <c r="K16" s="40"/>
      <c r="L16" s="25"/>
      <c r="M16" s="25"/>
      <c r="N16" s="25"/>
      <c r="O16" s="25"/>
      <c r="P16" s="25"/>
      <c r="Q16" s="68"/>
      <c r="R16" s="8"/>
      <c r="S16" s="8"/>
    </row>
    <row r="17" spans="1:19" x14ac:dyDescent="0.35">
      <c r="A17" s="55"/>
      <c r="B17" s="17"/>
      <c r="C17" s="17"/>
      <c r="D17" s="17"/>
      <c r="E17" s="78"/>
      <c r="F17" s="17"/>
      <c r="G17" s="18"/>
      <c r="H17" s="52"/>
      <c r="I17" s="52"/>
      <c r="J17" s="52"/>
      <c r="K17" s="40"/>
      <c r="L17" s="25"/>
      <c r="M17" s="25"/>
      <c r="N17" s="25"/>
      <c r="O17" s="25"/>
      <c r="P17" s="25"/>
      <c r="Q17" s="68"/>
      <c r="R17" s="8"/>
      <c r="S17" s="8"/>
    </row>
    <row r="18" spans="1:19" x14ac:dyDescent="0.35">
      <c r="A18" s="55"/>
      <c r="B18" s="17"/>
      <c r="C18" s="17"/>
      <c r="D18" s="17"/>
      <c r="E18" s="78"/>
      <c r="F18" s="17"/>
      <c r="G18" s="18"/>
      <c r="H18" s="52"/>
      <c r="I18" s="52"/>
      <c r="J18" s="52"/>
      <c r="K18" s="40"/>
      <c r="L18" s="25"/>
      <c r="M18" s="25"/>
      <c r="N18" s="25"/>
      <c r="O18" s="25"/>
      <c r="P18" s="25"/>
      <c r="Q18" s="68"/>
      <c r="R18" s="8"/>
      <c r="S18" s="8"/>
    </row>
    <row r="19" spans="1:19" x14ac:dyDescent="0.35">
      <c r="A19" s="55"/>
      <c r="B19" s="17"/>
      <c r="C19" s="17"/>
      <c r="D19" s="17"/>
      <c r="E19" s="78"/>
      <c r="F19" s="17"/>
      <c r="G19" s="18"/>
      <c r="H19" s="52"/>
      <c r="I19" s="52"/>
      <c r="J19" s="52"/>
      <c r="K19" s="40"/>
      <c r="L19" s="25"/>
      <c r="M19" s="25"/>
      <c r="N19" s="25"/>
      <c r="O19" s="25"/>
      <c r="P19" s="25"/>
      <c r="Q19" s="68"/>
      <c r="R19" s="8"/>
      <c r="S19" s="8"/>
    </row>
    <row r="20" spans="1:19" x14ac:dyDescent="0.35">
      <c r="A20" s="55"/>
      <c r="B20" s="17"/>
      <c r="C20" s="17"/>
      <c r="D20" s="17"/>
      <c r="E20" s="78"/>
      <c r="F20" s="17"/>
      <c r="G20" s="18"/>
      <c r="H20" s="52"/>
      <c r="I20" s="52"/>
      <c r="J20" s="52"/>
      <c r="K20" s="40"/>
      <c r="L20" s="25"/>
      <c r="M20" s="25"/>
      <c r="N20" s="25"/>
      <c r="O20" s="25"/>
      <c r="P20" s="25"/>
      <c r="Q20" s="68"/>
      <c r="R20" s="8"/>
      <c r="S20" s="8"/>
    </row>
    <row r="21" spans="1:19" x14ac:dyDescent="0.35">
      <c r="A21" s="55"/>
      <c r="B21" s="17"/>
      <c r="C21" s="17"/>
      <c r="D21" s="17"/>
      <c r="E21" s="78"/>
      <c r="F21" s="17"/>
      <c r="G21" s="18"/>
      <c r="H21" s="52"/>
      <c r="I21" s="52"/>
      <c r="J21" s="52"/>
      <c r="K21" s="40"/>
      <c r="L21" s="25"/>
      <c r="M21" s="25"/>
      <c r="N21" s="25"/>
      <c r="O21" s="25"/>
      <c r="P21" s="25"/>
      <c r="Q21" s="68"/>
      <c r="R21" s="8"/>
      <c r="S21" s="8"/>
    </row>
    <row r="22" spans="1:19" x14ac:dyDescent="0.35">
      <c r="A22" s="64"/>
      <c r="B22" s="17"/>
      <c r="C22" s="17"/>
      <c r="D22" s="17"/>
      <c r="E22" s="78"/>
      <c r="F22" s="17"/>
      <c r="G22" s="18"/>
      <c r="H22" s="52"/>
      <c r="I22" s="73"/>
      <c r="J22" s="52"/>
      <c r="K22" s="40"/>
      <c r="L22" s="25"/>
      <c r="M22" s="25"/>
      <c r="N22" s="25"/>
      <c r="O22" s="25"/>
      <c r="P22" s="25"/>
      <c r="Q22" s="68"/>
      <c r="R22" s="8"/>
      <c r="S22" s="8"/>
    </row>
    <row r="23" spans="1:19" x14ac:dyDescent="0.35">
      <c r="A23" s="55"/>
      <c r="B23" s="17"/>
      <c r="C23" s="17"/>
      <c r="D23" s="17"/>
      <c r="E23" s="78"/>
      <c r="F23" s="17"/>
      <c r="G23" s="18"/>
      <c r="H23" s="52"/>
      <c r="I23" s="52"/>
      <c r="J23" s="52"/>
      <c r="K23" s="40"/>
      <c r="L23" s="25"/>
      <c r="M23" s="25"/>
      <c r="N23" s="25"/>
      <c r="O23" s="25"/>
      <c r="P23" s="25"/>
      <c r="Q23" s="68"/>
      <c r="R23" s="8"/>
      <c r="S23" s="8"/>
    </row>
    <row r="24" spans="1:19" x14ac:dyDescent="0.35">
      <c r="A24" s="55"/>
      <c r="B24" s="17"/>
      <c r="C24" s="17"/>
      <c r="D24" s="17"/>
      <c r="E24" s="78"/>
      <c r="F24" s="17"/>
      <c r="G24" s="18"/>
      <c r="H24" s="52"/>
      <c r="I24" s="52"/>
      <c r="J24" s="52"/>
      <c r="K24" s="40"/>
      <c r="L24" s="25"/>
      <c r="M24" s="25"/>
      <c r="N24" s="25"/>
      <c r="O24" s="25"/>
      <c r="P24" s="25"/>
      <c r="Q24" s="68"/>
      <c r="R24" s="8"/>
      <c r="S24" s="8"/>
    </row>
    <row r="25" spans="1:19" x14ac:dyDescent="0.35">
      <c r="A25" s="55"/>
      <c r="B25" s="17"/>
      <c r="C25" s="17"/>
      <c r="D25" s="17"/>
      <c r="E25" s="78"/>
      <c r="F25" s="17"/>
      <c r="G25" s="18"/>
      <c r="H25" s="52"/>
      <c r="I25" s="52"/>
      <c r="J25" s="52"/>
      <c r="K25" s="40"/>
      <c r="L25" s="25"/>
      <c r="M25" s="25"/>
      <c r="N25" s="25"/>
      <c r="O25" s="25"/>
      <c r="P25" s="25"/>
      <c r="Q25" s="68"/>
      <c r="R25" s="8"/>
      <c r="S25" s="8"/>
    </row>
    <row r="26" spans="1:19" x14ac:dyDescent="0.35">
      <c r="A26" s="55"/>
      <c r="B26" s="17"/>
      <c r="C26" s="17"/>
      <c r="D26" s="17"/>
      <c r="E26" s="78"/>
      <c r="F26" s="17"/>
      <c r="G26" s="18"/>
      <c r="H26" s="71"/>
      <c r="I26" s="52"/>
      <c r="J26" s="52"/>
      <c r="K26" s="40"/>
      <c r="L26" s="25"/>
      <c r="M26" s="25"/>
      <c r="N26" s="25"/>
      <c r="O26" s="25"/>
      <c r="P26" s="25"/>
      <c r="Q26" s="68"/>
      <c r="R26" s="8"/>
      <c r="S26" s="8"/>
    </row>
    <row r="27" spans="1:19" x14ac:dyDescent="0.35">
      <c r="A27" s="55"/>
      <c r="B27" s="17"/>
      <c r="C27" s="17"/>
      <c r="D27" s="17"/>
      <c r="E27" s="78"/>
      <c r="F27" s="17"/>
      <c r="G27" s="18"/>
      <c r="H27" s="52"/>
      <c r="I27" s="52"/>
      <c r="J27" s="52"/>
      <c r="K27" s="40"/>
      <c r="L27" s="25"/>
      <c r="M27" s="25"/>
      <c r="N27" s="25"/>
      <c r="O27" s="25"/>
      <c r="P27" s="25"/>
      <c r="Q27" s="68"/>
      <c r="R27" s="8"/>
      <c r="S27" s="8"/>
    </row>
    <row r="28" spans="1:19" x14ac:dyDescent="0.35">
      <c r="A28" s="41"/>
      <c r="B28" s="17"/>
      <c r="C28" s="17"/>
      <c r="D28" s="17"/>
      <c r="E28" s="78"/>
      <c r="F28" s="17"/>
      <c r="G28" s="18"/>
      <c r="H28" s="52"/>
      <c r="I28" s="52"/>
      <c r="J28" s="52"/>
      <c r="K28" s="40"/>
      <c r="L28" s="25"/>
      <c r="M28" s="25"/>
      <c r="N28" s="25"/>
      <c r="O28" s="25"/>
      <c r="P28" s="25"/>
      <c r="Q28" s="68"/>
      <c r="R28" s="8"/>
      <c r="S28" s="8"/>
    </row>
    <row r="29" spans="1:19" x14ac:dyDescent="0.35">
      <c r="A29" s="55"/>
      <c r="B29" s="17"/>
      <c r="C29" s="17"/>
      <c r="D29" s="17"/>
      <c r="E29" s="78"/>
      <c r="F29" s="17"/>
      <c r="G29" s="18"/>
      <c r="H29" s="71"/>
      <c r="I29" s="52"/>
      <c r="J29" s="52"/>
      <c r="K29" s="40"/>
      <c r="L29" s="25"/>
      <c r="M29" s="25"/>
      <c r="N29" s="25"/>
      <c r="O29" s="25"/>
      <c r="P29" s="25"/>
      <c r="Q29" s="68"/>
      <c r="R29" s="8"/>
      <c r="S29" s="8"/>
    </row>
    <row r="30" spans="1:19" x14ac:dyDescent="0.35">
      <c r="A30" s="41"/>
      <c r="B30" s="17"/>
      <c r="C30" s="17"/>
      <c r="D30" s="17"/>
      <c r="E30" s="78"/>
      <c r="F30" s="17"/>
      <c r="G30" s="18"/>
      <c r="H30" s="52"/>
      <c r="I30" s="52"/>
      <c r="J30" s="52"/>
      <c r="K30" s="40"/>
      <c r="L30" s="25"/>
      <c r="M30" s="25"/>
      <c r="N30" s="25"/>
      <c r="O30" s="25"/>
      <c r="P30" s="25"/>
      <c r="Q30" s="68"/>
      <c r="R30" s="8"/>
      <c r="S30" s="8"/>
    </row>
    <row r="31" spans="1:19" x14ac:dyDescent="0.35">
      <c r="A31" s="55"/>
      <c r="B31" s="17"/>
      <c r="C31" s="17"/>
      <c r="D31" s="17"/>
      <c r="E31" s="78"/>
      <c r="F31" s="17"/>
      <c r="G31" s="18"/>
      <c r="H31" s="71"/>
      <c r="I31" s="73"/>
      <c r="J31" s="52"/>
      <c r="K31" s="40"/>
      <c r="L31" s="25"/>
      <c r="M31" s="25"/>
      <c r="N31" s="25"/>
      <c r="O31" s="25"/>
      <c r="P31" s="25"/>
      <c r="Q31" s="68"/>
      <c r="R31" s="8"/>
      <c r="S31" s="8"/>
    </row>
    <row r="32" spans="1:19" x14ac:dyDescent="0.35">
      <c r="A32" s="41"/>
      <c r="B32" s="17"/>
      <c r="C32" s="17"/>
      <c r="D32" s="17"/>
      <c r="E32" s="78"/>
      <c r="F32" s="17"/>
      <c r="G32" s="18"/>
      <c r="H32" s="52"/>
      <c r="I32" s="52"/>
      <c r="J32" s="52"/>
      <c r="K32" s="40"/>
      <c r="L32" s="25"/>
      <c r="M32" s="25"/>
      <c r="N32" s="25"/>
      <c r="O32" s="25"/>
      <c r="P32" s="25"/>
      <c r="Q32" s="68"/>
      <c r="R32" s="8"/>
      <c r="S32" s="8"/>
    </row>
    <row r="33" spans="1:19" x14ac:dyDescent="0.35">
      <c r="A33" s="55"/>
      <c r="B33" s="17"/>
      <c r="C33" s="17"/>
      <c r="D33" s="17"/>
      <c r="E33" s="78"/>
      <c r="F33" s="17"/>
      <c r="G33" s="18"/>
      <c r="H33" s="52"/>
      <c r="I33" s="52"/>
      <c r="J33" s="52"/>
      <c r="K33" s="40"/>
      <c r="L33" s="25"/>
      <c r="M33" s="25"/>
      <c r="N33" s="25"/>
      <c r="O33" s="25"/>
      <c r="P33" s="25"/>
      <c r="Q33" s="68"/>
      <c r="R33" s="8"/>
      <c r="S33" s="8"/>
    </row>
    <row r="34" spans="1:19" x14ac:dyDescent="0.35">
      <c r="A34" s="41"/>
      <c r="B34" s="17"/>
      <c r="C34" s="17"/>
      <c r="D34" s="17"/>
      <c r="E34" s="78"/>
      <c r="F34" s="17"/>
      <c r="G34" s="18"/>
      <c r="H34" s="52"/>
      <c r="I34" s="52"/>
      <c r="J34" s="52"/>
      <c r="K34" s="40"/>
      <c r="L34" s="25"/>
      <c r="M34" s="25"/>
      <c r="N34" s="25"/>
      <c r="O34" s="25"/>
      <c r="P34" s="25"/>
      <c r="Q34" s="68"/>
      <c r="R34" s="8"/>
      <c r="S34" s="8"/>
    </row>
    <row r="35" spans="1:19" x14ac:dyDescent="0.35">
      <c r="A35" s="55"/>
      <c r="B35" s="17"/>
      <c r="C35" s="17"/>
      <c r="D35" s="17"/>
      <c r="E35" s="78"/>
      <c r="F35" s="17"/>
      <c r="G35" s="18"/>
      <c r="H35" s="52"/>
      <c r="I35" s="52"/>
      <c r="J35" s="52"/>
      <c r="K35" s="40"/>
      <c r="L35" s="25"/>
      <c r="M35" s="25"/>
      <c r="N35" s="25"/>
      <c r="O35" s="25"/>
      <c r="P35" s="25"/>
      <c r="Q35" s="68"/>
      <c r="R35" s="8"/>
      <c r="S35" s="8"/>
    </row>
    <row r="36" spans="1:19" x14ac:dyDescent="0.35">
      <c r="A36" s="41"/>
      <c r="B36" s="17"/>
      <c r="C36" s="17"/>
      <c r="D36" s="17"/>
      <c r="E36" s="78"/>
      <c r="F36" s="17"/>
      <c r="G36" s="18"/>
      <c r="H36" s="52"/>
      <c r="I36" s="52"/>
      <c r="J36" s="52"/>
      <c r="K36" s="40"/>
      <c r="L36" s="25"/>
      <c r="M36" s="25"/>
      <c r="N36" s="25"/>
      <c r="O36" s="25"/>
      <c r="P36" s="25"/>
      <c r="Q36" s="68"/>
      <c r="R36" s="8"/>
      <c r="S36" s="8"/>
    </row>
    <row r="37" spans="1:19" x14ac:dyDescent="0.35">
      <c r="A37" s="55"/>
      <c r="B37" s="17"/>
      <c r="C37" s="17"/>
      <c r="D37" s="17"/>
      <c r="E37" s="78"/>
      <c r="F37" s="17"/>
      <c r="G37" s="18"/>
      <c r="H37" s="52"/>
      <c r="I37" s="52"/>
      <c r="J37" s="52"/>
      <c r="K37" s="40"/>
      <c r="L37" s="25"/>
      <c r="M37" s="25"/>
      <c r="N37" s="25"/>
      <c r="O37" s="25"/>
      <c r="P37" s="25"/>
      <c r="Q37" s="68"/>
      <c r="R37" s="8"/>
      <c r="S37" s="8"/>
    </row>
    <row r="38" spans="1:19" x14ac:dyDescent="0.35">
      <c r="A38" s="55"/>
      <c r="B38" s="17"/>
      <c r="C38" s="17"/>
      <c r="D38" s="17"/>
      <c r="E38" s="78"/>
      <c r="F38" s="17"/>
      <c r="G38" s="18"/>
      <c r="H38" s="71"/>
      <c r="I38" s="52"/>
      <c r="J38" s="52"/>
      <c r="K38" s="40"/>
      <c r="L38" s="25"/>
      <c r="M38" s="25"/>
      <c r="N38" s="25"/>
      <c r="O38" s="25"/>
      <c r="P38" s="25"/>
      <c r="Q38" s="68"/>
      <c r="R38" s="8"/>
      <c r="S38" s="8"/>
    </row>
    <row r="39" spans="1:19" x14ac:dyDescent="0.35">
      <c r="A39" s="55"/>
      <c r="B39" s="17"/>
      <c r="C39" s="17"/>
      <c r="D39" s="17"/>
      <c r="E39" s="78"/>
      <c r="F39" s="17"/>
      <c r="G39" s="18"/>
      <c r="H39" s="52"/>
      <c r="I39" s="52"/>
      <c r="J39" s="52"/>
      <c r="K39" s="40"/>
      <c r="L39" s="25"/>
      <c r="M39" s="25"/>
      <c r="N39" s="25"/>
      <c r="O39" s="25"/>
      <c r="P39" s="25"/>
      <c r="Q39" s="68"/>
      <c r="R39" s="8"/>
      <c r="S39" s="8"/>
    </row>
    <row r="40" spans="1:19" x14ac:dyDescent="0.35">
      <c r="A40" s="55"/>
      <c r="B40" s="17"/>
      <c r="C40" s="17"/>
      <c r="D40" s="17"/>
      <c r="E40" s="78"/>
      <c r="F40" s="17"/>
      <c r="G40" s="18"/>
      <c r="H40" s="71"/>
      <c r="I40" s="52"/>
      <c r="J40" s="52"/>
      <c r="K40" s="40"/>
      <c r="L40" s="25"/>
      <c r="M40" s="25"/>
      <c r="N40" s="25"/>
      <c r="O40" s="25"/>
      <c r="P40" s="25"/>
      <c r="Q40" s="68"/>
      <c r="R40" s="8"/>
      <c r="S40" s="8"/>
    </row>
    <row r="41" spans="1:19" x14ac:dyDescent="0.35">
      <c r="A41" s="55"/>
      <c r="B41" s="17"/>
      <c r="C41" s="17"/>
      <c r="D41" s="17"/>
      <c r="E41" s="78"/>
      <c r="F41" s="17"/>
      <c r="G41" s="18"/>
      <c r="H41" s="71"/>
      <c r="I41" s="52"/>
      <c r="J41" s="52"/>
      <c r="K41" s="40"/>
      <c r="L41" s="25"/>
      <c r="M41" s="25"/>
      <c r="N41" s="25"/>
      <c r="O41" s="25"/>
      <c r="P41" s="25"/>
      <c r="Q41" s="68"/>
      <c r="R41" s="8"/>
      <c r="S41" s="8"/>
    </row>
    <row r="42" spans="1:19" x14ac:dyDescent="0.35">
      <c r="A42" s="55"/>
      <c r="B42" s="17"/>
      <c r="C42" s="17"/>
      <c r="D42" s="17"/>
      <c r="E42" s="78"/>
      <c r="F42" s="17"/>
      <c r="G42" s="18"/>
      <c r="H42" s="52"/>
      <c r="I42" s="52"/>
      <c r="J42" s="52"/>
      <c r="K42" s="40"/>
      <c r="L42" s="25"/>
      <c r="M42" s="25"/>
      <c r="N42" s="25"/>
      <c r="O42" s="25"/>
      <c r="P42" s="25"/>
      <c r="Q42" s="68"/>
      <c r="R42" s="8"/>
      <c r="S42" s="8"/>
    </row>
    <row r="43" spans="1:19" x14ac:dyDescent="0.35">
      <c r="A43" s="55"/>
      <c r="B43" s="17"/>
      <c r="C43" s="17"/>
      <c r="D43" s="17"/>
      <c r="E43" s="78"/>
      <c r="F43" s="17"/>
      <c r="G43" s="18"/>
      <c r="H43" s="71"/>
      <c r="I43" s="52"/>
      <c r="J43" s="52"/>
      <c r="K43" s="40"/>
      <c r="L43" s="25"/>
      <c r="M43" s="25"/>
      <c r="N43" s="25"/>
      <c r="O43" s="25"/>
      <c r="P43" s="25"/>
      <c r="Q43" s="68"/>
      <c r="R43" s="8"/>
      <c r="S43" s="8"/>
    </row>
    <row r="44" spans="1:19" x14ac:dyDescent="0.35">
      <c r="A44" s="55"/>
      <c r="B44" s="17"/>
      <c r="C44" s="17"/>
      <c r="D44" s="17"/>
      <c r="E44" s="78"/>
      <c r="F44" s="17"/>
      <c r="G44" s="18"/>
      <c r="H44" s="71"/>
      <c r="I44" s="52"/>
      <c r="J44" s="52"/>
      <c r="K44" s="40"/>
      <c r="L44" s="25"/>
      <c r="M44" s="25"/>
      <c r="N44" s="25"/>
      <c r="O44" s="25"/>
      <c r="P44" s="25"/>
      <c r="Q44" s="68"/>
      <c r="R44" s="8"/>
      <c r="S44" s="8"/>
    </row>
    <row r="45" spans="1:19" x14ac:dyDescent="0.35">
      <c r="A45" s="55"/>
      <c r="B45" s="17"/>
      <c r="C45" s="17"/>
      <c r="D45" s="17"/>
      <c r="E45" s="78"/>
      <c r="F45" s="17"/>
      <c r="G45" s="18"/>
      <c r="H45" s="71"/>
      <c r="I45" s="52"/>
      <c r="J45" s="52"/>
      <c r="K45" s="40"/>
      <c r="L45" s="25"/>
      <c r="M45" s="25"/>
      <c r="N45" s="25"/>
      <c r="O45" s="25"/>
      <c r="P45" s="25"/>
      <c r="Q45" s="68"/>
      <c r="R45" s="8"/>
      <c r="S45" s="8"/>
    </row>
    <row r="46" spans="1:19" x14ac:dyDescent="0.35">
      <c r="A46" s="55"/>
      <c r="B46" s="17"/>
      <c r="C46" s="17"/>
      <c r="D46" s="17"/>
      <c r="E46" s="78"/>
      <c r="F46" s="17"/>
      <c r="G46" s="18"/>
      <c r="H46" s="71"/>
      <c r="I46" s="52"/>
      <c r="J46" s="52"/>
      <c r="K46" s="40"/>
      <c r="L46" s="25"/>
      <c r="M46" s="25"/>
      <c r="N46" s="25"/>
      <c r="O46" s="25"/>
      <c r="P46" s="25"/>
      <c r="Q46" s="68"/>
      <c r="R46" s="8"/>
      <c r="S46" s="8"/>
    </row>
    <row r="47" spans="1:19" x14ac:dyDescent="0.35">
      <c r="A47" s="55"/>
      <c r="B47" s="17"/>
      <c r="C47" s="17"/>
      <c r="D47" s="17"/>
      <c r="E47" s="78"/>
      <c r="F47" s="17"/>
      <c r="G47" s="18"/>
      <c r="H47" s="71"/>
      <c r="I47" s="52"/>
      <c r="J47" s="52"/>
      <c r="K47" s="40"/>
      <c r="L47" s="25"/>
      <c r="M47" s="25"/>
      <c r="N47" s="25"/>
      <c r="O47" s="25"/>
      <c r="P47" s="25"/>
      <c r="Q47" s="68"/>
      <c r="R47" s="9"/>
      <c r="S47" s="10"/>
    </row>
    <row r="48" spans="1:19" x14ac:dyDescent="0.35">
      <c r="A48" s="55"/>
      <c r="B48" s="17"/>
      <c r="C48" s="17"/>
      <c r="D48" s="17"/>
      <c r="E48" s="78"/>
      <c r="F48" s="17"/>
      <c r="G48" s="18"/>
      <c r="H48" s="52"/>
      <c r="I48" s="52"/>
      <c r="J48" s="52"/>
      <c r="K48" s="40"/>
      <c r="L48" s="25"/>
      <c r="M48" s="25"/>
      <c r="N48" s="25"/>
      <c r="O48" s="25"/>
      <c r="P48" s="25"/>
      <c r="Q48" s="68"/>
      <c r="R48" s="8"/>
      <c r="S48" s="8"/>
    </row>
    <row r="49" spans="1:19" x14ac:dyDescent="0.35">
      <c r="A49" s="55"/>
      <c r="B49" s="17"/>
      <c r="C49" s="17"/>
      <c r="D49" s="17"/>
      <c r="E49" s="78"/>
      <c r="F49" s="17"/>
      <c r="G49" s="18"/>
      <c r="H49" s="52"/>
      <c r="I49" s="52"/>
      <c r="J49" s="52"/>
      <c r="K49" s="40"/>
      <c r="L49" s="25"/>
      <c r="M49" s="25"/>
      <c r="N49" s="25"/>
      <c r="O49" s="25"/>
      <c r="P49" s="25"/>
      <c r="Q49" s="68"/>
      <c r="R49" s="8"/>
      <c r="S49" s="8"/>
    </row>
    <row r="50" spans="1:19" x14ac:dyDescent="0.35">
      <c r="A50" s="55"/>
      <c r="B50" s="17"/>
      <c r="C50" s="17"/>
      <c r="D50" s="17"/>
      <c r="E50" s="78"/>
      <c r="F50" s="17"/>
      <c r="G50" s="18"/>
      <c r="H50" s="52"/>
      <c r="I50" s="73"/>
      <c r="J50" s="52"/>
      <c r="K50" s="40"/>
      <c r="L50" s="25"/>
      <c r="M50" s="25"/>
      <c r="N50" s="25"/>
      <c r="O50" s="25"/>
      <c r="P50" s="25"/>
      <c r="Q50" s="68"/>
      <c r="R50" s="8"/>
      <c r="S50" s="8"/>
    </row>
    <row r="51" spans="1:19" x14ac:dyDescent="0.35">
      <c r="A51" s="55"/>
      <c r="B51" s="17"/>
      <c r="C51" s="17"/>
      <c r="D51" s="17"/>
      <c r="E51" s="78"/>
      <c r="F51" s="17"/>
      <c r="G51" s="18"/>
      <c r="H51" s="52"/>
      <c r="I51" s="73"/>
      <c r="J51" s="52"/>
      <c r="K51" s="40"/>
      <c r="L51" s="25"/>
      <c r="M51" s="25"/>
      <c r="N51" s="25"/>
      <c r="O51" s="25"/>
      <c r="P51" s="25"/>
      <c r="Q51" s="68"/>
      <c r="R51" s="8"/>
      <c r="S51" s="8"/>
    </row>
    <row r="52" spans="1:19" x14ac:dyDescent="0.35">
      <c r="A52" s="55"/>
      <c r="B52" s="17"/>
      <c r="C52" s="17"/>
      <c r="D52" s="17"/>
      <c r="E52" s="78"/>
      <c r="F52" s="17"/>
      <c r="G52" s="18"/>
      <c r="H52" s="52"/>
      <c r="I52" s="52"/>
      <c r="J52" s="52"/>
      <c r="K52" s="40"/>
      <c r="L52" s="25"/>
      <c r="M52" s="25"/>
      <c r="N52" s="25"/>
      <c r="O52" s="25"/>
      <c r="P52" s="25"/>
      <c r="Q52" s="68"/>
      <c r="R52" s="8"/>
      <c r="S52" s="8"/>
    </row>
    <row r="53" spans="1:19" x14ac:dyDescent="0.35">
      <c r="A53" s="55"/>
      <c r="B53" s="17"/>
      <c r="C53" s="17"/>
      <c r="D53" s="17"/>
      <c r="E53" s="78"/>
      <c r="F53" s="17"/>
      <c r="G53" s="18"/>
      <c r="H53" s="52"/>
      <c r="I53" s="52"/>
      <c r="J53" s="52"/>
      <c r="K53" s="40"/>
      <c r="L53" s="25"/>
      <c r="M53" s="25"/>
      <c r="N53" s="25"/>
      <c r="O53" s="25"/>
      <c r="P53" s="25"/>
      <c r="Q53" s="68"/>
      <c r="R53" s="8"/>
      <c r="S53" s="8"/>
    </row>
    <row r="54" spans="1:19" x14ac:dyDescent="0.35">
      <c r="A54" s="55"/>
      <c r="B54" s="17"/>
      <c r="C54" s="17"/>
      <c r="D54" s="17"/>
      <c r="E54" s="78"/>
      <c r="F54" s="17"/>
      <c r="G54" s="18"/>
      <c r="H54" s="52"/>
      <c r="I54" s="52"/>
      <c r="J54" s="52"/>
      <c r="K54" s="40"/>
      <c r="L54" s="25"/>
      <c r="M54" s="25"/>
      <c r="N54" s="25"/>
      <c r="O54" s="25"/>
      <c r="P54" s="25"/>
      <c r="Q54" s="68"/>
      <c r="R54" s="8"/>
      <c r="S54" s="8"/>
    </row>
    <row r="55" spans="1:19" x14ac:dyDescent="0.35">
      <c r="A55" s="55"/>
      <c r="B55" s="17"/>
      <c r="C55" s="17"/>
      <c r="D55" s="17"/>
      <c r="E55" s="78"/>
      <c r="F55" s="17"/>
      <c r="G55" s="18"/>
      <c r="H55" s="52"/>
      <c r="I55" s="73"/>
      <c r="J55" s="52"/>
      <c r="K55" s="40"/>
      <c r="L55" s="25"/>
      <c r="M55" s="25"/>
      <c r="N55" s="25"/>
      <c r="O55" s="25"/>
      <c r="P55" s="25"/>
      <c r="Q55" s="68"/>
      <c r="R55" s="8"/>
      <c r="S55" s="8"/>
    </row>
    <row r="56" spans="1:19" x14ac:dyDescent="0.35">
      <c r="A56" s="55"/>
      <c r="B56" s="17"/>
      <c r="C56" s="17"/>
      <c r="D56" s="17"/>
      <c r="E56" s="78"/>
      <c r="F56" s="17"/>
      <c r="G56" s="18"/>
      <c r="H56" s="52"/>
      <c r="I56" s="52"/>
      <c r="J56" s="52"/>
      <c r="K56" s="40"/>
      <c r="L56" s="25"/>
      <c r="M56" s="25"/>
      <c r="N56" s="25"/>
      <c r="O56" s="25"/>
      <c r="P56" s="25"/>
      <c r="Q56" s="68"/>
      <c r="R56" s="8"/>
      <c r="S56" s="8"/>
    </row>
    <row r="57" spans="1:19" x14ac:dyDescent="0.35">
      <c r="A57" s="72"/>
      <c r="B57" s="20"/>
      <c r="C57" s="17"/>
      <c r="D57" s="20"/>
      <c r="E57" s="78"/>
      <c r="F57" s="20"/>
      <c r="G57" s="18"/>
      <c r="H57" s="52"/>
      <c r="I57" s="52"/>
      <c r="J57" s="52"/>
      <c r="K57" s="40"/>
      <c r="L57" s="25"/>
      <c r="M57" s="25"/>
      <c r="N57" s="22"/>
      <c r="O57" s="23"/>
      <c r="P57" s="23"/>
      <c r="Q57" s="68"/>
      <c r="R57" s="8"/>
      <c r="S57" s="8"/>
    </row>
    <row r="58" spans="1:19" hidden="1" x14ac:dyDescent="0.35">
      <c r="A58" s="72"/>
      <c r="B58" s="20"/>
      <c r="C58" s="17"/>
      <c r="D58" s="20"/>
      <c r="E58" s="78"/>
      <c r="F58" s="20"/>
      <c r="G58" s="18"/>
      <c r="H58" s="52"/>
      <c r="I58" s="52"/>
      <c r="J58" s="52"/>
      <c r="K58" s="40"/>
      <c r="L58" s="25"/>
      <c r="M58" s="25"/>
      <c r="N58" s="22"/>
      <c r="O58" s="23"/>
      <c r="P58" s="23"/>
      <c r="Q58" s="68"/>
      <c r="R58" s="8"/>
      <c r="S58" s="8"/>
    </row>
    <row r="59" spans="1:19" x14ac:dyDescent="0.35">
      <c r="A59" s="72"/>
      <c r="B59" s="20"/>
      <c r="C59" s="17"/>
      <c r="D59" s="20"/>
      <c r="E59" s="78"/>
      <c r="F59" s="20"/>
      <c r="G59" s="18"/>
      <c r="H59" s="52"/>
      <c r="I59" s="52"/>
      <c r="J59" s="52"/>
      <c r="K59" s="40"/>
      <c r="L59" s="25"/>
      <c r="M59" s="25"/>
      <c r="N59" s="22"/>
      <c r="O59" s="23"/>
      <c r="P59" s="23"/>
      <c r="Q59" s="68"/>
      <c r="R59" s="8"/>
      <c r="S59" s="8"/>
    </row>
    <row r="60" spans="1:19" ht="15.5" x14ac:dyDescent="0.35">
      <c r="A60" s="42"/>
      <c r="B60" s="43"/>
      <c r="C60" s="44"/>
      <c r="D60" s="43"/>
      <c r="E60" s="43"/>
      <c r="F60" s="45"/>
      <c r="G60" s="46"/>
      <c r="H60" s="53"/>
      <c r="I60" s="53"/>
      <c r="J60" s="53"/>
      <c r="K60" s="56"/>
      <c r="L60" s="57"/>
      <c r="M60" s="57"/>
      <c r="N60" s="58"/>
      <c r="O60" s="59"/>
      <c r="P60" s="59"/>
      <c r="Q60" s="68"/>
      <c r="R60" s="8"/>
      <c r="S60" s="8"/>
    </row>
    <row r="61" spans="1:19" x14ac:dyDescent="0.35">
      <c r="A61" s="47"/>
      <c r="B61" s="44"/>
      <c r="C61" s="44"/>
      <c r="D61" s="44"/>
      <c r="E61" s="44"/>
      <c r="F61" s="44"/>
      <c r="G61" s="48"/>
      <c r="H61" s="53"/>
      <c r="I61" s="53"/>
      <c r="J61" s="53"/>
      <c r="K61" s="56"/>
      <c r="L61" s="57"/>
      <c r="M61" s="57"/>
      <c r="N61" s="57"/>
      <c r="O61" s="57"/>
      <c r="P61" s="57"/>
      <c r="Q61" s="68"/>
      <c r="R61" s="8"/>
      <c r="S61" s="8"/>
    </row>
    <row r="62" spans="1:19" x14ac:dyDescent="0.35">
      <c r="A62" s="47"/>
      <c r="B62" s="44"/>
      <c r="C62" s="44"/>
      <c r="D62" s="44"/>
      <c r="E62" s="44"/>
      <c r="F62" s="44"/>
      <c r="G62" s="48"/>
      <c r="H62" s="53"/>
      <c r="I62" s="53"/>
      <c r="J62" s="53"/>
      <c r="K62" s="56"/>
      <c r="L62" s="57"/>
      <c r="M62" s="57"/>
      <c r="N62" s="57"/>
      <c r="O62" s="57"/>
      <c r="P62" s="57"/>
      <c r="Q62" s="68"/>
      <c r="R62" s="8"/>
      <c r="S62" s="8"/>
    </row>
    <row r="63" spans="1:19" x14ac:dyDescent="0.35">
      <c r="A63" s="47"/>
      <c r="B63" s="44"/>
      <c r="C63" s="44"/>
      <c r="D63" s="44"/>
      <c r="E63" s="44"/>
      <c r="F63" s="44"/>
      <c r="G63" s="48"/>
      <c r="H63" s="53"/>
      <c r="I63" s="53"/>
      <c r="J63" s="53"/>
      <c r="K63" s="56"/>
      <c r="L63" s="57"/>
      <c r="M63" s="57"/>
      <c r="N63" s="57"/>
      <c r="O63" s="57"/>
      <c r="P63" s="57"/>
      <c r="Q63" s="68"/>
      <c r="R63" s="8"/>
      <c r="S63" s="8"/>
    </row>
    <row r="64" spans="1:19" x14ac:dyDescent="0.35">
      <c r="A64" s="47"/>
      <c r="B64" s="44"/>
      <c r="C64" s="44"/>
      <c r="D64" s="44"/>
      <c r="E64" s="44"/>
      <c r="F64" s="44"/>
      <c r="G64" s="48"/>
      <c r="H64" s="53"/>
      <c r="I64" s="53"/>
      <c r="J64" s="53"/>
      <c r="K64" s="56"/>
      <c r="L64" s="57"/>
      <c r="M64" s="57"/>
      <c r="N64" s="57"/>
      <c r="O64" s="57"/>
      <c r="P64" s="57"/>
      <c r="Q64" s="68"/>
      <c r="R64" s="8"/>
      <c r="S64" s="8"/>
    </row>
    <row r="65" spans="1:19" x14ac:dyDescent="0.35">
      <c r="A65" s="47"/>
      <c r="B65" s="44"/>
      <c r="C65" s="44"/>
      <c r="D65" s="44"/>
      <c r="E65" s="44"/>
      <c r="F65" s="44"/>
      <c r="G65" s="48"/>
      <c r="H65" s="53"/>
      <c r="I65" s="53"/>
      <c r="J65" s="53"/>
      <c r="K65" s="56"/>
      <c r="L65" s="57"/>
      <c r="M65" s="57"/>
      <c r="N65" s="57"/>
      <c r="O65" s="57"/>
      <c r="P65" s="57"/>
      <c r="Q65" s="68"/>
      <c r="R65" s="8"/>
      <c r="S65" s="8"/>
    </row>
    <row r="66" spans="1:19" x14ac:dyDescent="0.35">
      <c r="A66" s="47"/>
      <c r="B66" s="44"/>
      <c r="C66" s="44"/>
      <c r="D66" s="44"/>
      <c r="E66" s="44"/>
      <c r="F66" s="44"/>
      <c r="G66" s="48"/>
      <c r="H66" s="53"/>
      <c r="I66" s="53"/>
      <c r="J66" s="53"/>
      <c r="K66" s="56"/>
      <c r="L66" s="57"/>
      <c r="M66" s="57"/>
      <c r="N66" s="57"/>
      <c r="O66" s="57"/>
      <c r="P66" s="57"/>
      <c r="Q66" s="68"/>
      <c r="R66" s="8"/>
      <c r="S66" s="8"/>
    </row>
    <row r="67" spans="1:19" x14ac:dyDescent="0.35">
      <c r="A67" s="47"/>
      <c r="B67" s="44"/>
      <c r="C67" s="44"/>
      <c r="D67" s="44"/>
      <c r="E67" s="44"/>
      <c r="F67" s="44"/>
      <c r="G67" s="48"/>
      <c r="H67" s="53"/>
      <c r="I67" s="53"/>
      <c r="J67" s="53"/>
      <c r="K67" s="56"/>
      <c r="L67" s="57"/>
      <c r="M67" s="57"/>
      <c r="N67" s="57"/>
      <c r="O67" s="57"/>
      <c r="P67" s="57"/>
      <c r="Q67" s="68"/>
      <c r="R67" s="8"/>
      <c r="S67" s="8"/>
    </row>
    <row r="68" spans="1:19" x14ac:dyDescent="0.35">
      <c r="A68" s="47"/>
      <c r="B68" s="44"/>
      <c r="C68" s="44"/>
      <c r="D68" s="44"/>
      <c r="E68" s="44"/>
      <c r="F68" s="44"/>
      <c r="G68" s="48"/>
      <c r="H68" s="53"/>
      <c r="I68" s="53"/>
      <c r="J68" s="53"/>
      <c r="K68" s="56"/>
      <c r="L68" s="57"/>
      <c r="M68" s="57"/>
      <c r="N68" s="57"/>
      <c r="O68" s="57"/>
      <c r="P68" s="57"/>
      <c r="Q68" s="68"/>
      <c r="R68" s="8"/>
      <c r="S68" s="8"/>
    </row>
    <row r="69" spans="1:19" x14ac:dyDescent="0.35">
      <c r="A69" s="47"/>
      <c r="B69" s="44"/>
      <c r="C69" s="44"/>
      <c r="D69" s="44"/>
      <c r="E69" s="44"/>
      <c r="F69" s="44"/>
      <c r="G69" s="48"/>
      <c r="H69" s="53"/>
      <c r="I69" s="53"/>
      <c r="J69" s="53"/>
      <c r="K69" s="56"/>
      <c r="L69" s="57"/>
      <c r="M69" s="57"/>
      <c r="N69" s="57"/>
      <c r="O69" s="57"/>
      <c r="P69" s="57"/>
      <c r="Q69" s="68"/>
      <c r="R69" s="8"/>
      <c r="S69" s="8"/>
    </row>
    <row r="70" spans="1:19" x14ac:dyDescent="0.35">
      <c r="A70" s="47"/>
      <c r="B70" s="44"/>
      <c r="C70" s="44"/>
      <c r="D70" s="44"/>
      <c r="E70" s="44"/>
      <c r="F70" s="44"/>
      <c r="G70" s="48"/>
      <c r="H70" s="53"/>
      <c r="I70" s="53"/>
      <c r="J70" s="53"/>
      <c r="K70" s="56"/>
      <c r="L70" s="57"/>
      <c r="M70" s="57"/>
      <c r="N70" s="57"/>
      <c r="O70" s="57"/>
      <c r="P70" s="57"/>
      <c r="Q70" s="68"/>
      <c r="R70" s="8"/>
      <c r="S70" s="8"/>
    </row>
    <row r="71" spans="1:19" x14ac:dyDescent="0.35">
      <c r="A71" s="47"/>
      <c r="B71" s="44"/>
      <c r="C71" s="44"/>
      <c r="D71" s="44"/>
      <c r="E71" s="44"/>
      <c r="F71" s="44"/>
      <c r="G71" s="48"/>
      <c r="H71" s="53"/>
      <c r="I71" s="53"/>
      <c r="J71" s="53"/>
      <c r="K71" s="56"/>
      <c r="L71" s="57"/>
      <c r="M71" s="57"/>
      <c r="N71" s="57"/>
      <c r="O71" s="57"/>
      <c r="P71" s="57"/>
      <c r="Q71" s="68"/>
      <c r="R71" s="8"/>
      <c r="S71" s="8"/>
    </row>
    <row r="72" spans="1:19" x14ac:dyDescent="0.35">
      <c r="A72" s="47"/>
      <c r="B72" s="44"/>
      <c r="C72" s="44"/>
      <c r="D72" s="44"/>
      <c r="E72" s="44"/>
      <c r="F72" s="44"/>
      <c r="G72" s="48"/>
      <c r="H72" s="53"/>
      <c r="I72" s="53"/>
      <c r="J72" s="53"/>
      <c r="K72" s="56"/>
      <c r="L72" s="57"/>
      <c r="M72" s="57"/>
      <c r="N72" s="57"/>
      <c r="O72" s="57"/>
      <c r="P72" s="57"/>
      <c r="Q72" s="68"/>
      <c r="R72" s="8"/>
      <c r="S72" s="8"/>
    </row>
    <row r="73" spans="1:19" x14ac:dyDescent="0.35">
      <c r="A73" s="47"/>
      <c r="B73" s="44"/>
      <c r="C73" s="44"/>
      <c r="D73" s="44"/>
      <c r="E73" s="44"/>
      <c r="F73" s="44"/>
      <c r="G73" s="48"/>
      <c r="H73" s="53"/>
      <c r="I73" s="53"/>
      <c r="J73" s="53"/>
      <c r="K73" s="56"/>
      <c r="L73" s="57"/>
      <c r="M73" s="57"/>
      <c r="N73" s="57"/>
      <c r="O73" s="57"/>
      <c r="P73" s="57"/>
      <c r="Q73" s="68"/>
      <c r="R73" s="8"/>
      <c r="S73" s="8"/>
    </row>
    <row r="74" spans="1:19" x14ac:dyDescent="0.35">
      <c r="A74" s="47"/>
      <c r="B74" s="44"/>
      <c r="C74" s="44"/>
      <c r="D74" s="44"/>
      <c r="E74" s="44"/>
      <c r="F74" s="44"/>
      <c r="G74" s="48"/>
      <c r="H74" s="53"/>
      <c r="I74" s="53"/>
      <c r="J74" s="53"/>
      <c r="K74" s="56"/>
      <c r="L74" s="57"/>
      <c r="M74" s="57"/>
      <c r="N74" s="57"/>
      <c r="O74" s="57"/>
      <c r="P74" s="57"/>
      <c r="Q74" s="68"/>
      <c r="R74" s="8"/>
      <c r="S74" s="8"/>
    </row>
    <row r="75" spans="1:19" x14ac:dyDescent="0.35">
      <c r="A75" s="47"/>
      <c r="B75" s="44"/>
      <c r="C75" s="44"/>
      <c r="D75" s="44"/>
      <c r="E75" s="44"/>
      <c r="F75" s="44"/>
      <c r="G75" s="48"/>
      <c r="H75" s="53"/>
      <c r="I75" s="53"/>
      <c r="J75" s="53"/>
      <c r="K75" s="56"/>
      <c r="L75" s="57"/>
      <c r="M75" s="57"/>
      <c r="N75" s="57"/>
      <c r="O75" s="57"/>
      <c r="P75" s="57"/>
      <c r="Q75" s="68"/>
      <c r="R75" s="9"/>
      <c r="S75" s="10"/>
    </row>
    <row r="76" spans="1:19" x14ac:dyDescent="0.35">
      <c r="A76" s="47"/>
      <c r="B76" s="44"/>
      <c r="C76" s="44"/>
      <c r="D76" s="44"/>
      <c r="E76" s="44"/>
      <c r="F76" s="44"/>
      <c r="G76" s="48"/>
      <c r="H76" s="53"/>
      <c r="I76" s="53"/>
      <c r="J76" s="53"/>
      <c r="K76" s="56"/>
      <c r="L76" s="57"/>
      <c r="M76" s="57"/>
      <c r="N76" s="57"/>
      <c r="O76" s="57"/>
      <c r="P76" s="57"/>
      <c r="Q76" s="68"/>
      <c r="R76" s="8"/>
      <c r="S76" s="8"/>
    </row>
    <row r="77" spans="1:19" x14ac:dyDescent="0.35">
      <c r="A77" s="47"/>
      <c r="B77" s="44"/>
      <c r="C77" s="44"/>
      <c r="D77" s="44"/>
      <c r="E77" s="44"/>
      <c r="F77" s="44"/>
      <c r="G77" s="48"/>
      <c r="H77" s="53"/>
      <c r="I77" s="53"/>
      <c r="J77" s="53"/>
      <c r="K77" s="56"/>
      <c r="L77" s="57"/>
      <c r="M77" s="57"/>
      <c r="N77" s="57"/>
      <c r="O77" s="57"/>
      <c r="P77" s="57"/>
      <c r="Q77" s="68"/>
      <c r="R77" s="8"/>
      <c r="S77" s="8"/>
    </row>
    <row r="78" spans="1:19" x14ac:dyDescent="0.35">
      <c r="A78" s="47"/>
      <c r="B78" s="44"/>
      <c r="C78" s="44"/>
      <c r="D78" s="44"/>
      <c r="E78" s="44"/>
      <c r="F78" s="44"/>
      <c r="G78" s="48"/>
      <c r="H78" s="53"/>
      <c r="I78" s="53"/>
      <c r="J78" s="53"/>
      <c r="K78" s="56"/>
      <c r="L78" s="57"/>
      <c r="M78" s="57"/>
      <c r="N78" s="57"/>
      <c r="O78" s="57"/>
      <c r="P78" s="57"/>
      <c r="Q78" s="68"/>
      <c r="R78" s="8"/>
      <c r="S78" s="8"/>
    </row>
    <row r="79" spans="1:19" x14ac:dyDescent="0.35">
      <c r="A79" s="47"/>
      <c r="B79" s="44"/>
      <c r="C79" s="44"/>
      <c r="D79" s="44"/>
      <c r="E79" s="44"/>
      <c r="F79" s="44"/>
      <c r="G79" s="48"/>
      <c r="H79" s="53"/>
      <c r="I79" s="53"/>
      <c r="J79" s="53"/>
      <c r="K79" s="56"/>
      <c r="L79" s="57"/>
      <c r="M79" s="57"/>
      <c r="N79" s="57"/>
      <c r="O79" s="57"/>
      <c r="P79" s="57"/>
      <c r="Q79" s="68"/>
      <c r="R79" s="8"/>
      <c r="S79" s="8"/>
    </row>
    <row r="80" spans="1:19" x14ac:dyDescent="0.35">
      <c r="A80" s="47"/>
      <c r="B80" s="44"/>
      <c r="C80" s="44"/>
      <c r="D80" s="44"/>
      <c r="E80" s="44"/>
      <c r="F80" s="44"/>
      <c r="G80" s="48"/>
      <c r="H80" s="53"/>
      <c r="I80" s="53"/>
      <c r="J80" s="53"/>
      <c r="K80" s="56"/>
      <c r="L80" s="57"/>
      <c r="M80" s="57"/>
      <c r="N80" s="57"/>
      <c r="O80" s="57"/>
      <c r="P80" s="57"/>
      <c r="Q80" s="68"/>
      <c r="R80" s="8"/>
      <c r="S80" s="8"/>
    </row>
    <row r="81" spans="1:19" x14ac:dyDescent="0.35">
      <c r="A81" s="47"/>
      <c r="B81" s="44"/>
      <c r="C81" s="44"/>
      <c r="D81" s="44"/>
      <c r="E81" s="44"/>
      <c r="F81" s="44"/>
      <c r="G81" s="48"/>
      <c r="H81" s="53"/>
      <c r="I81" s="53"/>
      <c r="J81" s="53"/>
      <c r="K81" s="56"/>
      <c r="L81" s="57"/>
      <c r="M81" s="57"/>
      <c r="N81" s="57"/>
      <c r="O81" s="57"/>
      <c r="P81" s="57"/>
      <c r="Q81" s="68"/>
      <c r="R81" s="8"/>
      <c r="S81" s="8"/>
    </row>
    <row r="82" spans="1:19" x14ac:dyDescent="0.35">
      <c r="A82" s="47"/>
      <c r="B82" s="44"/>
      <c r="C82" s="44"/>
      <c r="D82" s="44"/>
      <c r="E82" s="44"/>
      <c r="F82" s="44"/>
      <c r="G82" s="48"/>
      <c r="H82" s="53"/>
      <c r="I82" s="53"/>
      <c r="J82" s="53"/>
      <c r="K82" s="56"/>
      <c r="L82" s="57"/>
      <c r="M82" s="57"/>
      <c r="N82" s="57"/>
      <c r="O82" s="57"/>
      <c r="P82" s="57"/>
      <c r="Q82" s="68"/>
      <c r="R82" s="8"/>
      <c r="S82" s="8"/>
    </row>
    <row r="83" spans="1:19" x14ac:dyDescent="0.35">
      <c r="A83" s="49"/>
      <c r="B83" s="50"/>
      <c r="C83" s="44"/>
      <c r="D83" s="44"/>
      <c r="E83" s="44"/>
      <c r="F83" s="44"/>
      <c r="G83" s="48"/>
      <c r="H83" s="53"/>
      <c r="I83" s="53"/>
      <c r="J83" s="53"/>
      <c r="K83" s="56"/>
      <c r="L83" s="57"/>
      <c r="M83" s="57"/>
      <c r="N83" s="57"/>
      <c r="O83" s="57"/>
      <c r="P83" s="57"/>
      <c r="Q83" s="68"/>
      <c r="R83" s="8"/>
      <c r="S83" s="8"/>
    </row>
    <row r="84" spans="1:19" x14ac:dyDescent="0.35">
      <c r="A84" s="49"/>
      <c r="B84" s="50"/>
      <c r="C84" s="44"/>
      <c r="D84" s="44"/>
      <c r="E84" s="44"/>
      <c r="F84" s="44"/>
      <c r="G84" s="48"/>
      <c r="H84" s="53"/>
      <c r="I84" s="53"/>
      <c r="J84" s="53"/>
      <c r="K84" s="56"/>
      <c r="L84" s="57"/>
      <c r="M84" s="57"/>
      <c r="N84" s="57"/>
      <c r="O84" s="57"/>
      <c r="P84" s="57"/>
      <c r="Q84" s="68"/>
      <c r="R84" s="8"/>
      <c r="S84" s="8"/>
    </row>
    <row r="85" spans="1:19" x14ac:dyDescent="0.35">
      <c r="A85" s="49"/>
      <c r="B85" s="50"/>
      <c r="C85" s="44"/>
      <c r="D85" s="44"/>
      <c r="E85" s="44"/>
      <c r="F85" s="44"/>
      <c r="G85" s="48"/>
      <c r="H85" s="53"/>
      <c r="I85" s="53"/>
      <c r="J85" s="53"/>
      <c r="K85" s="56"/>
      <c r="L85" s="57"/>
      <c r="M85" s="57"/>
      <c r="N85" s="57"/>
      <c r="O85" s="57"/>
      <c r="P85" s="57"/>
      <c r="Q85" s="68"/>
      <c r="R85" s="8"/>
      <c r="S85" s="8"/>
    </row>
    <row r="86" spans="1:19" x14ac:dyDescent="0.35">
      <c r="A86" s="49"/>
      <c r="B86" s="50"/>
      <c r="C86" s="44"/>
      <c r="D86" s="44"/>
      <c r="E86" s="44"/>
      <c r="F86" s="44"/>
      <c r="G86" s="48"/>
      <c r="H86" s="53"/>
      <c r="I86" s="53"/>
      <c r="J86" s="53"/>
      <c r="K86" s="56"/>
      <c r="L86" s="57"/>
      <c r="M86" s="57"/>
      <c r="N86" s="57"/>
      <c r="O86" s="57"/>
      <c r="P86" s="57"/>
      <c r="Q86" s="68"/>
      <c r="R86" s="8"/>
      <c r="S86" s="8"/>
    </row>
    <row r="87" spans="1:19" x14ac:dyDescent="0.35">
      <c r="A87" s="49"/>
      <c r="B87" s="50"/>
      <c r="C87" s="44"/>
      <c r="D87" s="44"/>
      <c r="E87" s="44"/>
      <c r="F87" s="44"/>
      <c r="G87" s="48"/>
      <c r="H87" s="53"/>
      <c r="I87" s="53"/>
      <c r="J87" s="53"/>
      <c r="K87" s="56"/>
      <c r="L87" s="57"/>
      <c r="M87" s="57"/>
      <c r="N87" s="57"/>
      <c r="O87" s="57"/>
      <c r="P87" s="57"/>
      <c r="Q87" s="68"/>
      <c r="R87" s="8"/>
      <c r="S87" s="8"/>
    </row>
    <row r="88" spans="1:19" x14ac:dyDescent="0.35">
      <c r="A88" s="49"/>
      <c r="B88" s="50"/>
      <c r="C88" s="44"/>
      <c r="D88" s="44"/>
      <c r="E88" s="44"/>
      <c r="F88" s="44"/>
      <c r="G88" s="48"/>
      <c r="H88" s="53"/>
      <c r="I88" s="53"/>
      <c r="J88" s="53"/>
      <c r="K88" s="56"/>
      <c r="L88" s="57"/>
      <c r="M88" s="57"/>
      <c r="N88" s="57"/>
      <c r="O88" s="57"/>
      <c r="P88" s="57"/>
      <c r="Q88" s="68"/>
      <c r="R88" s="8"/>
      <c r="S88" s="8"/>
    </row>
    <row r="89" spans="1:19" x14ac:dyDescent="0.35">
      <c r="A89" s="49"/>
      <c r="B89" s="50"/>
      <c r="C89" s="44"/>
      <c r="D89" s="44"/>
      <c r="E89" s="44"/>
      <c r="F89" s="44"/>
      <c r="G89" s="48"/>
      <c r="H89" s="53"/>
      <c r="I89" s="53"/>
      <c r="J89" s="53"/>
      <c r="K89" s="56"/>
      <c r="L89" s="57"/>
      <c r="M89" s="57"/>
      <c r="N89" s="57"/>
      <c r="O89" s="57"/>
      <c r="P89" s="57"/>
      <c r="Q89" s="68"/>
      <c r="R89" s="11"/>
      <c r="S89" s="11"/>
    </row>
    <row r="90" spans="1:19" x14ac:dyDescent="0.35">
      <c r="A90" s="49"/>
      <c r="B90" s="50"/>
      <c r="C90" s="44"/>
      <c r="D90" s="44"/>
      <c r="E90" s="44"/>
      <c r="F90" s="44"/>
      <c r="G90" s="48"/>
      <c r="H90" s="53"/>
      <c r="I90" s="53"/>
      <c r="J90" s="53"/>
      <c r="K90" s="56"/>
      <c r="L90" s="57"/>
      <c r="M90" s="57"/>
      <c r="N90" s="57"/>
      <c r="O90" s="57"/>
      <c r="P90" s="57"/>
      <c r="Q90" s="68"/>
      <c r="R90" s="8"/>
      <c r="S90" s="8"/>
    </row>
    <row r="91" spans="1:19" x14ac:dyDescent="0.35">
      <c r="A91" s="49"/>
      <c r="B91" s="50"/>
      <c r="C91" s="44"/>
      <c r="D91" s="44"/>
      <c r="E91" s="44"/>
      <c r="F91" s="44"/>
      <c r="G91" s="48"/>
      <c r="H91" s="53"/>
      <c r="I91" s="53"/>
      <c r="J91" s="53"/>
      <c r="K91" s="56"/>
      <c r="L91" s="57"/>
      <c r="M91" s="57"/>
      <c r="N91" s="57"/>
      <c r="O91" s="57"/>
      <c r="P91" s="57"/>
      <c r="Q91" s="68"/>
      <c r="R91" s="8"/>
      <c r="S91" s="8"/>
    </row>
    <row r="92" spans="1:19" x14ac:dyDescent="0.35">
      <c r="A92" s="49"/>
      <c r="B92" s="50"/>
      <c r="C92" s="44"/>
      <c r="D92" s="44"/>
      <c r="E92" s="44"/>
      <c r="F92" s="44"/>
      <c r="G92" s="48"/>
      <c r="H92" s="53"/>
      <c r="I92" s="53"/>
      <c r="J92" s="53"/>
      <c r="K92" s="56"/>
      <c r="L92" s="57"/>
      <c r="M92" s="57"/>
      <c r="N92" s="57"/>
      <c r="O92" s="57"/>
      <c r="P92" s="57"/>
      <c r="Q92" s="68"/>
      <c r="R92" s="8"/>
      <c r="S92" s="8"/>
    </row>
    <row r="93" spans="1:19" hidden="1" x14ac:dyDescent="0.35">
      <c r="A93" s="49"/>
      <c r="B93" s="50"/>
      <c r="C93" s="44"/>
      <c r="D93" s="44"/>
      <c r="E93" s="44"/>
      <c r="F93" s="44"/>
      <c r="G93" s="48"/>
      <c r="H93" s="53"/>
      <c r="I93" s="53"/>
      <c r="J93" s="53"/>
      <c r="K93" s="56"/>
      <c r="L93" s="57"/>
      <c r="M93" s="57"/>
      <c r="N93" s="57"/>
      <c r="O93" s="57"/>
      <c r="P93" s="57"/>
      <c r="Q93" s="68"/>
      <c r="R93" s="8"/>
      <c r="S93" s="8"/>
    </row>
    <row r="94" spans="1:19" hidden="1" x14ac:dyDescent="0.35">
      <c r="A94" s="49"/>
      <c r="B94" s="50"/>
      <c r="C94" s="44"/>
      <c r="D94" s="44"/>
      <c r="E94" s="44"/>
      <c r="F94" s="44"/>
      <c r="G94" s="48"/>
      <c r="H94" s="53"/>
      <c r="I94" s="53"/>
      <c r="J94" s="53"/>
      <c r="K94" s="56"/>
      <c r="L94" s="57"/>
      <c r="M94" s="57"/>
      <c r="N94" s="57"/>
      <c r="O94" s="57"/>
      <c r="P94" s="57"/>
      <c r="Q94" s="68"/>
      <c r="R94" s="8"/>
      <c r="S94" s="8"/>
    </row>
    <row r="95" spans="1:19" ht="9.75" hidden="1" customHeight="1" x14ac:dyDescent="0.35">
      <c r="A95" s="49"/>
      <c r="B95" s="50"/>
      <c r="C95" s="44"/>
      <c r="D95" s="44"/>
      <c r="E95" s="44"/>
      <c r="F95" s="44"/>
      <c r="G95" s="48"/>
      <c r="H95" s="53"/>
      <c r="I95" s="53"/>
      <c r="J95" s="53"/>
      <c r="K95" s="56"/>
      <c r="L95" s="57"/>
      <c r="M95" s="57"/>
      <c r="N95" s="57"/>
      <c r="O95" s="57"/>
      <c r="P95" s="57"/>
      <c r="Q95" s="68"/>
    </row>
    <row r="96" spans="1:19" x14ac:dyDescent="0.35">
      <c r="A96" s="49"/>
      <c r="B96" s="50"/>
      <c r="C96" s="44"/>
      <c r="D96" s="44"/>
      <c r="E96" s="44"/>
      <c r="F96" s="44"/>
      <c r="G96" s="48"/>
      <c r="H96" s="53"/>
      <c r="I96" s="53"/>
      <c r="J96" s="53"/>
      <c r="K96" s="56"/>
      <c r="L96" s="57"/>
      <c r="M96" s="57"/>
      <c r="N96" s="57"/>
      <c r="O96" s="57"/>
      <c r="P96" s="57"/>
      <c r="Q96" s="68"/>
    </row>
    <row r="97" spans="1:19" ht="15" thickBot="1" x14ac:dyDescent="0.4">
      <c r="A97" s="49"/>
      <c r="B97" s="50"/>
      <c r="C97" s="44"/>
      <c r="D97" s="44"/>
      <c r="E97" s="44"/>
      <c r="F97" s="44"/>
      <c r="G97" s="48"/>
      <c r="H97" s="53"/>
      <c r="I97" s="53"/>
      <c r="J97" s="53"/>
      <c r="K97" s="56"/>
      <c r="L97" s="57"/>
      <c r="M97" s="57"/>
      <c r="N97" s="57"/>
      <c r="O97" s="57"/>
      <c r="P97" s="57"/>
      <c r="Q97" s="68"/>
      <c r="R97" s="16"/>
      <c r="S97" s="16"/>
    </row>
    <row r="98" spans="1:19" ht="15" thickTop="1" x14ac:dyDescent="0.35">
      <c r="A98" s="49"/>
      <c r="B98" s="44"/>
      <c r="C98" s="44"/>
      <c r="D98" s="44"/>
      <c r="E98" s="44"/>
      <c r="F98" s="43"/>
      <c r="G98" s="48"/>
      <c r="H98" s="53"/>
      <c r="I98" s="53"/>
      <c r="J98" s="53"/>
      <c r="K98" s="56"/>
      <c r="L98" s="57"/>
      <c r="M98" s="57"/>
      <c r="N98" s="57"/>
      <c r="O98" s="57"/>
      <c r="P98" s="57"/>
      <c r="Q98" s="68"/>
    </row>
    <row r="99" spans="1:19" x14ac:dyDescent="0.35">
      <c r="A99" s="74"/>
      <c r="B99" s="44"/>
      <c r="C99" s="44"/>
      <c r="D99" s="44"/>
      <c r="E99" s="44"/>
      <c r="F99" s="43"/>
      <c r="G99" s="48"/>
      <c r="H99" s="53"/>
      <c r="I99" s="53"/>
      <c r="J99" s="53"/>
      <c r="K99" s="56"/>
      <c r="L99" s="57"/>
      <c r="M99" s="57"/>
      <c r="N99" s="57"/>
      <c r="O99" s="57"/>
      <c r="P99" s="59"/>
      <c r="Q99" s="68"/>
      <c r="R99" s="9"/>
      <c r="S99" s="10"/>
    </row>
    <row r="100" spans="1:19" x14ac:dyDescent="0.35">
      <c r="A100" s="74"/>
      <c r="B100" s="44"/>
      <c r="C100" s="44"/>
      <c r="D100" s="44"/>
      <c r="E100" s="44"/>
      <c r="F100" s="43"/>
      <c r="G100" s="48"/>
      <c r="H100" s="53"/>
      <c r="I100" s="53"/>
      <c r="J100" s="53"/>
      <c r="K100" s="56"/>
      <c r="L100" s="57"/>
      <c r="M100" s="57"/>
      <c r="N100" s="57"/>
      <c r="O100" s="57"/>
      <c r="P100" s="59"/>
      <c r="Q100" s="68"/>
      <c r="R100" s="8"/>
      <c r="S100" s="8"/>
    </row>
    <row r="101" spans="1:19" x14ac:dyDescent="0.35">
      <c r="A101" s="74"/>
      <c r="B101" s="44"/>
      <c r="C101" s="44"/>
      <c r="D101" s="44"/>
      <c r="E101" s="44"/>
      <c r="F101" s="43"/>
      <c r="G101" s="48"/>
      <c r="H101" s="53"/>
      <c r="I101" s="53"/>
      <c r="J101" s="53"/>
      <c r="K101" s="56"/>
      <c r="L101" s="57"/>
      <c r="M101" s="57"/>
      <c r="N101" s="57"/>
      <c r="O101" s="57"/>
      <c r="P101" s="59"/>
      <c r="Q101" s="68"/>
      <c r="R101" s="8"/>
      <c r="S101" s="8"/>
    </row>
    <row r="102" spans="1:19" ht="15.5" x14ac:dyDescent="0.35">
      <c r="A102" s="42"/>
      <c r="B102" s="44"/>
      <c r="C102" s="44"/>
      <c r="D102" s="44"/>
      <c r="E102" s="44"/>
      <c r="F102" s="43"/>
      <c r="G102" s="48"/>
      <c r="H102" s="53"/>
      <c r="I102" s="53"/>
      <c r="J102" s="53"/>
      <c r="K102" s="56"/>
      <c r="L102" s="57"/>
      <c r="M102" s="57"/>
      <c r="N102" s="57"/>
      <c r="O102" s="57"/>
      <c r="P102" s="59"/>
      <c r="Q102" s="68"/>
      <c r="R102" s="8"/>
      <c r="S102" s="8"/>
    </row>
    <row r="103" spans="1:19" x14ac:dyDescent="0.35">
      <c r="A103" s="49"/>
      <c r="B103" s="44"/>
      <c r="C103" s="44"/>
      <c r="D103" s="44"/>
      <c r="E103" s="44"/>
      <c r="F103" s="43"/>
      <c r="G103" s="48"/>
      <c r="H103" s="53"/>
      <c r="I103" s="53"/>
      <c r="J103" s="53"/>
      <c r="K103" s="56"/>
      <c r="L103" s="57"/>
      <c r="M103" s="57"/>
      <c r="N103" s="57"/>
      <c r="O103" s="57"/>
      <c r="P103" s="57"/>
      <c r="Q103" s="68"/>
      <c r="R103" s="8"/>
      <c r="S103" s="8"/>
    </row>
    <row r="104" spans="1:19" x14ac:dyDescent="0.35">
      <c r="A104" s="49"/>
      <c r="B104" s="44"/>
      <c r="C104" s="44"/>
      <c r="D104" s="44"/>
      <c r="E104" s="44"/>
      <c r="F104" s="43"/>
      <c r="G104" s="48"/>
      <c r="H104" s="53"/>
      <c r="I104" s="53"/>
      <c r="J104" s="53"/>
      <c r="K104" s="56"/>
      <c r="L104" s="57"/>
      <c r="M104" s="57"/>
      <c r="N104" s="57"/>
      <c r="O104" s="57"/>
      <c r="P104" s="57"/>
      <c r="Q104" s="68"/>
      <c r="R104" s="8"/>
      <c r="S104" s="8"/>
    </row>
    <row r="105" spans="1:19" x14ac:dyDescent="0.35">
      <c r="A105" s="49"/>
      <c r="B105" s="44"/>
      <c r="C105" s="44"/>
      <c r="D105" s="44"/>
      <c r="E105" s="44"/>
      <c r="F105" s="43"/>
      <c r="G105" s="48"/>
      <c r="H105" s="53"/>
      <c r="I105" s="53"/>
      <c r="J105" s="53"/>
      <c r="K105" s="56"/>
      <c r="L105" s="57"/>
      <c r="M105" s="57"/>
      <c r="N105" s="57"/>
      <c r="O105" s="57"/>
      <c r="P105" s="57"/>
      <c r="Q105" s="68"/>
      <c r="R105" s="8"/>
      <c r="S105" s="8"/>
    </row>
    <row r="106" spans="1:19" x14ac:dyDescent="0.35">
      <c r="A106" s="49"/>
      <c r="B106" s="44"/>
      <c r="C106" s="44"/>
      <c r="D106" s="44"/>
      <c r="E106" s="44"/>
      <c r="F106" s="43"/>
      <c r="G106" s="48"/>
      <c r="H106" s="53"/>
      <c r="I106" s="53"/>
      <c r="J106" s="53"/>
      <c r="K106" s="56"/>
      <c r="L106" s="57"/>
      <c r="M106" s="57"/>
      <c r="N106" s="57"/>
      <c r="O106" s="57"/>
      <c r="P106" s="57"/>
      <c r="Q106" s="68"/>
      <c r="R106" s="8"/>
      <c r="S106" s="8"/>
    </row>
    <row r="107" spans="1:19" hidden="1" x14ac:dyDescent="0.35">
      <c r="A107" s="49"/>
      <c r="B107" s="44"/>
      <c r="C107" s="44"/>
      <c r="D107" s="44"/>
      <c r="E107" s="44"/>
      <c r="F107" s="43"/>
      <c r="G107" s="48"/>
      <c r="H107" s="53"/>
      <c r="I107" s="53"/>
      <c r="J107" s="53"/>
      <c r="K107" s="56"/>
      <c r="L107" s="57"/>
      <c r="M107" s="57"/>
      <c r="N107" s="57"/>
      <c r="O107" s="57"/>
      <c r="P107" s="59"/>
      <c r="Q107" s="68"/>
      <c r="R107" s="8"/>
      <c r="S107" s="8"/>
    </row>
    <row r="108" spans="1:19" x14ac:dyDescent="0.35">
      <c r="A108" s="49"/>
      <c r="B108" s="44"/>
      <c r="C108" s="44"/>
      <c r="D108" s="44"/>
      <c r="E108" s="44"/>
      <c r="F108" s="43"/>
      <c r="G108" s="48"/>
      <c r="H108" s="53"/>
      <c r="I108" s="53"/>
      <c r="J108" s="53"/>
      <c r="K108" s="56"/>
      <c r="L108" s="57"/>
      <c r="M108" s="57"/>
      <c r="N108" s="57"/>
      <c r="O108" s="57"/>
      <c r="P108" s="59"/>
      <c r="Q108" s="68"/>
      <c r="R108" s="8"/>
      <c r="S108" s="8"/>
    </row>
    <row r="109" spans="1:19" x14ac:dyDescent="0.35">
      <c r="A109" s="49"/>
      <c r="B109" s="44"/>
      <c r="C109" s="44"/>
      <c r="D109" s="44"/>
      <c r="E109" s="44"/>
      <c r="F109" s="43"/>
      <c r="G109" s="48"/>
      <c r="H109" s="53"/>
      <c r="I109" s="53"/>
      <c r="J109" s="53"/>
      <c r="K109" s="56"/>
      <c r="L109" s="57"/>
      <c r="M109" s="57"/>
      <c r="N109" s="57"/>
      <c r="O109" s="57"/>
      <c r="P109" s="59"/>
      <c r="Q109" s="68"/>
      <c r="R109" s="8"/>
      <c r="S109" s="8"/>
    </row>
    <row r="110" spans="1:19" ht="15.5" x14ac:dyDescent="0.35">
      <c r="A110" s="21"/>
      <c r="B110" s="20"/>
      <c r="C110" s="17"/>
      <c r="D110" s="20"/>
      <c r="E110" s="17"/>
      <c r="F110" s="20"/>
      <c r="G110" s="18"/>
      <c r="H110" s="52"/>
      <c r="I110" s="52"/>
      <c r="J110" s="52"/>
      <c r="K110" s="40"/>
      <c r="L110" s="25"/>
      <c r="M110" s="25"/>
      <c r="N110" s="22"/>
      <c r="O110" s="23"/>
      <c r="P110" s="23"/>
      <c r="Q110" s="69"/>
    </row>
    <row r="111" spans="1:19" x14ac:dyDescent="0.35">
      <c r="A111" s="55"/>
      <c r="B111" s="17"/>
      <c r="C111" s="17"/>
      <c r="D111" s="17"/>
      <c r="E111" s="78"/>
      <c r="F111" s="17"/>
      <c r="G111" s="18"/>
      <c r="H111" s="52"/>
      <c r="I111" s="52"/>
      <c r="J111" s="52"/>
      <c r="K111" s="40"/>
      <c r="L111" s="25"/>
      <c r="M111" s="25"/>
      <c r="N111" s="25"/>
      <c r="O111" s="25"/>
      <c r="P111" s="25"/>
      <c r="Q111" s="68"/>
    </row>
    <row r="112" spans="1:19" x14ac:dyDescent="0.35">
      <c r="A112" s="55"/>
      <c r="B112" s="17"/>
      <c r="C112" s="17"/>
      <c r="D112" s="17"/>
      <c r="E112" s="78"/>
      <c r="F112" s="17"/>
      <c r="G112" s="18"/>
      <c r="H112" s="52"/>
      <c r="I112" s="52"/>
      <c r="J112" s="52"/>
      <c r="K112" s="40"/>
      <c r="L112" s="25"/>
      <c r="M112" s="25"/>
      <c r="N112" s="25"/>
      <c r="O112" s="25"/>
      <c r="P112" s="25"/>
      <c r="Q112" s="68"/>
    </row>
    <row r="113" spans="1:17" customFormat="1" x14ac:dyDescent="0.35">
      <c r="A113" s="55"/>
      <c r="B113" s="17"/>
      <c r="C113" s="17"/>
      <c r="D113" s="17"/>
      <c r="E113" s="78"/>
      <c r="F113" s="17"/>
      <c r="G113" s="18"/>
      <c r="H113" s="52"/>
      <c r="I113" s="52"/>
      <c r="J113" s="52"/>
      <c r="K113" s="40"/>
      <c r="L113" s="25"/>
      <c r="M113" s="25"/>
      <c r="N113" s="25"/>
      <c r="O113" s="25"/>
      <c r="P113" s="25"/>
      <c r="Q113" s="68"/>
    </row>
    <row r="114" spans="1:17" customFormat="1" x14ac:dyDescent="0.35">
      <c r="A114" s="55"/>
      <c r="B114" s="17"/>
      <c r="C114" s="17"/>
      <c r="D114" s="17"/>
      <c r="E114" s="78"/>
      <c r="F114" s="17"/>
      <c r="G114" s="18"/>
      <c r="H114" s="52"/>
      <c r="I114" s="52"/>
      <c r="J114" s="52"/>
      <c r="K114" s="40"/>
      <c r="L114" s="25"/>
      <c r="M114" s="25"/>
      <c r="N114" s="25"/>
      <c r="O114" s="25"/>
      <c r="P114" s="25"/>
      <c r="Q114" s="68"/>
    </row>
    <row r="115" spans="1:17" customFormat="1" x14ac:dyDescent="0.35">
      <c r="A115" s="55"/>
      <c r="B115" s="17"/>
      <c r="C115" s="17"/>
      <c r="D115" s="17"/>
      <c r="E115" s="78"/>
      <c r="F115" s="17"/>
      <c r="G115" s="18"/>
      <c r="H115" s="52"/>
      <c r="I115" s="52"/>
      <c r="J115" s="52"/>
      <c r="K115" s="40"/>
      <c r="L115" s="25"/>
      <c r="M115" s="25"/>
      <c r="N115" s="25"/>
      <c r="O115" s="25"/>
      <c r="P115" s="25"/>
      <c r="Q115" s="68"/>
    </row>
    <row r="116" spans="1:17" customFormat="1" x14ac:dyDescent="0.35">
      <c r="A116" s="55"/>
      <c r="B116" s="17"/>
      <c r="C116" s="17"/>
      <c r="D116" s="17"/>
      <c r="E116" s="78"/>
      <c r="F116" s="17"/>
      <c r="G116" s="18"/>
      <c r="H116" s="52"/>
      <c r="I116" s="52"/>
      <c r="J116" s="52"/>
      <c r="K116" s="40"/>
      <c r="L116" s="25"/>
      <c r="M116" s="25"/>
      <c r="N116" s="25"/>
      <c r="O116" s="25"/>
      <c r="P116" s="25"/>
      <c r="Q116" s="68"/>
    </row>
    <row r="117" spans="1:17" customFormat="1" x14ac:dyDescent="0.35">
      <c r="A117" s="55"/>
      <c r="B117" s="17"/>
      <c r="C117" s="17"/>
      <c r="D117" s="17"/>
      <c r="E117" s="78"/>
      <c r="F117" s="17"/>
      <c r="G117" s="18"/>
      <c r="H117" s="52"/>
      <c r="I117" s="52"/>
      <c r="J117" s="52"/>
      <c r="K117" s="40"/>
      <c r="L117" s="25"/>
      <c r="M117" s="25"/>
      <c r="N117" s="25"/>
      <c r="O117" s="25"/>
      <c r="P117" s="25"/>
      <c r="Q117" s="68"/>
    </row>
    <row r="118" spans="1:17" customFormat="1" x14ac:dyDescent="0.35">
      <c r="A118" s="55"/>
      <c r="B118" s="17"/>
      <c r="C118" s="17"/>
      <c r="D118" s="17"/>
      <c r="E118" s="78"/>
      <c r="F118" s="17"/>
      <c r="G118" s="18"/>
      <c r="H118" s="52"/>
      <c r="I118" s="52"/>
      <c r="J118" s="52"/>
      <c r="K118" s="40"/>
      <c r="L118" s="25"/>
      <c r="M118" s="25"/>
      <c r="N118" s="25"/>
      <c r="O118" s="25"/>
      <c r="P118" s="25"/>
      <c r="Q118" s="68"/>
    </row>
    <row r="119" spans="1:17" customFormat="1" ht="15" thickBot="1" x14ac:dyDescent="0.4">
      <c r="B119" s="39"/>
      <c r="C119" s="39"/>
      <c r="D119" s="39"/>
      <c r="E119" s="38"/>
      <c r="F119" s="38"/>
      <c r="G119" s="38"/>
      <c r="H119" s="54"/>
      <c r="I119" s="54"/>
      <c r="J119" s="54"/>
      <c r="K119" s="35"/>
      <c r="L119" s="36"/>
      <c r="M119" s="36"/>
      <c r="N119" s="36"/>
      <c r="O119" s="36"/>
      <c r="P119" s="36"/>
      <c r="Q119" s="70"/>
    </row>
    <row r="120" spans="1:17" customFormat="1" ht="15" thickTop="1" x14ac:dyDescent="0.35">
      <c r="C120" s="17"/>
      <c r="P120" s="34"/>
      <c r="Q120" s="34"/>
    </row>
    <row r="121" spans="1:17" customFormat="1" ht="15.5" x14ac:dyDescent="0.35">
      <c r="A121" s="21"/>
      <c r="B121" s="20"/>
      <c r="C121" s="17"/>
      <c r="D121" s="20"/>
      <c r="E121" s="20"/>
      <c r="F121" s="20"/>
      <c r="G121" s="37"/>
      <c r="H121" s="52"/>
      <c r="I121" s="52"/>
      <c r="J121" s="52"/>
      <c r="K121" s="40"/>
      <c r="L121" s="22"/>
      <c r="M121" s="22"/>
      <c r="N121" s="22"/>
      <c r="O121" s="23"/>
      <c r="P121" s="23"/>
      <c r="Q121" s="23"/>
    </row>
    <row r="122" spans="1:17" customFormat="1" x14ac:dyDescent="0.35">
      <c r="A122" s="24"/>
      <c r="B122" s="17"/>
      <c r="C122" s="17"/>
      <c r="D122" s="17"/>
      <c r="E122" s="78"/>
      <c r="F122" s="17"/>
      <c r="G122" s="17"/>
      <c r="H122" s="52"/>
      <c r="I122" s="52"/>
      <c r="J122" s="52"/>
      <c r="K122" s="40"/>
      <c r="L122" s="25"/>
      <c r="M122" s="25"/>
      <c r="N122" s="25"/>
      <c r="O122" s="25"/>
      <c r="P122" s="25"/>
      <c r="Q122" s="25"/>
    </row>
    <row r="123" spans="1:17" customFormat="1" x14ac:dyDescent="0.35">
      <c r="A123" s="24"/>
      <c r="B123" s="17"/>
      <c r="C123" s="17"/>
      <c r="D123" s="17"/>
      <c r="E123" s="78"/>
      <c r="F123" s="17"/>
      <c r="G123" s="17"/>
      <c r="H123" s="52"/>
      <c r="I123" s="52"/>
      <c r="J123" s="52"/>
      <c r="K123" s="40"/>
      <c r="L123" s="25"/>
      <c r="M123" s="25"/>
      <c r="N123" s="25"/>
      <c r="O123" s="25"/>
      <c r="P123" s="25"/>
      <c r="Q123" s="25"/>
    </row>
    <row r="124" spans="1:17" customFormat="1" x14ac:dyDescent="0.35">
      <c r="A124" s="33"/>
      <c r="B124" s="17"/>
      <c r="C124" s="17"/>
      <c r="D124" s="17"/>
      <c r="E124" s="78"/>
      <c r="F124" s="17"/>
      <c r="G124" s="17"/>
      <c r="H124" s="52"/>
      <c r="I124" s="52"/>
      <c r="J124" s="52"/>
      <c r="K124" s="40"/>
      <c r="L124" s="25"/>
      <c r="M124" s="25"/>
      <c r="N124" s="25"/>
      <c r="O124" s="25"/>
      <c r="P124" s="25"/>
      <c r="Q124" s="25"/>
    </row>
    <row r="125" spans="1:17" customFormat="1" x14ac:dyDescent="0.35">
      <c r="A125" s="24"/>
      <c r="B125" s="17"/>
      <c r="C125" s="17"/>
      <c r="D125" s="17"/>
      <c r="E125" s="78"/>
      <c r="F125" s="17"/>
      <c r="G125" s="18"/>
      <c r="H125" s="52"/>
      <c r="I125" s="52"/>
      <c r="J125" s="52"/>
      <c r="K125" s="40"/>
      <c r="L125" s="25"/>
      <c r="M125" s="25"/>
      <c r="N125" s="25"/>
      <c r="O125" s="25"/>
      <c r="P125" s="25"/>
      <c r="Q125" s="25"/>
    </row>
    <row r="126" spans="1:17" customFormat="1" x14ac:dyDescent="0.35">
      <c r="A126" s="24"/>
      <c r="B126" s="17"/>
      <c r="C126" s="17"/>
      <c r="D126" s="17"/>
      <c r="E126" s="78"/>
      <c r="F126" s="17"/>
      <c r="G126" s="18"/>
      <c r="H126" s="52"/>
      <c r="I126" s="52"/>
      <c r="J126" s="52"/>
      <c r="K126" s="40"/>
      <c r="L126" s="25"/>
      <c r="M126" s="25"/>
      <c r="N126" s="25"/>
      <c r="O126" s="25"/>
      <c r="P126" s="25"/>
      <c r="Q126" s="25"/>
    </row>
    <row r="127" spans="1:17" customFormat="1" x14ac:dyDescent="0.35">
      <c r="A127" s="24"/>
      <c r="B127" s="17"/>
      <c r="C127" s="17"/>
      <c r="D127" s="17"/>
      <c r="E127" s="78"/>
      <c r="F127" s="17"/>
      <c r="G127" s="18"/>
      <c r="H127" s="52"/>
      <c r="I127" s="52"/>
      <c r="J127" s="52"/>
      <c r="K127" s="40"/>
      <c r="L127" s="25"/>
      <c r="M127" s="25"/>
      <c r="N127" s="25"/>
      <c r="O127" s="25"/>
      <c r="P127" s="25"/>
      <c r="Q127" s="25"/>
    </row>
    <row r="128" spans="1:17" customFormat="1" x14ac:dyDescent="0.35">
      <c r="A128" s="24"/>
      <c r="B128" s="17"/>
      <c r="C128" s="17"/>
      <c r="D128" s="17"/>
      <c r="E128" s="78"/>
      <c r="F128" s="17"/>
      <c r="G128" s="18"/>
      <c r="H128" s="52"/>
      <c r="I128" s="52"/>
      <c r="J128" s="52"/>
      <c r="K128" s="40"/>
      <c r="L128" s="25"/>
      <c r="M128" s="25"/>
      <c r="N128" s="25"/>
      <c r="O128" s="25"/>
      <c r="P128" s="25"/>
      <c r="Q128" s="25"/>
    </row>
    <row r="129" spans="1:17" customFormat="1" x14ac:dyDescent="0.35">
      <c r="A129" s="24"/>
      <c r="B129" s="17"/>
      <c r="C129" s="17"/>
      <c r="D129" s="17"/>
      <c r="E129" s="78"/>
      <c r="F129" s="17"/>
      <c r="G129" s="18"/>
      <c r="H129" s="52"/>
      <c r="I129" s="52"/>
      <c r="J129" s="52"/>
      <c r="K129" s="40"/>
      <c r="L129" s="25"/>
      <c r="M129" s="25"/>
      <c r="N129" s="25"/>
      <c r="O129" s="25"/>
      <c r="P129" s="25"/>
      <c r="Q129" s="25"/>
    </row>
    <row r="130" spans="1:17" customFormat="1" x14ac:dyDescent="0.35">
      <c r="A130" s="24"/>
      <c r="B130" s="17"/>
      <c r="C130" s="17"/>
      <c r="D130" s="17"/>
      <c r="E130" s="78"/>
      <c r="F130" s="17"/>
      <c r="G130" s="18"/>
      <c r="H130" s="52"/>
      <c r="I130" s="52"/>
      <c r="J130" s="52"/>
      <c r="K130" s="40"/>
      <c r="L130" s="25"/>
      <c r="M130" s="25"/>
      <c r="N130" s="25"/>
      <c r="O130" s="25"/>
      <c r="P130" s="25"/>
      <c r="Q130" s="25"/>
    </row>
    <row r="131" spans="1:17" customFormat="1" x14ac:dyDescent="0.35">
      <c r="A131" s="24"/>
      <c r="B131" s="17"/>
      <c r="C131" s="17"/>
      <c r="D131" s="17"/>
      <c r="E131" s="78"/>
      <c r="F131" s="17"/>
      <c r="G131" s="18"/>
      <c r="H131" s="52"/>
      <c r="I131" s="52"/>
      <c r="J131" s="52"/>
      <c r="K131" s="40"/>
      <c r="L131" s="25"/>
      <c r="M131" s="25"/>
      <c r="N131" s="25"/>
      <c r="O131" s="25"/>
      <c r="P131" s="25"/>
      <c r="Q131" s="25"/>
    </row>
    <row r="132" spans="1:17" customFormat="1" x14ac:dyDescent="0.35">
      <c r="A132" s="24"/>
      <c r="B132" s="17"/>
      <c r="C132" s="17"/>
      <c r="D132" s="17"/>
      <c r="E132" s="78"/>
      <c r="F132" s="17"/>
      <c r="G132" s="18"/>
      <c r="H132" s="52"/>
      <c r="I132" s="52"/>
      <c r="J132" s="52"/>
      <c r="K132" s="40"/>
      <c r="L132" s="25"/>
      <c r="M132" s="25"/>
      <c r="N132" s="25"/>
      <c r="O132" s="25"/>
      <c r="P132" s="25"/>
      <c r="Q132" s="25"/>
    </row>
    <row r="133" spans="1:17" customFormat="1" x14ac:dyDescent="0.35">
      <c r="A133" s="24"/>
      <c r="B133" s="17"/>
      <c r="C133" s="17"/>
      <c r="D133" s="17"/>
      <c r="E133" s="78"/>
      <c r="F133" s="17"/>
      <c r="G133" s="18"/>
      <c r="H133" s="52"/>
      <c r="I133" s="52"/>
      <c r="J133" s="52"/>
      <c r="K133" s="40"/>
      <c r="L133" s="25"/>
      <c r="M133" s="25"/>
      <c r="N133" s="25"/>
      <c r="O133" s="25"/>
      <c r="P133" s="25"/>
      <c r="Q133" s="25"/>
    </row>
    <row r="134" spans="1:17" customFormat="1" x14ac:dyDescent="0.35">
      <c r="A134" s="24"/>
      <c r="B134" s="17"/>
      <c r="C134" s="17"/>
      <c r="D134" s="17"/>
      <c r="E134" s="78"/>
      <c r="F134" s="17"/>
      <c r="G134" s="18"/>
      <c r="H134" s="52"/>
      <c r="I134" s="52"/>
      <c r="J134" s="52"/>
      <c r="K134" s="40"/>
      <c r="L134" s="25"/>
      <c r="M134" s="25"/>
      <c r="N134" s="25"/>
      <c r="O134" s="25"/>
      <c r="P134" s="25"/>
      <c r="Q134" s="25"/>
    </row>
    <row r="135" spans="1:17" customFormat="1" x14ac:dyDescent="0.35">
      <c r="A135" s="24"/>
      <c r="B135" s="17"/>
      <c r="C135" s="17"/>
      <c r="D135" s="17"/>
      <c r="E135" s="78"/>
      <c r="F135" s="17"/>
      <c r="G135" s="18"/>
      <c r="H135" s="52"/>
      <c r="I135" s="52"/>
      <c r="J135" s="52"/>
      <c r="K135" s="40"/>
      <c r="L135" s="25"/>
      <c r="M135" s="25"/>
      <c r="N135" s="25"/>
      <c r="O135" s="25"/>
      <c r="P135" s="25"/>
      <c r="Q135" s="25"/>
    </row>
    <row r="136" spans="1:17" customFormat="1" x14ac:dyDescent="0.35">
      <c r="A136" s="24"/>
      <c r="B136" s="17"/>
      <c r="C136" s="17"/>
      <c r="D136" s="17"/>
      <c r="E136" s="78"/>
      <c r="F136" s="17"/>
      <c r="G136" s="18"/>
      <c r="H136" s="52"/>
      <c r="I136" s="52"/>
      <c r="J136" s="52"/>
      <c r="K136" s="40"/>
      <c r="L136" s="25"/>
      <c r="M136" s="25"/>
      <c r="N136" s="25"/>
      <c r="O136" s="25"/>
      <c r="P136" s="25"/>
      <c r="Q136" s="25"/>
    </row>
    <row r="137" spans="1:17" x14ac:dyDescent="0.35">
      <c r="A137" s="24"/>
      <c r="B137" s="17"/>
      <c r="C137" s="17"/>
      <c r="D137" s="17"/>
      <c r="E137" s="78"/>
      <c r="F137" s="17"/>
      <c r="G137" s="18"/>
      <c r="H137" s="52"/>
      <c r="I137" s="52"/>
      <c r="J137" s="52"/>
      <c r="K137" s="40"/>
      <c r="L137" s="25"/>
      <c r="M137" s="25"/>
      <c r="N137" s="25"/>
      <c r="O137" s="25"/>
      <c r="P137" s="25"/>
      <c r="Q137" s="25"/>
    </row>
    <row r="138" spans="1:17" x14ac:dyDescent="0.35">
      <c r="A138" s="24"/>
      <c r="B138" s="17"/>
      <c r="C138" s="17"/>
      <c r="D138" s="17"/>
      <c r="E138" s="78"/>
      <c r="F138" s="17"/>
      <c r="G138" s="18"/>
      <c r="H138" s="52"/>
      <c r="I138" s="52"/>
      <c r="J138" s="52"/>
      <c r="K138" s="40"/>
      <c r="L138" s="25"/>
      <c r="M138" s="25"/>
      <c r="N138" s="25"/>
      <c r="O138" s="25"/>
      <c r="P138" s="25"/>
      <c r="Q138" s="25"/>
    </row>
    <row r="139" spans="1:17" x14ac:dyDescent="0.35">
      <c r="A139" s="24"/>
      <c r="B139" s="17"/>
      <c r="C139" s="17"/>
      <c r="D139" s="17"/>
      <c r="E139" s="78"/>
      <c r="F139" s="17"/>
      <c r="G139" s="18"/>
      <c r="H139" s="52"/>
      <c r="I139" s="52"/>
      <c r="J139" s="52"/>
      <c r="K139" s="40"/>
      <c r="L139" s="25"/>
      <c r="M139" s="25"/>
      <c r="N139" s="25"/>
      <c r="O139" s="25"/>
      <c r="P139" s="25"/>
      <c r="Q139" s="25"/>
    </row>
    <row r="140" spans="1:17" x14ac:dyDescent="0.35">
      <c r="A140" s="24"/>
      <c r="B140" s="17"/>
      <c r="C140" s="17"/>
      <c r="D140" s="17"/>
      <c r="E140" s="78"/>
      <c r="F140" s="17"/>
      <c r="G140" s="18"/>
      <c r="H140" s="52"/>
      <c r="I140" s="52"/>
      <c r="J140" s="52"/>
      <c r="K140" s="40"/>
      <c r="L140" s="25"/>
      <c r="M140" s="25"/>
      <c r="N140" s="25"/>
      <c r="O140" s="25"/>
      <c r="P140" s="25"/>
      <c r="Q140" s="25"/>
    </row>
    <row r="141" spans="1:17" x14ac:dyDescent="0.35">
      <c r="A141" s="24"/>
      <c r="B141" s="17"/>
      <c r="C141" s="17"/>
      <c r="D141" s="17"/>
      <c r="E141" s="78"/>
      <c r="F141" s="17"/>
      <c r="G141" s="18"/>
      <c r="H141" s="52"/>
      <c r="I141" s="52"/>
      <c r="J141" s="52"/>
      <c r="K141" s="40"/>
      <c r="L141" s="25"/>
      <c r="M141" s="25"/>
      <c r="N141" s="25"/>
      <c r="O141" s="25"/>
      <c r="P141" s="25"/>
      <c r="Q141" s="25"/>
    </row>
    <row r="142" spans="1:17" x14ac:dyDescent="0.35">
      <c r="B142"/>
      <c r="C142"/>
      <c r="D142"/>
      <c r="F142"/>
      <c r="G142"/>
      <c r="H142"/>
      <c r="I142"/>
      <c r="J142"/>
      <c r="K142" s="12"/>
      <c r="L142"/>
      <c r="M142"/>
      <c r="N142"/>
      <c r="O142"/>
      <c r="P142"/>
      <c r="Q142"/>
    </row>
    <row r="144" spans="1:17" x14ac:dyDescent="0.35">
      <c r="B144"/>
      <c r="C144"/>
      <c r="D144"/>
      <c r="E144" s="79"/>
      <c r="F144"/>
      <c r="G144"/>
      <c r="H144"/>
      <c r="I144"/>
      <c r="J144"/>
      <c r="K144" s="12"/>
      <c r="L144"/>
      <c r="M144"/>
      <c r="N144"/>
      <c r="O144"/>
      <c r="P144"/>
      <c r="Q144"/>
    </row>
    <row r="145" spans="11:11" customFormat="1" x14ac:dyDescent="0.35"/>
    <row r="146" spans="11:11" customFormat="1" x14ac:dyDescent="0.35">
      <c r="K146" s="12"/>
    </row>
    <row r="147" spans="11:11" customFormat="1" x14ac:dyDescent="0.35"/>
    <row r="148" spans="11:11" customFormat="1" x14ac:dyDescent="0.35"/>
    <row r="149" spans="11:11" customFormat="1" x14ac:dyDescent="0.35"/>
    <row r="150" spans="11:11" customFormat="1" x14ac:dyDescent="0.35"/>
    <row r="151" spans="11:11" customFormat="1" x14ac:dyDescent="0.35"/>
    <row r="152" spans="11:11" customFormat="1" x14ac:dyDescent="0.35"/>
    <row r="153" spans="11:11" customFormat="1" x14ac:dyDescent="0.35"/>
    <row r="154" spans="11:11" customFormat="1" x14ac:dyDescent="0.35"/>
    <row r="155" spans="11:11" customFormat="1" x14ac:dyDescent="0.35"/>
    <row r="156" spans="11:11" customFormat="1" x14ac:dyDescent="0.35"/>
    <row r="157" spans="11:11" customFormat="1" x14ac:dyDescent="0.35"/>
    <row r="158" spans="11:11" customFormat="1" x14ac:dyDescent="0.35"/>
    <row r="159" spans="11:11" customFormat="1" x14ac:dyDescent="0.35"/>
    <row r="160" spans="11:11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</sheetData>
  <pageMargins left="0.70866141732283472" right="0.70866141732283472" top="0.74803149606299213" bottom="0.74803149606299213" header="0.31496062992125984" footer="0.31496062992125984"/>
  <pageSetup paperSize="9" scale="42" fitToHeight="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516"/>
  <sheetViews>
    <sheetView workbookViewId="0">
      <selection activeCell="J3" sqref="J3"/>
    </sheetView>
  </sheetViews>
  <sheetFormatPr defaultRowHeight="14.5" x14ac:dyDescent="0.35"/>
  <cols>
    <col min="1" max="1" width="46.81640625" customWidth="1"/>
    <col min="2" max="2" width="8.7265625" style="126"/>
    <col min="3" max="3" width="14.6328125" style="179" customWidth="1"/>
  </cols>
  <sheetData>
    <row r="1" spans="1:4" x14ac:dyDescent="0.35">
      <c r="A1" s="178" t="s">
        <v>61</v>
      </c>
    </row>
    <row r="2" spans="1:4" x14ac:dyDescent="0.35">
      <c r="A2" s="178" t="s">
        <v>2945</v>
      </c>
    </row>
    <row r="3" spans="1:4" x14ac:dyDescent="0.35">
      <c r="A3" s="178" t="s">
        <v>2946</v>
      </c>
      <c r="B3" s="231" t="s">
        <v>2879</v>
      </c>
      <c r="C3" s="180" t="s">
        <v>2880</v>
      </c>
    </row>
    <row r="4" spans="1:4" hidden="1" x14ac:dyDescent="0.35">
      <c r="A4" s="178" t="s">
        <v>3020</v>
      </c>
      <c r="B4" s="231" t="s">
        <v>63</v>
      </c>
      <c r="C4" s="179">
        <v>0</v>
      </c>
    </row>
    <row r="5" spans="1:4" hidden="1" x14ac:dyDescent="0.35">
      <c r="A5" s="178" t="s">
        <v>199</v>
      </c>
      <c r="B5" s="231" t="s">
        <v>63</v>
      </c>
      <c r="C5" s="179">
        <v>-128.44999999999999</v>
      </c>
    </row>
    <row r="6" spans="1:4" hidden="1" x14ac:dyDescent="0.35">
      <c r="A6" s="178" t="s">
        <v>202</v>
      </c>
      <c r="B6" s="231" t="s">
        <v>63</v>
      </c>
      <c r="C6" s="179">
        <v>-32675.7</v>
      </c>
    </row>
    <row r="7" spans="1:4" hidden="1" x14ac:dyDescent="0.35">
      <c r="A7" s="178" t="s">
        <v>3021</v>
      </c>
      <c r="B7" s="231" t="s">
        <v>63</v>
      </c>
      <c r="C7" s="179">
        <v>-870.05</v>
      </c>
    </row>
    <row r="8" spans="1:4" hidden="1" x14ac:dyDescent="0.35">
      <c r="A8" s="178" t="s">
        <v>3022</v>
      </c>
      <c r="B8" s="231" t="s">
        <v>63</v>
      </c>
      <c r="C8" s="179">
        <v>-1349</v>
      </c>
    </row>
    <row r="9" spans="1:4" hidden="1" x14ac:dyDescent="0.35">
      <c r="A9" s="178" t="s">
        <v>307</v>
      </c>
      <c r="B9" s="231" t="s">
        <v>63</v>
      </c>
      <c r="C9" s="179">
        <v>-135.05000000000001</v>
      </c>
    </row>
    <row r="10" spans="1:4" hidden="1" x14ac:dyDescent="0.35">
      <c r="A10" s="178" t="s">
        <v>3023</v>
      </c>
      <c r="B10" s="231" t="s">
        <v>63</v>
      </c>
      <c r="C10" s="179">
        <v>0</v>
      </c>
    </row>
    <row r="11" spans="1:4" hidden="1" x14ac:dyDescent="0.35">
      <c r="A11" s="178" t="s">
        <v>310</v>
      </c>
      <c r="B11" s="231" t="s">
        <v>63</v>
      </c>
      <c r="C11" s="179">
        <v>-3160</v>
      </c>
    </row>
    <row r="12" spans="1:4" hidden="1" x14ac:dyDescent="0.35">
      <c r="A12" s="178" t="s">
        <v>3024</v>
      </c>
      <c r="B12" s="231" t="s">
        <v>63</v>
      </c>
      <c r="C12" s="179">
        <v>0</v>
      </c>
    </row>
    <row r="13" spans="1:4" hidden="1" x14ac:dyDescent="0.35">
      <c r="A13" s="178" t="s">
        <v>359</v>
      </c>
      <c r="B13" s="231" t="s">
        <v>63</v>
      </c>
      <c r="C13" s="179">
        <v>-493</v>
      </c>
    </row>
    <row r="14" spans="1:4" hidden="1" x14ac:dyDescent="0.35">
      <c r="A14" s="178" t="s">
        <v>397</v>
      </c>
      <c r="B14" s="231" t="s">
        <v>63</v>
      </c>
      <c r="C14" s="179">
        <v>-15377.3</v>
      </c>
    </row>
    <row r="15" spans="1:4" hidden="1" x14ac:dyDescent="0.35">
      <c r="A15" s="178" t="s">
        <v>3025</v>
      </c>
      <c r="B15" s="231" t="s">
        <v>63</v>
      </c>
      <c r="C15" s="179">
        <v>0</v>
      </c>
    </row>
    <row r="16" spans="1:4" hidden="1" x14ac:dyDescent="0.35">
      <c r="A16" s="178" t="s">
        <v>3330</v>
      </c>
      <c r="B16" s="126">
        <v>1648.56</v>
      </c>
      <c r="C16" s="179">
        <v>400521.1</v>
      </c>
      <c r="D16" t="s">
        <v>3348</v>
      </c>
    </row>
    <row r="17" spans="1:4" x14ac:dyDescent="0.35">
      <c r="A17" s="178" t="s">
        <v>3331</v>
      </c>
      <c r="B17" s="126">
        <v>1464.08</v>
      </c>
      <c r="C17" s="179">
        <v>677878.46</v>
      </c>
      <c r="D17" t="s">
        <v>3349</v>
      </c>
    </row>
    <row r="18" spans="1:4" hidden="1" x14ac:dyDescent="0.35">
      <c r="A18" s="178" t="s">
        <v>3332</v>
      </c>
      <c r="B18" s="126">
        <v>1244.83</v>
      </c>
      <c r="C18" s="179">
        <v>329879.95</v>
      </c>
      <c r="D18" t="s">
        <v>3350</v>
      </c>
    </row>
    <row r="19" spans="1:4" x14ac:dyDescent="0.35">
      <c r="A19" s="178" t="s">
        <v>3333</v>
      </c>
      <c r="B19" s="126">
        <v>856.94</v>
      </c>
      <c r="C19" s="179">
        <v>213084.55</v>
      </c>
      <c r="D19" t="s">
        <v>3349</v>
      </c>
    </row>
    <row r="20" spans="1:4" hidden="1" x14ac:dyDescent="0.35">
      <c r="A20" s="178" t="s">
        <v>3334</v>
      </c>
      <c r="B20" s="126">
        <v>834.04</v>
      </c>
      <c r="C20" s="179">
        <v>202000.95</v>
      </c>
      <c r="D20" t="s">
        <v>3350</v>
      </c>
    </row>
    <row r="21" spans="1:4" x14ac:dyDescent="0.35">
      <c r="A21" s="178" t="s">
        <v>3335</v>
      </c>
      <c r="B21" s="126">
        <v>787.17</v>
      </c>
      <c r="C21" s="179">
        <v>221597.55</v>
      </c>
      <c r="D21" t="s">
        <v>3349</v>
      </c>
    </row>
    <row r="22" spans="1:4" hidden="1" x14ac:dyDescent="0.35">
      <c r="A22" s="178" t="s">
        <v>3336</v>
      </c>
      <c r="B22" s="126">
        <v>722.42</v>
      </c>
      <c r="C22" s="179">
        <v>181422</v>
      </c>
      <c r="D22" t="s">
        <v>3351</v>
      </c>
    </row>
    <row r="23" spans="1:4" hidden="1" x14ac:dyDescent="0.35">
      <c r="A23" s="178" t="s">
        <v>3337</v>
      </c>
      <c r="B23" s="126">
        <v>707.48</v>
      </c>
      <c r="C23" s="179">
        <v>215960.95</v>
      </c>
      <c r="D23" t="s">
        <v>3351</v>
      </c>
    </row>
    <row r="24" spans="1:4" hidden="1" x14ac:dyDescent="0.35">
      <c r="A24" s="178" t="s">
        <v>3338</v>
      </c>
      <c r="B24" s="126">
        <v>597.6</v>
      </c>
      <c r="C24" s="179">
        <v>148022.79999999999</v>
      </c>
      <c r="D24" t="s">
        <v>3351</v>
      </c>
    </row>
    <row r="25" spans="1:4" x14ac:dyDescent="0.35">
      <c r="A25" s="178" t="s">
        <v>3339</v>
      </c>
      <c r="B25" s="126">
        <v>583.21</v>
      </c>
      <c r="C25" s="179">
        <v>232642.6</v>
      </c>
      <c r="D25" t="s">
        <v>3349</v>
      </c>
    </row>
    <row r="26" spans="1:4" hidden="1" x14ac:dyDescent="0.35">
      <c r="A26" s="178" t="s">
        <v>3340</v>
      </c>
      <c r="B26" s="126">
        <v>543.53</v>
      </c>
      <c r="C26" s="179">
        <v>191245.82</v>
      </c>
      <c r="D26" t="s">
        <v>3348</v>
      </c>
    </row>
    <row r="27" spans="1:4" hidden="1" x14ac:dyDescent="0.35">
      <c r="A27" s="178" t="s">
        <v>3341</v>
      </c>
      <c r="B27" s="126">
        <v>459.86</v>
      </c>
      <c r="C27" s="179">
        <v>179935.3</v>
      </c>
      <c r="D27" t="s">
        <v>3351</v>
      </c>
    </row>
    <row r="28" spans="1:4" hidden="1" x14ac:dyDescent="0.35">
      <c r="A28" s="178" t="s">
        <v>3342</v>
      </c>
      <c r="B28" s="126">
        <v>458.57</v>
      </c>
      <c r="C28" s="179">
        <v>121585.05</v>
      </c>
      <c r="D28" t="s">
        <v>3350</v>
      </c>
    </row>
    <row r="29" spans="1:4" hidden="1" x14ac:dyDescent="0.35">
      <c r="A29" s="178" t="s">
        <v>185</v>
      </c>
      <c r="B29" s="126">
        <v>420.83</v>
      </c>
      <c r="C29" s="179">
        <v>173457.15</v>
      </c>
      <c r="D29" t="s">
        <v>3351</v>
      </c>
    </row>
    <row r="30" spans="1:4" hidden="1" x14ac:dyDescent="0.35">
      <c r="A30" s="178" t="s">
        <v>264</v>
      </c>
      <c r="B30" s="126">
        <v>371.53</v>
      </c>
      <c r="C30" s="179">
        <v>73934.47</v>
      </c>
      <c r="D30" t="s">
        <v>3352</v>
      </c>
    </row>
    <row r="31" spans="1:4" x14ac:dyDescent="0.35">
      <c r="A31" s="178" t="s">
        <v>320</v>
      </c>
      <c r="B31" s="126">
        <v>364.96</v>
      </c>
      <c r="C31" s="179">
        <v>145702.1</v>
      </c>
      <c r="D31" t="s">
        <v>3349</v>
      </c>
    </row>
    <row r="32" spans="1:4" hidden="1" x14ac:dyDescent="0.35">
      <c r="A32" s="178" t="s">
        <v>316</v>
      </c>
      <c r="B32" s="126">
        <v>355.54</v>
      </c>
      <c r="C32" s="179">
        <v>85369.35</v>
      </c>
      <c r="D32" t="s">
        <v>3351</v>
      </c>
    </row>
    <row r="33" spans="1:4" x14ac:dyDescent="0.35">
      <c r="A33" s="178" t="s">
        <v>231</v>
      </c>
      <c r="B33" s="126">
        <v>322.14</v>
      </c>
      <c r="C33" s="179">
        <v>97131</v>
      </c>
      <c r="D33" t="s">
        <v>3349</v>
      </c>
    </row>
    <row r="34" spans="1:4" hidden="1" x14ac:dyDescent="0.35">
      <c r="A34" s="178" t="s">
        <v>239</v>
      </c>
      <c r="B34" s="126">
        <v>317.11</v>
      </c>
      <c r="C34" s="179">
        <v>115956.4</v>
      </c>
      <c r="D34" t="s">
        <v>3348</v>
      </c>
    </row>
    <row r="35" spans="1:4" x14ac:dyDescent="0.35">
      <c r="A35" s="178" t="s">
        <v>3026</v>
      </c>
      <c r="B35" s="126">
        <v>300.66000000000003</v>
      </c>
      <c r="C35" s="179">
        <v>74512.25</v>
      </c>
      <c r="D35" t="s">
        <v>3349</v>
      </c>
    </row>
    <row r="36" spans="1:4" x14ac:dyDescent="0.35">
      <c r="A36" s="178" t="s">
        <v>256</v>
      </c>
      <c r="B36" s="126">
        <v>293.76</v>
      </c>
      <c r="C36" s="179">
        <v>120901.95</v>
      </c>
      <c r="D36" t="s">
        <v>3349</v>
      </c>
    </row>
    <row r="37" spans="1:4" x14ac:dyDescent="0.35">
      <c r="A37" s="178" t="s">
        <v>314</v>
      </c>
      <c r="B37" s="126">
        <v>285.44</v>
      </c>
      <c r="C37" s="179">
        <v>74944.399999999994</v>
      </c>
      <c r="D37" t="s">
        <v>3349</v>
      </c>
    </row>
    <row r="38" spans="1:4" hidden="1" x14ac:dyDescent="0.35">
      <c r="A38" s="178" t="s">
        <v>346</v>
      </c>
      <c r="B38" s="126">
        <v>272.13</v>
      </c>
      <c r="C38" s="179">
        <v>92610.55</v>
      </c>
      <c r="D38" t="s">
        <v>3351</v>
      </c>
    </row>
    <row r="39" spans="1:4" hidden="1" x14ac:dyDescent="0.35">
      <c r="A39" s="178" t="s">
        <v>391</v>
      </c>
      <c r="B39" s="126">
        <v>249.89</v>
      </c>
      <c r="C39" s="179">
        <v>89177.9</v>
      </c>
      <c r="D39" t="s">
        <v>3348</v>
      </c>
    </row>
    <row r="40" spans="1:4" hidden="1" x14ac:dyDescent="0.35">
      <c r="A40" s="178" t="s">
        <v>3027</v>
      </c>
      <c r="B40" s="126">
        <v>244.63</v>
      </c>
      <c r="C40" s="179">
        <v>88800.75</v>
      </c>
    </row>
    <row r="41" spans="1:4" hidden="1" x14ac:dyDescent="0.35">
      <c r="A41" s="178" t="s">
        <v>3028</v>
      </c>
      <c r="B41" s="126">
        <v>229.86</v>
      </c>
      <c r="C41" s="179">
        <v>56315.7</v>
      </c>
      <c r="D41" t="s">
        <v>3353</v>
      </c>
    </row>
    <row r="42" spans="1:4" hidden="1" x14ac:dyDescent="0.35">
      <c r="A42" s="178" t="s">
        <v>3029</v>
      </c>
      <c r="B42" s="126">
        <v>225.95</v>
      </c>
      <c r="C42" s="179">
        <v>24084.18</v>
      </c>
      <c r="D42" t="s">
        <v>3350</v>
      </c>
    </row>
    <row r="43" spans="1:4" hidden="1" x14ac:dyDescent="0.35">
      <c r="A43" s="178" t="s">
        <v>364</v>
      </c>
      <c r="B43" s="126">
        <v>225.94</v>
      </c>
      <c r="C43" s="179">
        <v>88955.1</v>
      </c>
      <c r="D43" t="s">
        <v>3350</v>
      </c>
    </row>
    <row r="44" spans="1:4" x14ac:dyDescent="0.35">
      <c r="A44" s="178" t="s">
        <v>3030</v>
      </c>
      <c r="B44" s="126">
        <v>221.76</v>
      </c>
      <c r="C44" s="179">
        <v>96769.600000000006</v>
      </c>
      <c r="D44" t="s">
        <v>3349</v>
      </c>
    </row>
    <row r="45" spans="1:4" hidden="1" x14ac:dyDescent="0.35">
      <c r="A45" s="178" t="s">
        <v>189</v>
      </c>
      <c r="B45" s="126">
        <v>217.84</v>
      </c>
      <c r="C45" s="179">
        <v>108379.35</v>
      </c>
    </row>
    <row r="46" spans="1:4" x14ac:dyDescent="0.35">
      <c r="A46" s="178" t="s">
        <v>323</v>
      </c>
      <c r="B46" s="126">
        <v>217.75</v>
      </c>
      <c r="C46" s="179">
        <v>99439.15</v>
      </c>
      <c r="D46" t="s">
        <v>3349</v>
      </c>
    </row>
    <row r="47" spans="1:4" hidden="1" x14ac:dyDescent="0.35">
      <c r="A47" s="178" t="s">
        <v>197</v>
      </c>
      <c r="B47" s="126">
        <v>215.62</v>
      </c>
      <c r="C47" s="179">
        <v>72161.8</v>
      </c>
      <c r="D47" t="s">
        <v>3354</v>
      </c>
    </row>
    <row r="48" spans="1:4" x14ac:dyDescent="0.35">
      <c r="A48" s="178" t="s">
        <v>232</v>
      </c>
      <c r="B48" s="126">
        <v>210.27</v>
      </c>
      <c r="C48" s="179">
        <v>84074.85</v>
      </c>
      <c r="D48" t="s">
        <v>3349</v>
      </c>
    </row>
    <row r="49" spans="1:4" x14ac:dyDescent="0.35">
      <c r="A49" s="178" t="s">
        <v>210</v>
      </c>
      <c r="B49" s="126">
        <v>205.2</v>
      </c>
      <c r="C49" s="179">
        <v>71820</v>
      </c>
      <c r="D49" t="s">
        <v>3349</v>
      </c>
    </row>
    <row r="50" spans="1:4" hidden="1" x14ac:dyDescent="0.35">
      <c r="A50" s="178" t="s">
        <v>252</v>
      </c>
      <c r="B50" s="126">
        <v>196.82</v>
      </c>
      <c r="C50" s="179">
        <v>71271.5</v>
      </c>
      <c r="D50" t="s">
        <v>3351</v>
      </c>
    </row>
    <row r="51" spans="1:4" hidden="1" x14ac:dyDescent="0.35">
      <c r="A51" s="178" t="s">
        <v>3031</v>
      </c>
      <c r="B51" s="126">
        <v>185.52</v>
      </c>
      <c r="C51" s="179">
        <v>75574.5</v>
      </c>
      <c r="D51" t="s">
        <v>3350</v>
      </c>
    </row>
    <row r="52" spans="1:4" hidden="1" x14ac:dyDescent="0.35">
      <c r="A52" s="178" t="s">
        <v>258</v>
      </c>
      <c r="B52" s="126">
        <v>184.32</v>
      </c>
      <c r="C52" s="179">
        <v>47963.5</v>
      </c>
      <c r="D52" t="s">
        <v>3348</v>
      </c>
    </row>
    <row r="53" spans="1:4" hidden="1" x14ac:dyDescent="0.35">
      <c r="A53" s="178" t="s">
        <v>3032</v>
      </c>
      <c r="B53" s="126">
        <v>182.23</v>
      </c>
      <c r="C53" s="179">
        <v>64430.5</v>
      </c>
      <c r="D53" t="s">
        <v>3354</v>
      </c>
    </row>
    <row r="54" spans="1:4" hidden="1" x14ac:dyDescent="0.35">
      <c r="A54" s="178" t="s">
        <v>163</v>
      </c>
      <c r="B54" s="126">
        <v>180.87</v>
      </c>
      <c r="C54" s="179">
        <v>71884.600000000006</v>
      </c>
      <c r="D54" t="s">
        <v>3353</v>
      </c>
    </row>
    <row r="55" spans="1:4" hidden="1" x14ac:dyDescent="0.35">
      <c r="A55" s="178" t="s">
        <v>400</v>
      </c>
      <c r="B55" s="126">
        <v>179.41</v>
      </c>
      <c r="C55" s="179">
        <v>41401.85</v>
      </c>
      <c r="D55" t="s">
        <v>3350</v>
      </c>
    </row>
    <row r="56" spans="1:4" x14ac:dyDescent="0.35">
      <c r="A56" s="178" t="s">
        <v>3033</v>
      </c>
      <c r="B56" s="126">
        <v>178.43</v>
      </c>
      <c r="C56" s="179">
        <v>79317.75</v>
      </c>
      <c r="D56" t="s">
        <v>3349</v>
      </c>
    </row>
    <row r="57" spans="1:4" x14ac:dyDescent="0.35">
      <c r="A57" s="178" t="s">
        <v>217</v>
      </c>
      <c r="B57" s="126">
        <v>177.02</v>
      </c>
      <c r="C57" s="179">
        <v>69277.899999999994</v>
      </c>
      <c r="D57" t="s">
        <v>3349</v>
      </c>
    </row>
    <row r="58" spans="1:4" hidden="1" x14ac:dyDescent="0.35">
      <c r="A58" s="178" t="s">
        <v>393</v>
      </c>
      <c r="B58" s="126">
        <v>172.26</v>
      </c>
      <c r="C58" s="179">
        <v>50067.75</v>
      </c>
      <c r="D58" t="s">
        <v>3350</v>
      </c>
    </row>
    <row r="59" spans="1:4" hidden="1" x14ac:dyDescent="0.35">
      <c r="A59" s="178" t="s">
        <v>375</v>
      </c>
      <c r="B59" s="126">
        <v>156.97</v>
      </c>
      <c r="C59" s="179">
        <v>61454.95</v>
      </c>
      <c r="D59" t="s">
        <v>3354</v>
      </c>
    </row>
    <row r="60" spans="1:4" hidden="1" x14ac:dyDescent="0.35">
      <c r="A60" s="178" t="s">
        <v>3034</v>
      </c>
      <c r="B60" s="126">
        <v>145.34</v>
      </c>
      <c r="C60" s="179">
        <v>60668.75</v>
      </c>
      <c r="D60" t="s">
        <v>3351</v>
      </c>
    </row>
    <row r="61" spans="1:4" x14ac:dyDescent="0.35">
      <c r="A61" s="178" t="s">
        <v>233</v>
      </c>
      <c r="B61" s="126">
        <v>143.22999999999999</v>
      </c>
      <c r="C61" s="179">
        <v>61576.800000000003</v>
      </c>
      <c r="D61" t="s">
        <v>3349</v>
      </c>
    </row>
    <row r="62" spans="1:4" hidden="1" x14ac:dyDescent="0.35">
      <c r="A62" s="178" t="s">
        <v>311</v>
      </c>
      <c r="B62" s="126">
        <v>134.53</v>
      </c>
      <c r="C62" s="179">
        <v>32287.200000000001</v>
      </c>
      <c r="D62" t="s">
        <v>3348</v>
      </c>
    </row>
    <row r="63" spans="1:4" x14ac:dyDescent="0.35">
      <c r="A63" s="178" t="s">
        <v>299</v>
      </c>
      <c r="B63" s="126">
        <v>132.69999999999999</v>
      </c>
      <c r="C63" s="179">
        <v>49144.35</v>
      </c>
      <c r="D63" t="s">
        <v>3349</v>
      </c>
    </row>
    <row r="64" spans="1:4" x14ac:dyDescent="0.35">
      <c r="A64" s="178" t="s">
        <v>3035</v>
      </c>
      <c r="B64" s="126">
        <v>132.51</v>
      </c>
      <c r="C64" s="179">
        <v>52761.55</v>
      </c>
      <c r="D64" t="s">
        <v>3349</v>
      </c>
    </row>
    <row r="65" spans="1:4" x14ac:dyDescent="0.35">
      <c r="A65" s="178" t="s">
        <v>317</v>
      </c>
      <c r="B65" s="126">
        <v>128.32</v>
      </c>
      <c r="C65" s="179">
        <v>43249.65</v>
      </c>
      <c r="D65" t="s">
        <v>3349</v>
      </c>
    </row>
    <row r="66" spans="1:4" hidden="1" x14ac:dyDescent="0.35">
      <c r="A66" s="178" t="s">
        <v>3036</v>
      </c>
      <c r="B66" s="126">
        <v>125.81</v>
      </c>
      <c r="C66" s="179">
        <v>36224.400000000001</v>
      </c>
      <c r="D66" t="s">
        <v>3355</v>
      </c>
    </row>
    <row r="67" spans="1:4" hidden="1" x14ac:dyDescent="0.35">
      <c r="A67" s="178" t="s">
        <v>257</v>
      </c>
      <c r="B67" s="126">
        <v>125.22</v>
      </c>
      <c r="C67" s="179">
        <v>51129.35</v>
      </c>
      <c r="D67" t="s">
        <v>3351</v>
      </c>
    </row>
    <row r="68" spans="1:4" hidden="1" x14ac:dyDescent="0.35">
      <c r="A68" s="178" t="s">
        <v>180</v>
      </c>
      <c r="B68" s="126">
        <v>123.9</v>
      </c>
      <c r="C68" s="179">
        <v>34076.35</v>
      </c>
      <c r="D68" t="s">
        <v>3348</v>
      </c>
    </row>
    <row r="69" spans="1:4" hidden="1" x14ac:dyDescent="0.35">
      <c r="A69" s="178" t="s">
        <v>357</v>
      </c>
      <c r="B69" s="126">
        <v>123.05</v>
      </c>
      <c r="C69" s="179">
        <v>35373.599999999999</v>
      </c>
      <c r="D69" t="s">
        <v>3348</v>
      </c>
    </row>
    <row r="70" spans="1:4" hidden="1" x14ac:dyDescent="0.35">
      <c r="A70" s="178" t="s">
        <v>349</v>
      </c>
      <c r="B70" s="126">
        <v>117.28</v>
      </c>
      <c r="C70" s="179">
        <v>40216.400000000001</v>
      </c>
      <c r="D70" t="s">
        <v>3348</v>
      </c>
    </row>
    <row r="71" spans="1:4" hidden="1" x14ac:dyDescent="0.35">
      <c r="A71" s="178" t="s">
        <v>283</v>
      </c>
      <c r="B71" s="126">
        <v>115.09</v>
      </c>
      <c r="C71" s="179">
        <v>33604.35</v>
      </c>
      <c r="D71" t="s">
        <v>3351</v>
      </c>
    </row>
    <row r="72" spans="1:4" x14ac:dyDescent="0.35">
      <c r="A72" s="178" t="s">
        <v>345</v>
      </c>
      <c r="B72" s="126">
        <v>114.9</v>
      </c>
      <c r="C72" s="179">
        <v>31040.2</v>
      </c>
      <c r="D72" t="s">
        <v>3349</v>
      </c>
    </row>
    <row r="73" spans="1:4" hidden="1" x14ac:dyDescent="0.35">
      <c r="A73" s="178" t="s">
        <v>325</v>
      </c>
      <c r="B73" s="126">
        <v>113.18</v>
      </c>
      <c r="C73" s="179">
        <v>40835.949999999997</v>
      </c>
      <c r="D73" t="s">
        <v>3354</v>
      </c>
    </row>
    <row r="74" spans="1:4" hidden="1" x14ac:dyDescent="0.35">
      <c r="A74" s="178" t="s">
        <v>3037</v>
      </c>
      <c r="B74" s="126">
        <v>112.17</v>
      </c>
      <c r="C74" s="179">
        <v>36525.35</v>
      </c>
      <c r="D74" t="s">
        <v>3353</v>
      </c>
    </row>
    <row r="75" spans="1:4" hidden="1" x14ac:dyDescent="0.35">
      <c r="A75" s="178" t="s">
        <v>214</v>
      </c>
      <c r="B75" s="126">
        <v>106.58</v>
      </c>
      <c r="C75" s="179">
        <v>40866.019999999997</v>
      </c>
      <c r="D75" t="s">
        <v>3352</v>
      </c>
    </row>
    <row r="76" spans="1:4" x14ac:dyDescent="0.35">
      <c r="A76" s="178" t="s">
        <v>151</v>
      </c>
      <c r="B76" s="126">
        <v>104.58</v>
      </c>
      <c r="C76" s="179">
        <v>27797.35</v>
      </c>
      <c r="D76" t="s">
        <v>3349</v>
      </c>
    </row>
    <row r="77" spans="1:4" hidden="1" x14ac:dyDescent="0.35">
      <c r="A77" s="178" t="s">
        <v>3038</v>
      </c>
      <c r="B77" s="126">
        <v>102.52</v>
      </c>
      <c r="C77" s="179">
        <v>30638.2</v>
      </c>
      <c r="D77" t="s">
        <v>3356</v>
      </c>
    </row>
    <row r="78" spans="1:4" hidden="1" x14ac:dyDescent="0.35">
      <c r="A78" s="178" t="s">
        <v>183</v>
      </c>
      <c r="B78" s="126">
        <v>101.25</v>
      </c>
      <c r="C78" s="179">
        <v>30375</v>
      </c>
      <c r="D78" t="s">
        <v>3352</v>
      </c>
    </row>
    <row r="79" spans="1:4" hidden="1" x14ac:dyDescent="0.35">
      <c r="A79" s="178" t="s">
        <v>3039</v>
      </c>
      <c r="B79" s="126">
        <v>100.06</v>
      </c>
      <c r="C79" s="179">
        <v>36021.599999999999</v>
      </c>
      <c r="D79" t="s">
        <v>3348</v>
      </c>
    </row>
    <row r="80" spans="1:4" x14ac:dyDescent="0.35">
      <c r="A80" s="178" t="s">
        <v>290</v>
      </c>
      <c r="B80" s="126">
        <v>98.98</v>
      </c>
      <c r="C80" s="179">
        <v>24745</v>
      </c>
      <c r="D80" t="s">
        <v>3349</v>
      </c>
    </row>
    <row r="81" spans="1:4" hidden="1" x14ac:dyDescent="0.35">
      <c r="A81" s="178" t="s">
        <v>382</v>
      </c>
      <c r="B81" s="126">
        <v>98.4</v>
      </c>
      <c r="C81" s="179">
        <v>24017.68</v>
      </c>
      <c r="D81" t="s">
        <v>3357</v>
      </c>
    </row>
    <row r="82" spans="1:4" x14ac:dyDescent="0.35">
      <c r="A82" s="178" t="s">
        <v>167</v>
      </c>
      <c r="B82" s="126">
        <v>97.7</v>
      </c>
      <c r="C82" s="179">
        <v>41381</v>
      </c>
      <c r="D82" t="s">
        <v>3349</v>
      </c>
    </row>
    <row r="83" spans="1:4" x14ac:dyDescent="0.35">
      <c r="A83" s="178" t="s">
        <v>226</v>
      </c>
      <c r="B83" s="126">
        <v>97.13</v>
      </c>
      <c r="C83" s="179">
        <v>30904.1</v>
      </c>
      <c r="D83" t="s">
        <v>3349</v>
      </c>
    </row>
    <row r="84" spans="1:4" hidden="1" x14ac:dyDescent="0.35">
      <c r="A84" s="178" t="s">
        <v>175</v>
      </c>
      <c r="B84" s="126">
        <v>96.64</v>
      </c>
      <c r="C84" s="179">
        <v>39201.15</v>
      </c>
      <c r="D84" t="s">
        <v>3348</v>
      </c>
    </row>
    <row r="85" spans="1:4" hidden="1" x14ac:dyDescent="0.35">
      <c r="A85" s="178" t="s">
        <v>385</v>
      </c>
      <c r="B85" s="126">
        <v>94.92</v>
      </c>
      <c r="C85" s="179">
        <v>25628.400000000001</v>
      </c>
      <c r="D85" t="s">
        <v>3354</v>
      </c>
    </row>
    <row r="86" spans="1:4" hidden="1" x14ac:dyDescent="0.35">
      <c r="A86" s="178" t="s">
        <v>396</v>
      </c>
      <c r="B86" s="126">
        <v>91.91</v>
      </c>
      <c r="C86" s="179">
        <v>30670.55</v>
      </c>
      <c r="D86" t="s">
        <v>3348</v>
      </c>
    </row>
    <row r="87" spans="1:4" x14ac:dyDescent="0.35">
      <c r="A87" s="178" t="s">
        <v>293</v>
      </c>
      <c r="B87" s="126">
        <v>88.71</v>
      </c>
      <c r="C87" s="179">
        <v>26356.2</v>
      </c>
      <c r="D87" t="s">
        <v>3349</v>
      </c>
    </row>
    <row r="88" spans="1:4" hidden="1" x14ac:dyDescent="0.35">
      <c r="A88" s="178" t="s">
        <v>327</v>
      </c>
      <c r="B88" s="126">
        <v>86.33</v>
      </c>
      <c r="C88" s="179">
        <v>25467.35</v>
      </c>
      <c r="D88" t="s">
        <v>3354</v>
      </c>
    </row>
    <row r="89" spans="1:4" hidden="1" x14ac:dyDescent="0.35">
      <c r="A89" s="178" t="s">
        <v>242</v>
      </c>
      <c r="B89" s="126">
        <v>84.99</v>
      </c>
      <c r="C89" s="179">
        <v>34540.800000000003</v>
      </c>
      <c r="D89" t="s">
        <v>3354</v>
      </c>
    </row>
    <row r="90" spans="1:4" hidden="1" x14ac:dyDescent="0.35">
      <c r="A90" s="178" t="s">
        <v>186</v>
      </c>
      <c r="B90" s="126">
        <v>83.46</v>
      </c>
      <c r="C90" s="179">
        <v>32463.85</v>
      </c>
      <c r="D90" t="s">
        <v>3351</v>
      </c>
    </row>
    <row r="91" spans="1:4" x14ac:dyDescent="0.35">
      <c r="A91" s="178" t="s">
        <v>263</v>
      </c>
      <c r="B91" s="126">
        <v>82.32</v>
      </c>
      <c r="C91" s="179">
        <v>32428.9</v>
      </c>
      <c r="D91" t="s">
        <v>3349</v>
      </c>
    </row>
    <row r="92" spans="1:4" hidden="1" x14ac:dyDescent="0.35">
      <c r="A92" s="178" t="s">
        <v>273</v>
      </c>
      <c r="B92" s="126">
        <v>79.39</v>
      </c>
      <c r="C92" s="179">
        <v>20609.150000000001</v>
      </c>
      <c r="D92" t="s">
        <v>3351</v>
      </c>
    </row>
    <row r="93" spans="1:4" x14ac:dyDescent="0.35">
      <c r="A93" s="178" t="s">
        <v>160</v>
      </c>
      <c r="B93" s="126">
        <v>78.94</v>
      </c>
      <c r="C93" s="179">
        <v>28044.05</v>
      </c>
      <c r="D93" t="s">
        <v>3349</v>
      </c>
    </row>
    <row r="94" spans="1:4" hidden="1" x14ac:dyDescent="0.35">
      <c r="A94" s="178" t="s">
        <v>295</v>
      </c>
      <c r="B94" s="126">
        <v>78.599999999999994</v>
      </c>
      <c r="C94" s="179">
        <v>27339.35</v>
      </c>
      <c r="D94" t="s">
        <v>3351</v>
      </c>
    </row>
    <row r="95" spans="1:4" hidden="1" x14ac:dyDescent="0.35">
      <c r="A95" s="178" t="s">
        <v>255</v>
      </c>
      <c r="B95" s="126">
        <v>73.91</v>
      </c>
      <c r="C95" s="179">
        <v>29036.15</v>
      </c>
    </row>
    <row r="96" spans="1:4" hidden="1" x14ac:dyDescent="0.35">
      <c r="A96" s="178" t="s">
        <v>3040</v>
      </c>
      <c r="B96" s="126">
        <v>73.77</v>
      </c>
      <c r="C96" s="179">
        <v>25981.85</v>
      </c>
    </row>
    <row r="97" spans="1:4" hidden="1" x14ac:dyDescent="0.35">
      <c r="A97" s="178" t="s">
        <v>3041</v>
      </c>
      <c r="B97" s="126">
        <v>72.53</v>
      </c>
      <c r="C97" s="179">
        <v>32630.400000000001</v>
      </c>
    </row>
    <row r="98" spans="1:4" hidden="1" x14ac:dyDescent="0.35">
      <c r="A98" s="178" t="s">
        <v>3042</v>
      </c>
      <c r="B98" s="126">
        <v>71.56</v>
      </c>
      <c r="C98" s="179">
        <v>25024.400000000001</v>
      </c>
    </row>
    <row r="99" spans="1:4" hidden="1" x14ac:dyDescent="0.35">
      <c r="A99" s="178" t="s">
        <v>3043</v>
      </c>
      <c r="B99" s="126">
        <v>70.2</v>
      </c>
      <c r="C99" s="179">
        <v>24217.279999999999</v>
      </c>
    </row>
    <row r="100" spans="1:4" hidden="1" x14ac:dyDescent="0.35">
      <c r="A100" s="178" t="s">
        <v>3044</v>
      </c>
      <c r="B100" s="126">
        <v>68.16</v>
      </c>
      <c r="C100" s="179">
        <v>15676.8</v>
      </c>
    </row>
    <row r="101" spans="1:4" hidden="1" x14ac:dyDescent="0.35">
      <c r="A101" s="178" t="s">
        <v>155</v>
      </c>
      <c r="B101" s="126">
        <v>67.89</v>
      </c>
      <c r="C101" s="179">
        <v>17428.95</v>
      </c>
    </row>
    <row r="102" spans="1:4" hidden="1" x14ac:dyDescent="0.35">
      <c r="A102" s="178" t="s">
        <v>277</v>
      </c>
      <c r="B102" s="126">
        <v>67.739999999999995</v>
      </c>
      <c r="C102" s="179">
        <v>45194.12</v>
      </c>
    </row>
    <row r="103" spans="1:4" hidden="1" x14ac:dyDescent="0.35">
      <c r="A103" s="178" t="s">
        <v>3045</v>
      </c>
      <c r="B103" s="126">
        <v>65.930000000000007</v>
      </c>
      <c r="C103" s="179">
        <v>23700.85</v>
      </c>
    </row>
    <row r="104" spans="1:4" hidden="1" x14ac:dyDescent="0.35">
      <c r="A104" s="178" t="s">
        <v>3046</v>
      </c>
      <c r="B104" s="126">
        <v>64.62</v>
      </c>
      <c r="C104" s="179">
        <v>16442.45</v>
      </c>
    </row>
    <row r="105" spans="1:4" hidden="1" x14ac:dyDescent="0.35">
      <c r="A105" s="178" t="s">
        <v>363</v>
      </c>
      <c r="B105" s="126">
        <v>64.33</v>
      </c>
      <c r="C105" s="179">
        <v>24737.85</v>
      </c>
      <c r="D105" t="s">
        <v>3352</v>
      </c>
    </row>
    <row r="106" spans="1:4" hidden="1" x14ac:dyDescent="0.35">
      <c r="A106" s="178" t="s">
        <v>285</v>
      </c>
      <c r="B106" s="126">
        <v>63.64</v>
      </c>
      <c r="C106" s="179">
        <v>21705.1</v>
      </c>
    </row>
    <row r="107" spans="1:4" hidden="1" x14ac:dyDescent="0.35">
      <c r="A107" s="178" t="s">
        <v>3047</v>
      </c>
      <c r="B107" s="126">
        <v>61.78</v>
      </c>
      <c r="C107" s="179">
        <v>22858.6</v>
      </c>
    </row>
    <row r="108" spans="1:4" hidden="1" x14ac:dyDescent="0.35">
      <c r="A108" s="178" t="s">
        <v>3048</v>
      </c>
      <c r="B108" s="126">
        <v>61.24</v>
      </c>
      <c r="C108" s="179">
        <v>22510.7</v>
      </c>
    </row>
    <row r="109" spans="1:4" hidden="1" x14ac:dyDescent="0.35">
      <c r="A109" s="178" t="s">
        <v>272</v>
      </c>
      <c r="B109" s="126">
        <v>60.95</v>
      </c>
      <c r="C109" s="179">
        <v>24970.75</v>
      </c>
    </row>
    <row r="110" spans="1:4" hidden="1" x14ac:dyDescent="0.35">
      <c r="A110" s="178" t="s">
        <v>312</v>
      </c>
      <c r="B110" s="126">
        <v>57.88</v>
      </c>
      <c r="C110" s="179">
        <v>21065.9</v>
      </c>
    </row>
    <row r="111" spans="1:4" hidden="1" x14ac:dyDescent="0.35">
      <c r="A111" s="178" t="s">
        <v>3049</v>
      </c>
      <c r="B111" s="126">
        <v>57.75</v>
      </c>
      <c r="C111" s="179">
        <v>15592.5</v>
      </c>
    </row>
    <row r="112" spans="1:4" hidden="1" x14ac:dyDescent="0.35">
      <c r="A112" s="178" t="s">
        <v>169</v>
      </c>
      <c r="B112" s="126">
        <v>57.45</v>
      </c>
      <c r="C112" s="179">
        <v>20689.75</v>
      </c>
    </row>
    <row r="113" spans="1:4" hidden="1" x14ac:dyDescent="0.35">
      <c r="A113" s="178" t="s">
        <v>374</v>
      </c>
      <c r="B113" s="126">
        <v>57.12</v>
      </c>
      <c r="C113" s="179">
        <v>18623</v>
      </c>
    </row>
    <row r="114" spans="1:4" hidden="1" x14ac:dyDescent="0.35">
      <c r="A114" s="178" t="s">
        <v>3050</v>
      </c>
      <c r="B114" s="126">
        <v>56.42</v>
      </c>
      <c r="C114" s="179">
        <v>21361.7</v>
      </c>
    </row>
    <row r="115" spans="1:4" hidden="1" x14ac:dyDescent="0.35">
      <c r="A115" s="178" t="s">
        <v>370</v>
      </c>
      <c r="B115" s="126">
        <v>54.38</v>
      </c>
      <c r="C115" s="179">
        <v>19278</v>
      </c>
    </row>
    <row r="116" spans="1:4" hidden="1" x14ac:dyDescent="0.35">
      <c r="A116" s="178" t="s">
        <v>354</v>
      </c>
      <c r="B116" s="126">
        <v>54.16</v>
      </c>
      <c r="C116" s="179">
        <v>13722.1</v>
      </c>
    </row>
    <row r="117" spans="1:4" hidden="1" x14ac:dyDescent="0.35">
      <c r="A117" s="178" t="s">
        <v>194</v>
      </c>
      <c r="B117" s="126">
        <v>53.91</v>
      </c>
      <c r="C117" s="179">
        <v>17790.3</v>
      </c>
    </row>
    <row r="118" spans="1:4" hidden="1" x14ac:dyDescent="0.35">
      <c r="A118" s="178" t="s">
        <v>241</v>
      </c>
      <c r="B118" s="126">
        <v>53.48</v>
      </c>
      <c r="C118" s="179">
        <v>11765.6</v>
      </c>
    </row>
    <row r="119" spans="1:4" hidden="1" x14ac:dyDescent="0.35">
      <c r="A119" s="178" t="s">
        <v>162</v>
      </c>
      <c r="B119" s="126">
        <v>52.83</v>
      </c>
      <c r="C119" s="179">
        <v>19048.3</v>
      </c>
      <c r="D119" t="s">
        <v>3354</v>
      </c>
    </row>
    <row r="120" spans="1:4" hidden="1" x14ac:dyDescent="0.35">
      <c r="A120" s="178" t="s">
        <v>3051</v>
      </c>
      <c r="B120" s="126">
        <v>52.03</v>
      </c>
      <c r="C120" s="179">
        <v>13794</v>
      </c>
    </row>
    <row r="121" spans="1:4" hidden="1" x14ac:dyDescent="0.35">
      <c r="A121" s="178" t="s">
        <v>3052</v>
      </c>
      <c r="B121" s="126">
        <v>51.05</v>
      </c>
      <c r="C121" s="179">
        <v>18633.25</v>
      </c>
    </row>
    <row r="122" spans="1:4" hidden="1" x14ac:dyDescent="0.35">
      <c r="A122" s="178" t="s">
        <v>204</v>
      </c>
      <c r="B122" s="126">
        <v>50.09</v>
      </c>
      <c r="C122" s="179">
        <v>28052.35</v>
      </c>
    </row>
    <row r="123" spans="1:4" hidden="1" x14ac:dyDescent="0.35">
      <c r="A123" s="178" t="s">
        <v>3053</v>
      </c>
      <c r="B123" s="126">
        <v>49.71</v>
      </c>
      <c r="C123" s="179">
        <v>20540.849999999999</v>
      </c>
    </row>
    <row r="124" spans="1:4" hidden="1" x14ac:dyDescent="0.35">
      <c r="A124" s="178" t="s">
        <v>281</v>
      </c>
      <c r="B124" s="126">
        <v>49.2</v>
      </c>
      <c r="C124" s="179">
        <v>20844.05</v>
      </c>
      <c r="D124" t="s">
        <v>3354</v>
      </c>
    </row>
    <row r="125" spans="1:4" hidden="1" x14ac:dyDescent="0.35">
      <c r="A125" s="178" t="s">
        <v>3054</v>
      </c>
      <c r="B125" s="126">
        <v>48.72</v>
      </c>
      <c r="C125" s="179">
        <v>19831.75</v>
      </c>
    </row>
    <row r="126" spans="1:4" hidden="1" x14ac:dyDescent="0.35">
      <c r="A126" s="178" t="s">
        <v>275</v>
      </c>
      <c r="B126" s="126">
        <v>48.04</v>
      </c>
      <c r="C126" s="179">
        <v>14172.6</v>
      </c>
    </row>
    <row r="127" spans="1:4" hidden="1" x14ac:dyDescent="0.35">
      <c r="A127" s="178" t="s">
        <v>350</v>
      </c>
      <c r="B127" s="126">
        <v>47.64</v>
      </c>
      <c r="C127" s="179">
        <v>13339.2</v>
      </c>
    </row>
    <row r="128" spans="1:4" hidden="1" x14ac:dyDescent="0.35">
      <c r="A128" s="178" t="s">
        <v>336</v>
      </c>
      <c r="B128" s="126">
        <v>46.59</v>
      </c>
      <c r="C128" s="179">
        <v>17567.75</v>
      </c>
      <c r="D128" t="s">
        <v>3352</v>
      </c>
    </row>
    <row r="129" spans="1:3" hidden="1" x14ac:dyDescent="0.35">
      <c r="A129" s="178" t="s">
        <v>309</v>
      </c>
      <c r="B129" s="126">
        <v>45.46</v>
      </c>
      <c r="C129" s="179">
        <v>19059.400000000001</v>
      </c>
    </row>
    <row r="130" spans="1:3" hidden="1" x14ac:dyDescent="0.35">
      <c r="A130" s="178" t="s">
        <v>3055</v>
      </c>
      <c r="B130" s="126">
        <v>44.55</v>
      </c>
      <c r="C130" s="179">
        <v>13365</v>
      </c>
    </row>
    <row r="131" spans="1:3" hidden="1" x14ac:dyDescent="0.35">
      <c r="A131" s="178" t="s">
        <v>395</v>
      </c>
      <c r="B131" s="126">
        <v>44.46</v>
      </c>
      <c r="C131" s="179">
        <v>15615.03</v>
      </c>
    </row>
    <row r="132" spans="1:3" hidden="1" x14ac:dyDescent="0.35">
      <c r="A132" s="178" t="s">
        <v>153</v>
      </c>
      <c r="B132" s="126">
        <v>43.73</v>
      </c>
      <c r="C132" s="179">
        <v>15994.35</v>
      </c>
    </row>
    <row r="133" spans="1:3" hidden="1" x14ac:dyDescent="0.35">
      <c r="A133" s="178" t="s">
        <v>3056</v>
      </c>
      <c r="B133" s="126">
        <v>43.58</v>
      </c>
      <c r="C133" s="179">
        <v>12202.4</v>
      </c>
    </row>
    <row r="134" spans="1:3" hidden="1" x14ac:dyDescent="0.35">
      <c r="A134" s="178" t="s">
        <v>3057</v>
      </c>
      <c r="B134" s="126">
        <v>43.54</v>
      </c>
      <c r="C134" s="179">
        <v>15294.15</v>
      </c>
    </row>
    <row r="135" spans="1:3" hidden="1" x14ac:dyDescent="0.35">
      <c r="A135" s="178" t="s">
        <v>3058</v>
      </c>
      <c r="B135" s="126">
        <v>42.79</v>
      </c>
      <c r="C135" s="179">
        <v>13321.3</v>
      </c>
    </row>
    <row r="136" spans="1:3" hidden="1" x14ac:dyDescent="0.35">
      <c r="A136" s="178" t="s">
        <v>3059</v>
      </c>
      <c r="B136" s="126">
        <v>42.3</v>
      </c>
      <c r="C136" s="179">
        <v>14593.5</v>
      </c>
    </row>
    <row r="137" spans="1:3" hidden="1" x14ac:dyDescent="0.35">
      <c r="A137" s="178" t="s">
        <v>3060</v>
      </c>
      <c r="B137" s="126">
        <v>41.4</v>
      </c>
      <c r="C137" s="179">
        <v>15732</v>
      </c>
    </row>
    <row r="138" spans="1:3" hidden="1" x14ac:dyDescent="0.35">
      <c r="A138" s="178" t="s">
        <v>3061</v>
      </c>
      <c r="B138" s="126">
        <v>41.17</v>
      </c>
      <c r="C138" s="179">
        <v>14495.5</v>
      </c>
    </row>
    <row r="139" spans="1:3" hidden="1" x14ac:dyDescent="0.35">
      <c r="A139" s="178" t="s">
        <v>3062</v>
      </c>
      <c r="B139" s="126">
        <v>41.15</v>
      </c>
      <c r="C139" s="179">
        <v>12517.15</v>
      </c>
    </row>
    <row r="140" spans="1:3" hidden="1" x14ac:dyDescent="0.35">
      <c r="A140" s="178" t="s">
        <v>238</v>
      </c>
      <c r="B140" s="126">
        <v>41.12</v>
      </c>
      <c r="C140" s="179">
        <v>17378.5</v>
      </c>
    </row>
    <row r="141" spans="1:3" hidden="1" x14ac:dyDescent="0.35">
      <c r="A141" s="178" t="s">
        <v>247</v>
      </c>
      <c r="B141" s="126">
        <v>40.72</v>
      </c>
      <c r="C141" s="179">
        <v>14990.4</v>
      </c>
    </row>
    <row r="142" spans="1:3" hidden="1" x14ac:dyDescent="0.35">
      <c r="A142" s="178" t="s">
        <v>253</v>
      </c>
      <c r="B142" s="126">
        <v>39.83</v>
      </c>
      <c r="C142" s="179">
        <v>9894.5</v>
      </c>
    </row>
    <row r="143" spans="1:3" hidden="1" x14ac:dyDescent="0.35">
      <c r="A143" s="178" t="s">
        <v>166</v>
      </c>
      <c r="B143" s="126">
        <v>38.950000000000003</v>
      </c>
      <c r="C143" s="179">
        <v>15322.5</v>
      </c>
    </row>
    <row r="144" spans="1:3" hidden="1" x14ac:dyDescent="0.35">
      <c r="A144" s="178" t="s">
        <v>3063</v>
      </c>
      <c r="B144" s="126">
        <v>38.39</v>
      </c>
      <c r="C144" s="179">
        <v>11353.2</v>
      </c>
    </row>
    <row r="145" spans="1:3" hidden="1" x14ac:dyDescent="0.35">
      <c r="A145" s="178" t="s">
        <v>358</v>
      </c>
      <c r="B145" s="126">
        <v>38.049999999999997</v>
      </c>
      <c r="C145" s="179">
        <v>10463.75</v>
      </c>
    </row>
    <row r="146" spans="1:3" hidden="1" x14ac:dyDescent="0.35">
      <c r="A146" s="178" t="s">
        <v>3064</v>
      </c>
      <c r="B146" s="126">
        <v>37.35</v>
      </c>
      <c r="C146" s="179">
        <v>13778.55</v>
      </c>
    </row>
    <row r="147" spans="1:3" hidden="1" x14ac:dyDescent="0.35">
      <c r="A147" s="178" t="s">
        <v>378</v>
      </c>
      <c r="B147" s="126">
        <v>37.04</v>
      </c>
      <c r="C147" s="179">
        <v>12483.85</v>
      </c>
    </row>
    <row r="148" spans="1:3" hidden="1" x14ac:dyDescent="0.35">
      <c r="A148" s="178" t="s">
        <v>388</v>
      </c>
      <c r="B148" s="126">
        <v>36.72</v>
      </c>
      <c r="C148" s="179">
        <v>12114.7</v>
      </c>
    </row>
    <row r="149" spans="1:3" hidden="1" x14ac:dyDescent="0.35">
      <c r="A149" s="178" t="s">
        <v>3065</v>
      </c>
      <c r="B149" s="126">
        <v>36.36</v>
      </c>
      <c r="C149" s="179">
        <v>11879</v>
      </c>
    </row>
    <row r="150" spans="1:3" hidden="1" x14ac:dyDescent="0.35">
      <c r="A150" s="178" t="s">
        <v>213</v>
      </c>
      <c r="B150" s="126">
        <v>36.04</v>
      </c>
      <c r="C150" s="179">
        <v>12837.6</v>
      </c>
    </row>
    <row r="151" spans="1:3" hidden="1" x14ac:dyDescent="0.35">
      <c r="A151" s="178" t="s">
        <v>3066</v>
      </c>
      <c r="B151" s="126">
        <v>35.68</v>
      </c>
      <c r="C151" s="179">
        <v>11014.1</v>
      </c>
    </row>
    <row r="152" spans="1:3" hidden="1" x14ac:dyDescent="0.35">
      <c r="A152" s="178" t="s">
        <v>192</v>
      </c>
      <c r="B152" s="126">
        <v>35.17</v>
      </c>
      <c r="C152" s="179">
        <v>11513.7</v>
      </c>
    </row>
    <row r="153" spans="1:3" hidden="1" x14ac:dyDescent="0.35">
      <c r="A153" s="178" t="s">
        <v>3067</v>
      </c>
      <c r="B153" s="126">
        <v>34.85</v>
      </c>
      <c r="C153" s="179">
        <v>10316.5</v>
      </c>
    </row>
    <row r="154" spans="1:3" hidden="1" x14ac:dyDescent="0.35">
      <c r="A154" s="178" t="s">
        <v>367</v>
      </c>
      <c r="B154" s="126">
        <v>34.200000000000003</v>
      </c>
      <c r="C154" s="179">
        <v>13669.7</v>
      </c>
    </row>
    <row r="155" spans="1:3" hidden="1" x14ac:dyDescent="0.35">
      <c r="A155" s="178" t="s">
        <v>3068</v>
      </c>
      <c r="B155" s="126">
        <v>34.11</v>
      </c>
      <c r="C155" s="179">
        <v>13916.7</v>
      </c>
    </row>
    <row r="156" spans="1:3" hidden="1" x14ac:dyDescent="0.35">
      <c r="A156" s="178" t="s">
        <v>3069</v>
      </c>
      <c r="B156" s="126">
        <v>33.799999999999997</v>
      </c>
      <c r="C156" s="179">
        <v>12675</v>
      </c>
    </row>
    <row r="157" spans="1:3" hidden="1" x14ac:dyDescent="0.35">
      <c r="A157" s="178" t="s">
        <v>172</v>
      </c>
      <c r="B157" s="126">
        <v>33.6</v>
      </c>
      <c r="C157" s="179">
        <v>12445</v>
      </c>
    </row>
    <row r="158" spans="1:3" hidden="1" x14ac:dyDescent="0.35">
      <c r="A158" s="178" t="s">
        <v>229</v>
      </c>
      <c r="B158" s="126">
        <v>33.44</v>
      </c>
      <c r="C158" s="179">
        <v>13229</v>
      </c>
    </row>
    <row r="159" spans="1:3" hidden="1" x14ac:dyDescent="0.35">
      <c r="A159" s="178" t="s">
        <v>3070</v>
      </c>
      <c r="B159" s="126">
        <v>32.36</v>
      </c>
      <c r="C159" s="179">
        <v>10976</v>
      </c>
    </row>
    <row r="160" spans="1:3" hidden="1" x14ac:dyDescent="0.35">
      <c r="A160" s="178" t="s">
        <v>3071</v>
      </c>
      <c r="B160" s="126">
        <v>31.11</v>
      </c>
      <c r="C160" s="179">
        <v>12065.75</v>
      </c>
    </row>
    <row r="161" spans="1:3" hidden="1" x14ac:dyDescent="0.35">
      <c r="A161" s="178" t="s">
        <v>3072</v>
      </c>
      <c r="B161" s="126">
        <v>31.06</v>
      </c>
      <c r="C161" s="179">
        <v>8507.65</v>
      </c>
    </row>
    <row r="162" spans="1:3" hidden="1" x14ac:dyDescent="0.35">
      <c r="A162" s="178" t="s">
        <v>3073</v>
      </c>
      <c r="B162" s="126">
        <v>30.93</v>
      </c>
      <c r="C162" s="179">
        <v>12773.85</v>
      </c>
    </row>
    <row r="163" spans="1:3" hidden="1" x14ac:dyDescent="0.35">
      <c r="A163" s="178" t="s">
        <v>3074</v>
      </c>
      <c r="B163" s="126">
        <v>30.23</v>
      </c>
      <c r="C163" s="179">
        <v>8133.9</v>
      </c>
    </row>
    <row r="164" spans="1:3" hidden="1" x14ac:dyDescent="0.35">
      <c r="A164" s="178" t="s">
        <v>278</v>
      </c>
      <c r="B164" s="126">
        <v>30.11</v>
      </c>
      <c r="C164" s="179">
        <v>8129.7</v>
      </c>
    </row>
    <row r="165" spans="1:3" hidden="1" x14ac:dyDescent="0.35">
      <c r="A165" s="178" t="s">
        <v>3075</v>
      </c>
      <c r="B165" s="126">
        <v>29.98</v>
      </c>
      <c r="C165" s="179">
        <v>11092.6</v>
      </c>
    </row>
    <row r="166" spans="1:3" hidden="1" x14ac:dyDescent="0.35">
      <c r="A166" s="178" t="s">
        <v>195</v>
      </c>
      <c r="B166" s="126">
        <v>29.66</v>
      </c>
      <c r="C166" s="179">
        <v>12229.85</v>
      </c>
    </row>
    <row r="167" spans="1:3" hidden="1" x14ac:dyDescent="0.35">
      <c r="A167" s="178" t="s">
        <v>3076</v>
      </c>
      <c r="B167" s="126">
        <v>29.62</v>
      </c>
      <c r="C167" s="179">
        <v>10959.4</v>
      </c>
    </row>
    <row r="168" spans="1:3" hidden="1" x14ac:dyDescent="0.35">
      <c r="A168" s="178" t="s">
        <v>187</v>
      </c>
      <c r="B168" s="126">
        <v>29.57</v>
      </c>
      <c r="C168" s="179">
        <v>9724.5499999999993</v>
      </c>
    </row>
    <row r="169" spans="1:3" hidden="1" x14ac:dyDescent="0.35">
      <c r="A169" s="178" t="s">
        <v>3077</v>
      </c>
      <c r="B169" s="126">
        <v>28.94</v>
      </c>
      <c r="C169" s="179">
        <v>9999.9</v>
      </c>
    </row>
    <row r="170" spans="1:3" hidden="1" x14ac:dyDescent="0.35">
      <c r="A170" s="178" t="s">
        <v>321</v>
      </c>
      <c r="B170" s="126">
        <v>28.94</v>
      </c>
      <c r="C170" s="179">
        <v>11990.8</v>
      </c>
    </row>
    <row r="171" spans="1:3" hidden="1" x14ac:dyDescent="0.35">
      <c r="A171" s="178" t="s">
        <v>279</v>
      </c>
      <c r="B171" s="126">
        <v>28.29</v>
      </c>
      <c r="C171" s="179">
        <v>8062.65</v>
      </c>
    </row>
    <row r="172" spans="1:3" hidden="1" x14ac:dyDescent="0.35">
      <c r="A172" s="178" t="s">
        <v>3078</v>
      </c>
      <c r="B172" s="126">
        <v>28.25</v>
      </c>
      <c r="C172" s="179">
        <v>7768.75</v>
      </c>
    </row>
    <row r="173" spans="1:3" hidden="1" x14ac:dyDescent="0.35">
      <c r="A173" s="178" t="s">
        <v>303</v>
      </c>
      <c r="B173" s="126">
        <v>27.7</v>
      </c>
      <c r="C173" s="179">
        <v>8157.5</v>
      </c>
    </row>
    <row r="174" spans="1:3" hidden="1" x14ac:dyDescent="0.35">
      <c r="A174" s="178" t="s">
        <v>3079</v>
      </c>
      <c r="B174" s="126">
        <v>27.16</v>
      </c>
      <c r="C174" s="179">
        <v>10728.2</v>
      </c>
    </row>
    <row r="175" spans="1:3" hidden="1" x14ac:dyDescent="0.35">
      <c r="A175" s="178" t="s">
        <v>182</v>
      </c>
      <c r="B175" s="126">
        <v>26.16</v>
      </c>
      <c r="C175" s="179">
        <v>9787.83</v>
      </c>
    </row>
    <row r="176" spans="1:3" hidden="1" x14ac:dyDescent="0.35">
      <c r="A176" s="178" t="s">
        <v>3080</v>
      </c>
      <c r="B176" s="126">
        <v>26</v>
      </c>
      <c r="C176" s="179">
        <v>10502.8</v>
      </c>
    </row>
    <row r="177" spans="1:3" hidden="1" x14ac:dyDescent="0.35">
      <c r="A177" s="178" t="s">
        <v>3081</v>
      </c>
      <c r="B177" s="126">
        <v>25.56</v>
      </c>
      <c r="C177" s="179">
        <v>7540.2</v>
      </c>
    </row>
    <row r="178" spans="1:3" hidden="1" x14ac:dyDescent="0.35">
      <c r="A178" s="178" t="s">
        <v>3082</v>
      </c>
      <c r="B178" s="126">
        <v>25.44</v>
      </c>
      <c r="C178" s="179">
        <v>8554</v>
      </c>
    </row>
    <row r="179" spans="1:3" hidden="1" x14ac:dyDescent="0.35">
      <c r="A179" s="178" t="s">
        <v>3083</v>
      </c>
      <c r="B179" s="126">
        <v>25.06</v>
      </c>
      <c r="C179" s="179">
        <v>9694.4500000000007</v>
      </c>
    </row>
    <row r="180" spans="1:3" hidden="1" x14ac:dyDescent="0.35">
      <c r="A180" s="178" t="s">
        <v>164</v>
      </c>
      <c r="B180" s="126">
        <v>24.44</v>
      </c>
      <c r="C180" s="179">
        <v>7595.6</v>
      </c>
    </row>
    <row r="181" spans="1:3" hidden="1" x14ac:dyDescent="0.35">
      <c r="A181" s="178" t="s">
        <v>3084</v>
      </c>
      <c r="B181" s="126">
        <v>24.41</v>
      </c>
      <c r="C181" s="179">
        <v>8909.65</v>
      </c>
    </row>
    <row r="182" spans="1:3" hidden="1" x14ac:dyDescent="0.35">
      <c r="A182" s="178" t="s">
        <v>381</v>
      </c>
      <c r="B182" s="126">
        <v>24.2</v>
      </c>
      <c r="C182" s="179">
        <v>9761.25</v>
      </c>
    </row>
    <row r="183" spans="1:3" hidden="1" x14ac:dyDescent="0.35">
      <c r="A183" s="178" t="s">
        <v>3085</v>
      </c>
      <c r="B183" s="126">
        <v>24.07</v>
      </c>
      <c r="C183" s="179">
        <v>8712.4500000000007</v>
      </c>
    </row>
    <row r="184" spans="1:3" hidden="1" x14ac:dyDescent="0.35">
      <c r="A184" s="178" t="s">
        <v>3086</v>
      </c>
      <c r="B184" s="126">
        <v>23.83</v>
      </c>
      <c r="C184" s="179">
        <v>8340.5</v>
      </c>
    </row>
    <row r="185" spans="1:3" hidden="1" x14ac:dyDescent="0.35">
      <c r="A185" s="178" t="s">
        <v>3087</v>
      </c>
      <c r="B185" s="126">
        <v>23.66</v>
      </c>
      <c r="C185" s="179">
        <v>9174</v>
      </c>
    </row>
    <row r="186" spans="1:3" hidden="1" x14ac:dyDescent="0.35">
      <c r="A186" s="178" t="s">
        <v>3088</v>
      </c>
      <c r="B186" s="126">
        <v>23.6</v>
      </c>
      <c r="C186" s="179">
        <v>9205.75</v>
      </c>
    </row>
    <row r="187" spans="1:3" hidden="1" x14ac:dyDescent="0.35">
      <c r="A187" s="178" t="s">
        <v>3089</v>
      </c>
      <c r="B187" s="126">
        <v>23.49</v>
      </c>
      <c r="C187" s="179">
        <v>9585.25</v>
      </c>
    </row>
    <row r="188" spans="1:3" hidden="1" x14ac:dyDescent="0.35">
      <c r="A188" s="178" t="s">
        <v>254</v>
      </c>
      <c r="B188" s="126">
        <v>22.84</v>
      </c>
      <c r="C188" s="179">
        <v>8526.0499999999993</v>
      </c>
    </row>
    <row r="189" spans="1:3" hidden="1" x14ac:dyDescent="0.35">
      <c r="A189" s="178" t="s">
        <v>224</v>
      </c>
      <c r="B189" s="126">
        <v>22.81</v>
      </c>
      <c r="C189" s="179">
        <v>6879</v>
      </c>
    </row>
    <row r="190" spans="1:3" hidden="1" x14ac:dyDescent="0.35">
      <c r="A190" s="178" t="s">
        <v>301</v>
      </c>
      <c r="B190" s="126">
        <v>22.77</v>
      </c>
      <c r="C190" s="179">
        <v>7946.05</v>
      </c>
    </row>
    <row r="191" spans="1:3" hidden="1" x14ac:dyDescent="0.35">
      <c r="A191" s="178" t="s">
        <v>3090</v>
      </c>
      <c r="B191" s="126">
        <v>22.61</v>
      </c>
      <c r="C191" s="179">
        <v>8289.1</v>
      </c>
    </row>
    <row r="192" spans="1:3" hidden="1" x14ac:dyDescent="0.35">
      <c r="A192" s="178" t="s">
        <v>3091</v>
      </c>
      <c r="B192" s="126">
        <v>22.42</v>
      </c>
      <c r="C192" s="179">
        <v>8183.3</v>
      </c>
    </row>
    <row r="193" spans="1:3" hidden="1" x14ac:dyDescent="0.35">
      <c r="A193" s="178" t="s">
        <v>3092</v>
      </c>
      <c r="B193" s="126">
        <v>22.39</v>
      </c>
      <c r="C193" s="179">
        <v>6439.2</v>
      </c>
    </row>
    <row r="194" spans="1:3" hidden="1" x14ac:dyDescent="0.35">
      <c r="A194" s="178" t="s">
        <v>158</v>
      </c>
      <c r="B194" s="126">
        <v>22.34</v>
      </c>
      <c r="C194" s="179">
        <v>8219.2999999999993</v>
      </c>
    </row>
    <row r="195" spans="1:3" hidden="1" x14ac:dyDescent="0.35">
      <c r="A195" s="178" t="s">
        <v>165</v>
      </c>
      <c r="B195" s="126">
        <v>22.32</v>
      </c>
      <c r="C195" s="179">
        <v>7805.4</v>
      </c>
    </row>
    <row r="196" spans="1:3" hidden="1" x14ac:dyDescent="0.35">
      <c r="A196" s="178" t="s">
        <v>356</v>
      </c>
      <c r="B196" s="126">
        <v>22.17</v>
      </c>
      <c r="C196" s="179">
        <v>7774.85</v>
      </c>
    </row>
    <row r="197" spans="1:3" hidden="1" x14ac:dyDescent="0.35">
      <c r="A197" s="178" t="s">
        <v>250</v>
      </c>
      <c r="B197" s="126">
        <v>22.12</v>
      </c>
      <c r="C197" s="179">
        <v>9661.6</v>
      </c>
    </row>
    <row r="198" spans="1:3" hidden="1" x14ac:dyDescent="0.35">
      <c r="A198" s="178" t="s">
        <v>3093</v>
      </c>
      <c r="B198" s="126">
        <v>21.76</v>
      </c>
      <c r="C198" s="179">
        <v>7506.1</v>
      </c>
    </row>
    <row r="199" spans="1:3" hidden="1" x14ac:dyDescent="0.35">
      <c r="A199" s="178" t="s">
        <v>218</v>
      </c>
      <c r="B199" s="126">
        <v>21.73</v>
      </c>
      <c r="C199" s="179">
        <v>5617.5</v>
      </c>
    </row>
    <row r="200" spans="1:3" hidden="1" x14ac:dyDescent="0.35">
      <c r="A200" s="178" t="s">
        <v>3094</v>
      </c>
      <c r="B200" s="126">
        <v>21.57</v>
      </c>
      <c r="C200" s="179">
        <v>7171.35</v>
      </c>
    </row>
    <row r="201" spans="1:3" hidden="1" x14ac:dyDescent="0.35">
      <c r="A201" s="178" t="s">
        <v>3095</v>
      </c>
      <c r="B201" s="126">
        <v>21.18</v>
      </c>
      <c r="C201" s="179">
        <v>6142.2</v>
      </c>
    </row>
    <row r="202" spans="1:3" hidden="1" x14ac:dyDescent="0.35">
      <c r="A202" s="178" t="s">
        <v>296</v>
      </c>
      <c r="B202" s="126">
        <v>21.09</v>
      </c>
      <c r="C202" s="179">
        <v>8052.6</v>
      </c>
    </row>
    <row r="203" spans="1:3" hidden="1" x14ac:dyDescent="0.35">
      <c r="A203" s="178" t="s">
        <v>3096</v>
      </c>
      <c r="B203" s="126">
        <v>20.91</v>
      </c>
      <c r="C203" s="179">
        <v>6150.5</v>
      </c>
    </row>
    <row r="204" spans="1:3" hidden="1" x14ac:dyDescent="0.35">
      <c r="A204" s="178" t="s">
        <v>3097</v>
      </c>
      <c r="B204" s="126">
        <v>20.78</v>
      </c>
      <c r="C204" s="179">
        <v>7254.7</v>
      </c>
    </row>
    <row r="205" spans="1:3" hidden="1" x14ac:dyDescent="0.35">
      <c r="A205" s="178" t="s">
        <v>3098</v>
      </c>
      <c r="B205" s="126">
        <v>20</v>
      </c>
      <c r="C205" s="179">
        <v>6670.45</v>
      </c>
    </row>
    <row r="206" spans="1:3" hidden="1" x14ac:dyDescent="0.35">
      <c r="A206" s="178" t="s">
        <v>3099</v>
      </c>
      <c r="B206" s="126">
        <v>19.77</v>
      </c>
      <c r="C206" s="179">
        <v>5832.15</v>
      </c>
    </row>
    <row r="207" spans="1:3" hidden="1" x14ac:dyDescent="0.35">
      <c r="A207" s="178" t="s">
        <v>3100</v>
      </c>
      <c r="B207" s="126">
        <v>19.75</v>
      </c>
      <c r="C207" s="179">
        <v>7011.25</v>
      </c>
    </row>
    <row r="208" spans="1:3" hidden="1" x14ac:dyDescent="0.35">
      <c r="A208" s="178" t="s">
        <v>384</v>
      </c>
      <c r="B208" s="126">
        <v>19.7</v>
      </c>
      <c r="C208" s="179">
        <v>7978.5</v>
      </c>
    </row>
    <row r="209" spans="1:4" hidden="1" x14ac:dyDescent="0.35">
      <c r="A209" s="178" t="s">
        <v>3101</v>
      </c>
      <c r="B209" s="126">
        <v>19.61</v>
      </c>
      <c r="C209" s="179">
        <v>5294.7</v>
      </c>
    </row>
    <row r="210" spans="1:4" hidden="1" x14ac:dyDescent="0.35">
      <c r="A210" s="178" t="s">
        <v>3102</v>
      </c>
      <c r="B210" s="126">
        <v>19.52</v>
      </c>
      <c r="C210" s="179">
        <v>5817.8</v>
      </c>
    </row>
    <row r="211" spans="1:4" hidden="1" x14ac:dyDescent="0.35">
      <c r="A211" s="178" t="s">
        <v>3103</v>
      </c>
      <c r="B211" s="126">
        <v>19.37</v>
      </c>
      <c r="C211" s="179">
        <v>8207.25</v>
      </c>
    </row>
    <row r="212" spans="1:4" hidden="1" x14ac:dyDescent="0.35">
      <c r="A212" s="178" t="s">
        <v>3104</v>
      </c>
      <c r="B212" s="126">
        <v>19.13</v>
      </c>
      <c r="C212" s="179">
        <v>6464.2</v>
      </c>
    </row>
    <row r="213" spans="1:4" hidden="1" x14ac:dyDescent="0.35">
      <c r="A213" s="178" t="s">
        <v>305</v>
      </c>
      <c r="B213" s="126">
        <v>19</v>
      </c>
      <c r="C213" s="179">
        <v>9144</v>
      </c>
    </row>
    <row r="214" spans="1:4" hidden="1" x14ac:dyDescent="0.35">
      <c r="A214" s="178" t="s">
        <v>3105</v>
      </c>
      <c r="B214" s="126">
        <v>18.739999999999998</v>
      </c>
      <c r="C214" s="179">
        <v>6954.75</v>
      </c>
    </row>
    <row r="215" spans="1:4" hidden="1" x14ac:dyDescent="0.35">
      <c r="A215" s="178" t="s">
        <v>3106</v>
      </c>
      <c r="B215" s="126">
        <v>18.68</v>
      </c>
      <c r="C215" s="179">
        <v>7207.4</v>
      </c>
    </row>
    <row r="216" spans="1:4" hidden="1" x14ac:dyDescent="0.35">
      <c r="A216" s="178" t="s">
        <v>3107</v>
      </c>
      <c r="B216" s="126">
        <v>18.309999999999999</v>
      </c>
      <c r="C216" s="179">
        <v>5676.1</v>
      </c>
    </row>
    <row r="217" spans="1:4" hidden="1" x14ac:dyDescent="0.35">
      <c r="A217" s="178" t="s">
        <v>3108</v>
      </c>
      <c r="B217" s="126">
        <v>18.07</v>
      </c>
      <c r="C217" s="179">
        <v>4788.2</v>
      </c>
    </row>
    <row r="218" spans="1:4" hidden="1" x14ac:dyDescent="0.35">
      <c r="A218" s="178" t="s">
        <v>3109</v>
      </c>
      <c r="B218" s="126">
        <v>17.93</v>
      </c>
      <c r="C218" s="179">
        <v>7440.95</v>
      </c>
    </row>
    <row r="219" spans="1:4" hidden="1" x14ac:dyDescent="0.35">
      <c r="A219" s="178" t="s">
        <v>3110</v>
      </c>
      <c r="B219" s="126">
        <v>17.55</v>
      </c>
      <c r="C219" s="179">
        <v>5265</v>
      </c>
    </row>
    <row r="220" spans="1:4" hidden="1" x14ac:dyDescent="0.35">
      <c r="A220" s="178" t="s">
        <v>200</v>
      </c>
      <c r="B220" s="126">
        <v>17.420000000000002</v>
      </c>
      <c r="C220" s="179">
        <v>6563.9</v>
      </c>
      <c r="D220" t="s">
        <v>3352</v>
      </c>
    </row>
    <row r="221" spans="1:4" hidden="1" x14ac:dyDescent="0.35">
      <c r="A221" s="178" t="s">
        <v>3111</v>
      </c>
      <c r="B221" s="126">
        <v>17.34</v>
      </c>
      <c r="C221" s="179">
        <v>4855.2</v>
      </c>
    </row>
    <row r="222" spans="1:4" hidden="1" x14ac:dyDescent="0.35">
      <c r="A222" s="178" t="s">
        <v>225</v>
      </c>
      <c r="B222" s="126">
        <v>17.3</v>
      </c>
      <c r="C222" s="179">
        <v>7179.5</v>
      </c>
    </row>
    <row r="223" spans="1:4" hidden="1" x14ac:dyDescent="0.35">
      <c r="A223" s="178" t="s">
        <v>276</v>
      </c>
      <c r="B223" s="126">
        <v>16.8</v>
      </c>
      <c r="C223" s="179">
        <v>5049.7</v>
      </c>
    </row>
    <row r="224" spans="1:4" hidden="1" x14ac:dyDescent="0.35">
      <c r="A224" s="178" t="s">
        <v>3112</v>
      </c>
      <c r="B224" s="126">
        <v>16.63</v>
      </c>
      <c r="C224" s="179">
        <v>6153.1</v>
      </c>
    </row>
    <row r="225" spans="1:3" hidden="1" x14ac:dyDescent="0.35">
      <c r="A225" s="178" t="s">
        <v>347</v>
      </c>
      <c r="B225" s="126">
        <v>16.559999999999999</v>
      </c>
      <c r="C225" s="179">
        <v>6578.95</v>
      </c>
    </row>
    <row r="226" spans="1:3" hidden="1" x14ac:dyDescent="0.35">
      <c r="A226" s="178" t="s">
        <v>342</v>
      </c>
      <c r="B226" s="126">
        <v>16.47</v>
      </c>
      <c r="C226" s="179">
        <v>6093.9</v>
      </c>
    </row>
    <row r="227" spans="1:3" hidden="1" x14ac:dyDescent="0.35">
      <c r="A227" s="178" t="s">
        <v>220</v>
      </c>
      <c r="B227" s="126">
        <v>16.399999999999999</v>
      </c>
      <c r="C227" s="179">
        <v>4592</v>
      </c>
    </row>
    <row r="228" spans="1:3" hidden="1" x14ac:dyDescent="0.35">
      <c r="A228" s="178" t="s">
        <v>3113</v>
      </c>
      <c r="B228" s="126">
        <v>16.07</v>
      </c>
      <c r="C228" s="179">
        <v>9300.1</v>
      </c>
    </row>
    <row r="229" spans="1:3" hidden="1" x14ac:dyDescent="0.35">
      <c r="A229" s="178" t="s">
        <v>3114</v>
      </c>
      <c r="B229" s="126">
        <v>16.05</v>
      </c>
      <c r="C229" s="179">
        <v>4804.8</v>
      </c>
    </row>
    <row r="230" spans="1:3" hidden="1" x14ac:dyDescent="0.35">
      <c r="A230" s="178" t="s">
        <v>3115</v>
      </c>
      <c r="B230" s="126">
        <v>15.97</v>
      </c>
      <c r="C230" s="179">
        <v>5622.25</v>
      </c>
    </row>
    <row r="231" spans="1:3" hidden="1" x14ac:dyDescent="0.35">
      <c r="A231" s="178" t="s">
        <v>205</v>
      </c>
      <c r="B231" s="126">
        <v>15.94</v>
      </c>
      <c r="C231" s="179">
        <v>6002.25</v>
      </c>
    </row>
    <row r="232" spans="1:3" hidden="1" x14ac:dyDescent="0.35">
      <c r="A232" s="178" t="s">
        <v>3116</v>
      </c>
      <c r="B232" s="126">
        <v>15.87</v>
      </c>
      <c r="C232" s="179">
        <v>6189.3</v>
      </c>
    </row>
    <row r="233" spans="1:3" hidden="1" x14ac:dyDescent="0.35">
      <c r="A233" s="178" t="s">
        <v>379</v>
      </c>
      <c r="B233" s="126">
        <v>15.8</v>
      </c>
      <c r="C233" s="179">
        <v>6364</v>
      </c>
    </row>
    <row r="234" spans="1:3" hidden="1" x14ac:dyDescent="0.35">
      <c r="A234" s="178" t="s">
        <v>3117</v>
      </c>
      <c r="B234" s="126">
        <v>15.55</v>
      </c>
      <c r="C234" s="179">
        <v>5756.25</v>
      </c>
    </row>
    <row r="235" spans="1:3" hidden="1" x14ac:dyDescent="0.35">
      <c r="A235" s="178" t="s">
        <v>3118</v>
      </c>
      <c r="B235" s="126">
        <v>15.49</v>
      </c>
      <c r="C235" s="179">
        <v>5963.65</v>
      </c>
    </row>
    <row r="236" spans="1:3" hidden="1" x14ac:dyDescent="0.35">
      <c r="A236" s="178" t="s">
        <v>3119</v>
      </c>
      <c r="B236" s="126">
        <v>15.47</v>
      </c>
      <c r="C236" s="179">
        <v>6108.45</v>
      </c>
    </row>
    <row r="237" spans="1:3" hidden="1" x14ac:dyDescent="0.35">
      <c r="A237" s="178" t="s">
        <v>3120</v>
      </c>
      <c r="B237" s="126">
        <v>15.46</v>
      </c>
      <c r="C237" s="179">
        <v>5608.97</v>
      </c>
    </row>
    <row r="238" spans="1:3" hidden="1" x14ac:dyDescent="0.35">
      <c r="A238" s="178" t="s">
        <v>170</v>
      </c>
      <c r="B238" s="126">
        <v>15.43</v>
      </c>
      <c r="C238" s="179">
        <v>4747.75</v>
      </c>
    </row>
    <row r="239" spans="1:3" hidden="1" x14ac:dyDescent="0.35">
      <c r="A239" s="178" t="s">
        <v>3121</v>
      </c>
      <c r="B239" s="126">
        <v>15.41</v>
      </c>
      <c r="C239" s="179">
        <v>5632.4</v>
      </c>
    </row>
    <row r="240" spans="1:3" hidden="1" x14ac:dyDescent="0.35">
      <c r="A240" s="178" t="s">
        <v>3122</v>
      </c>
      <c r="B240" s="126">
        <v>15.32</v>
      </c>
      <c r="C240" s="179">
        <v>4730.95</v>
      </c>
    </row>
    <row r="241" spans="1:3" hidden="1" x14ac:dyDescent="0.35">
      <c r="A241" s="178" t="s">
        <v>373</v>
      </c>
      <c r="B241" s="126">
        <v>15.31</v>
      </c>
      <c r="C241" s="179">
        <v>6350.8</v>
      </c>
    </row>
    <row r="242" spans="1:3" hidden="1" x14ac:dyDescent="0.35">
      <c r="A242" s="178" t="s">
        <v>3123</v>
      </c>
      <c r="B242" s="126">
        <v>15.19</v>
      </c>
      <c r="C242" s="179">
        <v>5468.4</v>
      </c>
    </row>
    <row r="243" spans="1:3" hidden="1" x14ac:dyDescent="0.35">
      <c r="A243" s="178" t="s">
        <v>3124</v>
      </c>
      <c r="B243" s="126">
        <v>15.13</v>
      </c>
      <c r="C243" s="179">
        <v>5076.05</v>
      </c>
    </row>
    <row r="244" spans="1:3" hidden="1" x14ac:dyDescent="0.35">
      <c r="A244" s="178" t="s">
        <v>3125</v>
      </c>
      <c r="B244" s="126">
        <v>14.82</v>
      </c>
      <c r="C244" s="179">
        <v>5409.3</v>
      </c>
    </row>
    <row r="245" spans="1:3" hidden="1" x14ac:dyDescent="0.35">
      <c r="A245" s="178" t="s">
        <v>3126</v>
      </c>
      <c r="B245" s="126">
        <v>14.74</v>
      </c>
      <c r="C245" s="179">
        <v>5388.5</v>
      </c>
    </row>
    <row r="246" spans="1:3" hidden="1" x14ac:dyDescent="0.35">
      <c r="A246" s="178" t="s">
        <v>3127</v>
      </c>
      <c r="B246" s="126">
        <v>14.53</v>
      </c>
      <c r="C246" s="179">
        <v>3697.4</v>
      </c>
    </row>
    <row r="247" spans="1:3" hidden="1" x14ac:dyDescent="0.35">
      <c r="A247" s="178" t="s">
        <v>372</v>
      </c>
      <c r="B247" s="126">
        <v>14.5</v>
      </c>
      <c r="C247" s="179">
        <v>3891.8</v>
      </c>
    </row>
    <row r="248" spans="1:3" hidden="1" x14ac:dyDescent="0.35">
      <c r="A248" s="178" t="s">
        <v>188</v>
      </c>
      <c r="B248" s="126">
        <v>14.44</v>
      </c>
      <c r="C248" s="179">
        <v>4905.6000000000004</v>
      </c>
    </row>
    <row r="249" spans="1:3" hidden="1" x14ac:dyDescent="0.35">
      <c r="A249" s="178" t="s">
        <v>3128</v>
      </c>
      <c r="B249" s="126">
        <v>14.42</v>
      </c>
      <c r="C249" s="179">
        <v>5481.2</v>
      </c>
    </row>
    <row r="250" spans="1:3" hidden="1" x14ac:dyDescent="0.35">
      <c r="A250" s="178" t="s">
        <v>3129</v>
      </c>
      <c r="B250" s="126">
        <v>14.38</v>
      </c>
      <c r="C250" s="179">
        <v>5218.2</v>
      </c>
    </row>
    <row r="251" spans="1:3" hidden="1" x14ac:dyDescent="0.35">
      <c r="A251" s="178" t="s">
        <v>3130</v>
      </c>
      <c r="B251" s="126">
        <v>14.3</v>
      </c>
      <c r="C251" s="179">
        <v>3932.5</v>
      </c>
    </row>
    <row r="252" spans="1:3" hidden="1" x14ac:dyDescent="0.35">
      <c r="A252" s="178" t="s">
        <v>318</v>
      </c>
      <c r="B252" s="126">
        <v>14.19</v>
      </c>
      <c r="C252" s="179">
        <v>5983.95</v>
      </c>
    </row>
    <row r="253" spans="1:3" hidden="1" x14ac:dyDescent="0.35">
      <c r="A253" s="178" t="s">
        <v>3131</v>
      </c>
      <c r="B253" s="126">
        <v>14.11</v>
      </c>
      <c r="C253" s="179">
        <v>4857.3999999999996</v>
      </c>
    </row>
    <row r="254" spans="1:3" hidden="1" x14ac:dyDescent="0.35">
      <c r="A254" s="178" t="s">
        <v>3132</v>
      </c>
      <c r="B254" s="126">
        <v>14.11</v>
      </c>
      <c r="C254" s="179">
        <v>5178.45</v>
      </c>
    </row>
    <row r="255" spans="1:3" hidden="1" x14ac:dyDescent="0.35">
      <c r="A255" s="178" t="s">
        <v>366</v>
      </c>
      <c r="B255" s="126">
        <v>14.08</v>
      </c>
      <c r="C255" s="179">
        <v>5257.05</v>
      </c>
    </row>
    <row r="256" spans="1:3" hidden="1" x14ac:dyDescent="0.35">
      <c r="A256" s="178" t="s">
        <v>3133</v>
      </c>
      <c r="B256" s="126">
        <v>14.07</v>
      </c>
      <c r="C256" s="179">
        <v>5220.55</v>
      </c>
    </row>
    <row r="257" spans="1:3" hidden="1" x14ac:dyDescent="0.35">
      <c r="A257" s="178" t="s">
        <v>368</v>
      </c>
      <c r="B257" s="126">
        <v>14.02</v>
      </c>
      <c r="C257" s="179">
        <v>4396.51</v>
      </c>
    </row>
    <row r="258" spans="1:3" hidden="1" x14ac:dyDescent="0.35">
      <c r="A258" s="178" t="s">
        <v>3134</v>
      </c>
      <c r="B258" s="126">
        <v>13.94</v>
      </c>
      <c r="C258" s="179">
        <v>5157.8</v>
      </c>
    </row>
    <row r="259" spans="1:3" hidden="1" x14ac:dyDescent="0.35">
      <c r="A259" s="178" t="s">
        <v>3135</v>
      </c>
      <c r="B259" s="126">
        <v>13.8</v>
      </c>
      <c r="C259" s="179">
        <v>5053.6000000000004</v>
      </c>
    </row>
    <row r="260" spans="1:3" hidden="1" x14ac:dyDescent="0.35">
      <c r="A260" s="178" t="s">
        <v>328</v>
      </c>
      <c r="B260" s="126">
        <v>13.77</v>
      </c>
      <c r="C260" s="179">
        <v>4341.8</v>
      </c>
    </row>
    <row r="261" spans="1:3" hidden="1" x14ac:dyDescent="0.35">
      <c r="A261" s="178" t="s">
        <v>284</v>
      </c>
      <c r="B261" s="126">
        <v>13.72</v>
      </c>
      <c r="C261" s="179">
        <v>4504.6099999999997</v>
      </c>
    </row>
    <row r="262" spans="1:3" hidden="1" x14ac:dyDescent="0.35">
      <c r="A262" s="178" t="s">
        <v>3136</v>
      </c>
      <c r="B262" s="126">
        <v>13.69</v>
      </c>
      <c r="C262" s="179">
        <v>3633.2</v>
      </c>
    </row>
    <row r="263" spans="1:3" hidden="1" x14ac:dyDescent="0.35">
      <c r="A263" s="178" t="s">
        <v>338</v>
      </c>
      <c r="B263" s="126">
        <v>13.6</v>
      </c>
      <c r="C263" s="179">
        <v>5770.05</v>
      </c>
    </row>
    <row r="264" spans="1:3" hidden="1" x14ac:dyDescent="0.35">
      <c r="A264" s="178" t="s">
        <v>3137</v>
      </c>
      <c r="B264" s="126">
        <v>13.56</v>
      </c>
      <c r="C264" s="179">
        <v>4881.6000000000004</v>
      </c>
    </row>
    <row r="265" spans="1:3" hidden="1" x14ac:dyDescent="0.35">
      <c r="A265" s="178" t="s">
        <v>3138</v>
      </c>
      <c r="B265" s="126">
        <v>13.44</v>
      </c>
      <c r="C265" s="179">
        <v>4351.8500000000004</v>
      </c>
    </row>
    <row r="266" spans="1:3" hidden="1" x14ac:dyDescent="0.35">
      <c r="A266" s="178" t="s">
        <v>337</v>
      </c>
      <c r="B266" s="126">
        <v>13.44</v>
      </c>
      <c r="C266" s="179">
        <v>4948.05</v>
      </c>
    </row>
    <row r="267" spans="1:3" hidden="1" x14ac:dyDescent="0.35">
      <c r="A267" s="178" t="s">
        <v>237</v>
      </c>
      <c r="B267" s="126">
        <v>13.37</v>
      </c>
      <c r="C267" s="179">
        <v>2845.1</v>
      </c>
    </row>
    <row r="268" spans="1:3" hidden="1" x14ac:dyDescent="0.35">
      <c r="A268" s="178" t="s">
        <v>3139</v>
      </c>
      <c r="B268" s="126">
        <v>13.3</v>
      </c>
      <c r="C268" s="179">
        <v>5215.5</v>
      </c>
    </row>
    <row r="269" spans="1:3" hidden="1" x14ac:dyDescent="0.35">
      <c r="A269" s="178" t="s">
        <v>3140</v>
      </c>
      <c r="B269" s="126">
        <v>13.16</v>
      </c>
      <c r="C269" s="179">
        <v>4137.2</v>
      </c>
    </row>
    <row r="270" spans="1:3" hidden="1" x14ac:dyDescent="0.35">
      <c r="A270" s="178" t="s">
        <v>3141</v>
      </c>
      <c r="B270" s="126">
        <v>13.03</v>
      </c>
      <c r="C270" s="179">
        <v>4984.75</v>
      </c>
    </row>
    <row r="271" spans="1:3" hidden="1" x14ac:dyDescent="0.35">
      <c r="A271" s="178" t="s">
        <v>3142</v>
      </c>
      <c r="B271" s="126">
        <v>12.96</v>
      </c>
      <c r="C271" s="179">
        <v>3499.2</v>
      </c>
    </row>
    <row r="272" spans="1:3" hidden="1" x14ac:dyDescent="0.35">
      <c r="A272" s="178" t="s">
        <v>3143</v>
      </c>
      <c r="B272" s="126">
        <v>12.83</v>
      </c>
      <c r="C272" s="179">
        <v>3849</v>
      </c>
    </row>
    <row r="273" spans="1:3" hidden="1" x14ac:dyDescent="0.35">
      <c r="A273" s="178" t="s">
        <v>329</v>
      </c>
      <c r="B273" s="126">
        <v>12.78</v>
      </c>
      <c r="C273" s="179">
        <v>4217.3999999999996</v>
      </c>
    </row>
    <row r="274" spans="1:3" hidden="1" x14ac:dyDescent="0.35">
      <c r="A274" s="178" t="s">
        <v>3144</v>
      </c>
      <c r="B274" s="126">
        <v>12.63</v>
      </c>
      <c r="C274" s="179">
        <v>4609.95</v>
      </c>
    </row>
    <row r="275" spans="1:3" hidden="1" x14ac:dyDescent="0.35">
      <c r="A275" s="178" t="s">
        <v>394</v>
      </c>
      <c r="B275" s="126">
        <v>12.6</v>
      </c>
      <c r="C275" s="179">
        <v>5292</v>
      </c>
    </row>
    <row r="276" spans="1:3" hidden="1" x14ac:dyDescent="0.35">
      <c r="A276" s="178" t="s">
        <v>168</v>
      </c>
      <c r="B276" s="126">
        <v>12.52</v>
      </c>
      <c r="C276" s="179">
        <v>4686.6499999999996</v>
      </c>
    </row>
    <row r="277" spans="1:3" hidden="1" x14ac:dyDescent="0.35">
      <c r="A277" s="178" t="s">
        <v>171</v>
      </c>
      <c r="B277" s="126">
        <v>12.51</v>
      </c>
      <c r="C277" s="179">
        <v>4795.1000000000004</v>
      </c>
    </row>
    <row r="278" spans="1:3" hidden="1" x14ac:dyDescent="0.35">
      <c r="A278" s="178" t="s">
        <v>334</v>
      </c>
      <c r="B278" s="126">
        <v>12.16</v>
      </c>
      <c r="C278" s="179">
        <v>4924.8</v>
      </c>
    </row>
    <row r="279" spans="1:3" hidden="1" x14ac:dyDescent="0.35">
      <c r="A279" s="178" t="s">
        <v>3145</v>
      </c>
      <c r="B279" s="126">
        <v>12.08</v>
      </c>
      <c r="C279" s="179">
        <v>4771.6000000000004</v>
      </c>
    </row>
    <row r="280" spans="1:3" hidden="1" x14ac:dyDescent="0.35">
      <c r="A280" s="178" t="s">
        <v>203</v>
      </c>
      <c r="B280" s="126">
        <v>12.05</v>
      </c>
      <c r="C280" s="179">
        <v>4699.5</v>
      </c>
    </row>
    <row r="281" spans="1:3" hidden="1" x14ac:dyDescent="0.35">
      <c r="A281" s="178" t="s">
        <v>3146</v>
      </c>
      <c r="B281" s="126">
        <v>11.88</v>
      </c>
      <c r="C281" s="179">
        <v>4226.3999999999996</v>
      </c>
    </row>
    <row r="282" spans="1:3" hidden="1" x14ac:dyDescent="0.35">
      <c r="A282" s="178" t="s">
        <v>3147</v>
      </c>
      <c r="B282" s="126">
        <v>11.77</v>
      </c>
      <c r="C282" s="179">
        <v>4119.5</v>
      </c>
    </row>
    <row r="283" spans="1:3" hidden="1" x14ac:dyDescent="0.35">
      <c r="A283" s="178" t="s">
        <v>3148</v>
      </c>
      <c r="B283" s="126">
        <v>11.66</v>
      </c>
      <c r="C283" s="179">
        <v>3264.8</v>
      </c>
    </row>
    <row r="284" spans="1:3" hidden="1" x14ac:dyDescent="0.35">
      <c r="A284" s="178" t="s">
        <v>352</v>
      </c>
      <c r="B284" s="126">
        <v>11.65</v>
      </c>
      <c r="C284" s="179">
        <v>4198.3599999999997</v>
      </c>
    </row>
    <row r="285" spans="1:3" hidden="1" x14ac:dyDescent="0.35">
      <c r="A285" s="178" t="s">
        <v>261</v>
      </c>
      <c r="B285" s="126">
        <v>11.62</v>
      </c>
      <c r="C285" s="179">
        <v>4581.33</v>
      </c>
    </row>
    <row r="286" spans="1:3" hidden="1" x14ac:dyDescent="0.35">
      <c r="A286" s="178" t="s">
        <v>3149</v>
      </c>
      <c r="B286" s="126">
        <v>11.6</v>
      </c>
      <c r="C286" s="179">
        <v>4988</v>
      </c>
    </row>
    <row r="287" spans="1:3" hidden="1" x14ac:dyDescent="0.35">
      <c r="A287" s="178" t="s">
        <v>365</v>
      </c>
      <c r="B287" s="126">
        <v>11.55</v>
      </c>
      <c r="C287" s="179">
        <v>4331.25</v>
      </c>
    </row>
    <row r="288" spans="1:3" hidden="1" x14ac:dyDescent="0.35">
      <c r="A288" s="178" t="s">
        <v>3150</v>
      </c>
      <c r="B288" s="126">
        <v>11.5</v>
      </c>
      <c r="C288" s="179">
        <v>4164.29</v>
      </c>
    </row>
    <row r="289" spans="1:4" hidden="1" x14ac:dyDescent="0.35">
      <c r="A289" s="178" t="s">
        <v>3151</v>
      </c>
      <c r="B289" s="126">
        <v>11.34</v>
      </c>
      <c r="C289" s="179">
        <v>4760.8999999999996</v>
      </c>
    </row>
    <row r="290" spans="1:4" hidden="1" x14ac:dyDescent="0.35">
      <c r="A290" s="178" t="s">
        <v>3152</v>
      </c>
      <c r="B290" s="126">
        <v>11.32</v>
      </c>
      <c r="C290" s="179">
        <v>4754.3999999999996</v>
      </c>
    </row>
    <row r="291" spans="1:4" hidden="1" x14ac:dyDescent="0.35">
      <c r="A291" s="178" t="s">
        <v>230</v>
      </c>
      <c r="B291" s="126">
        <v>11.26</v>
      </c>
      <c r="C291" s="179">
        <v>4451.8</v>
      </c>
    </row>
    <row r="292" spans="1:4" hidden="1" x14ac:dyDescent="0.35">
      <c r="A292" s="178" t="s">
        <v>3153</v>
      </c>
      <c r="B292" s="126">
        <v>11.07</v>
      </c>
      <c r="C292" s="179">
        <v>2974.5</v>
      </c>
    </row>
    <row r="293" spans="1:4" hidden="1" x14ac:dyDescent="0.35">
      <c r="A293" s="178" t="s">
        <v>3154</v>
      </c>
      <c r="B293" s="126">
        <v>11.06</v>
      </c>
      <c r="C293" s="179">
        <v>3942.8</v>
      </c>
    </row>
    <row r="294" spans="1:4" hidden="1" x14ac:dyDescent="0.35">
      <c r="A294" s="178" t="s">
        <v>3155</v>
      </c>
      <c r="B294" s="126">
        <v>11.06</v>
      </c>
      <c r="C294" s="179">
        <v>4534.5</v>
      </c>
    </row>
    <row r="295" spans="1:4" hidden="1" x14ac:dyDescent="0.35">
      <c r="A295" s="178" t="s">
        <v>3156</v>
      </c>
      <c r="B295" s="126">
        <v>11.02</v>
      </c>
      <c r="C295" s="179">
        <v>3195.8</v>
      </c>
    </row>
    <row r="296" spans="1:4" hidden="1" x14ac:dyDescent="0.35">
      <c r="A296" s="178" t="s">
        <v>326</v>
      </c>
      <c r="B296" s="126">
        <v>11</v>
      </c>
      <c r="C296" s="179">
        <v>4950</v>
      </c>
      <c r="D296" t="s">
        <v>3358</v>
      </c>
    </row>
    <row r="297" spans="1:4" hidden="1" x14ac:dyDescent="0.35">
      <c r="A297" s="178" t="s">
        <v>3157</v>
      </c>
      <c r="B297" s="126">
        <v>10.91</v>
      </c>
      <c r="C297" s="179">
        <v>4691.3</v>
      </c>
    </row>
    <row r="298" spans="1:4" hidden="1" x14ac:dyDescent="0.35">
      <c r="A298" s="178" t="s">
        <v>3158</v>
      </c>
      <c r="B298" s="126">
        <v>10.86</v>
      </c>
      <c r="C298" s="179">
        <v>4049.25</v>
      </c>
    </row>
    <row r="299" spans="1:4" hidden="1" x14ac:dyDescent="0.35">
      <c r="A299" s="178" t="s">
        <v>3159</v>
      </c>
      <c r="B299" s="126">
        <v>10.82</v>
      </c>
      <c r="C299" s="179">
        <v>3764.6</v>
      </c>
    </row>
    <row r="300" spans="1:4" hidden="1" x14ac:dyDescent="0.35">
      <c r="A300" s="178" t="s">
        <v>3160</v>
      </c>
      <c r="B300" s="126">
        <v>10.57</v>
      </c>
      <c r="C300" s="179">
        <v>3535.15</v>
      </c>
    </row>
    <row r="301" spans="1:4" hidden="1" x14ac:dyDescent="0.35">
      <c r="A301" s="178" t="s">
        <v>3161</v>
      </c>
      <c r="B301" s="126">
        <v>10.56</v>
      </c>
      <c r="C301" s="179">
        <v>3896</v>
      </c>
    </row>
    <row r="302" spans="1:4" hidden="1" x14ac:dyDescent="0.35">
      <c r="A302" s="178" t="s">
        <v>3162</v>
      </c>
      <c r="B302" s="126">
        <v>10.56</v>
      </c>
      <c r="C302" s="179">
        <v>4401.8500000000004</v>
      </c>
    </row>
    <row r="303" spans="1:4" hidden="1" x14ac:dyDescent="0.35">
      <c r="A303" s="178" t="s">
        <v>376</v>
      </c>
      <c r="B303" s="126">
        <v>10.53</v>
      </c>
      <c r="C303" s="179">
        <v>3954.95</v>
      </c>
    </row>
    <row r="304" spans="1:4" hidden="1" x14ac:dyDescent="0.35">
      <c r="A304" s="178" t="s">
        <v>3163</v>
      </c>
      <c r="B304" s="126">
        <v>10.45</v>
      </c>
      <c r="C304" s="179">
        <v>3927.39</v>
      </c>
    </row>
    <row r="305" spans="1:3" hidden="1" x14ac:dyDescent="0.35">
      <c r="A305" s="178" t="s">
        <v>3164</v>
      </c>
      <c r="B305" s="126">
        <v>10.39</v>
      </c>
      <c r="C305" s="179">
        <v>3753.05</v>
      </c>
    </row>
    <row r="306" spans="1:3" hidden="1" x14ac:dyDescent="0.35">
      <c r="A306" s="178" t="s">
        <v>3165</v>
      </c>
      <c r="B306" s="126">
        <v>10.34</v>
      </c>
      <c r="C306" s="179">
        <v>3631.1</v>
      </c>
    </row>
    <row r="307" spans="1:3" hidden="1" x14ac:dyDescent="0.35">
      <c r="A307" s="178" t="s">
        <v>3166</v>
      </c>
      <c r="B307" s="126">
        <v>10.34</v>
      </c>
      <c r="C307" s="179">
        <v>3978.45</v>
      </c>
    </row>
    <row r="308" spans="1:3" hidden="1" x14ac:dyDescent="0.35">
      <c r="A308" s="178" t="s">
        <v>3167</v>
      </c>
      <c r="B308" s="126">
        <v>10.199999999999999</v>
      </c>
      <c r="C308" s="179">
        <v>4120.67</v>
      </c>
    </row>
    <row r="309" spans="1:3" hidden="1" x14ac:dyDescent="0.35">
      <c r="A309" s="178" t="s">
        <v>3168</v>
      </c>
      <c r="B309" s="126">
        <v>10.14</v>
      </c>
      <c r="C309" s="179">
        <v>3751.8</v>
      </c>
    </row>
    <row r="310" spans="1:3" hidden="1" x14ac:dyDescent="0.35">
      <c r="A310" s="178" t="s">
        <v>244</v>
      </c>
      <c r="B310" s="126">
        <v>10.029999999999999</v>
      </c>
      <c r="C310" s="179">
        <v>3515.6</v>
      </c>
    </row>
    <row r="311" spans="1:3" hidden="1" x14ac:dyDescent="0.35">
      <c r="A311" s="178" t="s">
        <v>362</v>
      </c>
      <c r="B311" s="126">
        <v>10</v>
      </c>
      <c r="C311" s="179">
        <v>4250</v>
      </c>
    </row>
    <row r="312" spans="1:3" hidden="1" x14ac:dyDescent="0.35">
      <c r="A312" s="178" t="s">
        <v>297</v>
      </c>
      <c r="B312" s="126">
        <v>9.99</v>
      </c>
      <c r="C312" s="179">
        <v>4195.8</v>
      </c>
    </row>
    <row r="313" spans="1:3" hidden="1" x14ac:dyDescent="0.35">
      <c r="A313" s="178" t="s">
        <v>236</v>
      </c>
      <c r="B313" s="126">
        <v>9.93</v>
      </c>
      <c r="C313" s="179">
        <v>3905.45</v>
      </c>
    </row>
    <row r="314" spans="1:3" hidden="1" x14ac:dyDescent="0.35">
      <c r="A314" s="178" t="s">
        <v>3169</v>
      </c>
      <c r="B314" s="126">
        <v>9.9</v>
      </c>
      <c r="C314" s="179">
        <v>3892.75</v>
      </c>
    </row>
    <row r="315" spans="1:3" hidden="1" x14ac:dyDescent="0.35">
      <c r="A315" s="178" t="s">
        <v>3170</v>
      </c>
      <c r="B315" s="126">
        <v>9.77</v>
      </c>
      <c r="C315" s="179">
        <v>3589.05</v>
      </c>
    </row>
    <row r="316" spans="1:3" hidden="1" x14ac:dyDescent="0.35">
      <c r="A316" s="178" t="s">
        <v>3171</v>
      </c>
      <c r="B316" s="126">
        <v>9.77</v>
      </c>
      <c r="C316" s="179">
        <v>4054.55</v>
      </c>
    </row>
    <row r="317" spans="1:3" hidden="1" x14ac:dyDescent="0.35">
      <c r="A317" s="178" t="s">
        <v>361</v>
      </c>
      <c r="B317" s="126">
        <v>9.7200000000000006</v>
      </c>
      <c r="C317" s="179">
        <v>4071.3</v>
      </c>
    </row>
    <row r="318" spans="1:3" hidden="1" x14ac:dyDescent="0.35">
      <c r="A318" s="178" t="s">
        <v>3172</v>
      </c>
      <c r="B318" s="126">
        <v>9.7100000000000009</v>
      </c>
      <c r="C318" s="179">
        <v>2819.95</v>
      </c>
    </row>
    <row r="319" spans="1:3" hidden="1" x14ac:dyDescent="0.35">
      <c r="A319" s="178" t="s">
        <v>3173</v>
      </c>
      <c r="B319" s="126">
        <v>9.68</v>
      </c>
      <c r="C319" s="179">
        <v>3479.41</v>
      </c>
    </row>
    <row r="320" spans="1:3" hidden="1" x14ac:dyDescent="0.35">
      <c r="A320" s="178" t="s">
        <v>3174</v>
      </c>
      <c r="B320" s="126">
        <v>9.6300000000000008</v>
      </c>
      <c r="C320" s="179">
        <v>3996.45</v>
      </c>
    </row>
    <row r="321" spans="1:3" hidden="1" x14ac:dyDescent="0.35">
      <c r="A321" s="178" t="s">
        <v>215</v>
      </c>
      <c r="B321" s="126">
        <v>9.61</v>
      </c>
      <c r="C321" s="179">
        <v>2594.6999999999998</v>
      </c>
    </row>
    <row r="322" spans="1:3" hidden="1" x14ac:dyDescent="0.35">
      <c r="A322" s="178" t="s">
        <v>324</v>
      </c>
      <c r="B322" s="126">
        <v>9.48</v>
      </c>
      <c r="C322" s="179">
        <v>2844</v>
      </c>
    </row>
    <row r="323" spans="1:3" hidden="1" x14ac:dyDescent="0.35">
      <c r="A323" s="178" t="s">
        <v>235</v>
      </c>
      <c r="B323" s="126">
        <v>9.33</v>
      </c>
      <c r="C323" s="179">
        <v>3642.8</v>
      </c>
    </row>
    <row r="324" spans="1:3" hidden="1" x14ac:dyDescent="0.35">
      <c r="A324" s="178" t="s">
        <v>3175</v>
      </c>
      <c r="B324" s="126">
        <v>9.3000000000000007</v>
      </c>
      <c r="C324" s="179">
        <v>2698.5</v>
      </c>
    </row>
    <row r="325" spans="1:3" hidden="1" x14ac:dyDescent="0.35">
      <c r="A325" s="178" t="s">
        <v>3176</v>
      </c>
      <c r="B325" s="126">
        <v>9.2899999999999991</v>
      </c>
      <c r="C325" s="179">
        <v>2809.84</v>
      </c>
    </row>
    <row r="326" spans="1:3" hidden="1" x14ac:dyDescent="0.35">
      <c r="A326" s="178" t="s">
        <v>369</v>
      </c>
      <c r="B326" s="126">
        <v>9.18</v>
      </c>
      <c r="C326" s="179">
        <v>55517.33</v>
      </c>
    </row>
    <row r="327" spans="1:3" hidden="1" x14ac:dyDescent="0.35">
      <c r="A327" s="178" t="s">
        <v>389</v>
      </c>
      <c r="B327" s="126">
        <v>9.17</v>
      </c>
      <c r="C327" s="179">
        <v>2567.6</v>
      </c>
    </row>
    <row r="328" spans="1:3" hidden="1" x14ac:dyDescent="0.35">
      <c r="A328" s="178" t="s">
        <v>3177</v>
      </c>
      <c r="B328" s="126">
        <v>9.15</v>
      </c>
      <c r="C328" s="179">
        <v>2635.2</v>
      </c>
    </row>
    <row r="329" spans="1:3" hidden="1" x14ac:dyDescent="0.35">
      <c r="A329" s="178" t="s">
        <v>3178</v>
      </c>
      <c r="B329" s="126">
        <v>9.1199999999999992</v>
      </c>
      <c r="C329" s="179">
        <v>3429.9</v>
      </c>
    </row>
    <row r="330" spans="1:3" hidden="1" x14ac:dyDescent="0.35">
      <c r="A330" s="178" t="s">
        <v>179</v>
      </c>
      <c r="B330" s="126">
        <v>9.0399999999999991</v>
      </c>
      <c r="C330" s="179">
        <v>3304.2</v>
      </c>
    </row>
    <row r="331" spans="1:3" hidden="1" x14ac:dyDescent="0.35">
      <c r="A331" s="178" t="s">
        <v>371</v>
      </c>
      <c r="B331" s="126">
        <v>9.01</v>
      </c>
      <c r="C331" s="179">
        <v>3622.35</v>
      </c>
    </row>
    <row r="332" spans="1:3" hidden="1" x14ac:dyDescent="0.35">
      <c r="A332" s="178" t="s">
        <v>348</v>
      </c>
      <c r="B332" s="126">
        <v>8.99</v>
      </c>
      <c r="C332" s="179">
        <v>3910.65</v>
      </c>
    </row>
    <row r="333" spans="1:3" hidden="1" x14ac:dyDescent="0.35">
      <c r="A333" s="178" t="s">
        <v>3179</v>
      </c>
      <c r="B333" s="126">
        <v>8.9600000000000009</v>
      </c>
      <c r="C333" s="179">
        <v>3385.35</v>
      </c>
    </row>
    <row r="334" spans="1:3" hidden="1" x14ac:dyDescent="0.35">
      <c r="A334" s="178" t="s">
        <v>3180</v>
      </c>
      <c r="B334" s="126">
        <v>8.92</v>
      </c>
      <c r="C334" s="179">
        <v>3405.6</v>
      </c>
    </row>
    <row r="335" spans="1:3" hidden="1" x14ac:dyDescent="0.35">
      <c r="A335" s="178" t="s">
        <v>3181</v>
      </c>
      <c r="B335" s="126">
        <v>8.76</v>
      </c>
      <c r="C335" s="179">
        <v>3465.41</v>
      </c>
    </row>
    <row r="336" spans="1:3" hidden="1" x14ac:dyDescent="0.35">
      <c r="A336" s="178" t="s">
        <v>3182</v>
      </c>
      <c r="B336" s="126">
        <v>8.64</v>
      </c>
      <c r="C336" s="179">
        <v>2505.6</v>
      </c>
    </row>
    <row r="337" spans="1:3" hidden="1" x14ac:dyDescent="0.35">
      <c r="A337" s="178" t="s">
        <v>3183</v>
      </c>
      <c r="B337" s="126">
        <v>8.6</v>
      </c>
      <c r="C337" s="179">
        <v>2763.81</v>
      </c>
    </row>
    <row r="338" spans="1:3" hidden="1" x14ac:dyDescent="0.35">
      <c r="A338" s="178" t="s">
        <v>3184</v>
      </c>
      <c r="B338" s="126">
        <v>8.57</v>
      </c>
      <c r="C338" s="179">
        <v>2142.5</v>
      </c>
    </row>
    <row r="339" spans="1:3" hidden="1" x14ac:dyDescent="0.35">
      <c r="A339" s="178" t="s">
        <v>3185</v>
      </c>
      <c r="B339" s="126">
        <v>8.5399999999999991</v>
      </c>
      <c r="C339" s="179">
        <v>3414.2</v>
      </c>
    </row>
    <row r="340" spans="1:3" hidden="1" x14ac:dyDescent="0.35">
      <c r="A340" s="178" t="s">
        <v>399</v>
      </c>
      <c r="B340" s="126">
        <v>8.4600000000000009</v>
      </c>
      <c r="C340" s="179">
        <v>3045.6</v>
      </c>
    </row>
    <row r="341" spans="1:3" hidden="1" x14ac:dyDescent="0.35">
      <c r="A341" s="178" t="s">
        <v>3186</v>
      </c>
      <c r="B341" s="126">
        <v>8.44</v>
      </c>
      <c r="C341" s="179">
        <v>2278.8000000000002</v>
      </c>
    </row>
    <row r="342" spans="1:3" hidden="1" x14ac:dyDescent="0.35">
      <c r="A342" s="178" t="s">
        <v>3187</v>
      </c>
      <c r="B342" s="126">
        <v>8.41</v>
      </c>
      <c r="C342" s="179">
        <v>2897.1</v>
      </c>
    </row>
    <row r="343" spans="1:3" hidden="1" x14ac:dyDescent="0.35">
      <c r="A343" s="178" t="s">
        <v>3188</v>
      </c>
      <c r="B343" s="126">
        <v>8.39</v>
      </c>
      <c r="C343" s="179">
        <v>2349.1999999999998</v>
      </c>
    </row>
    <row r="344" spans="1:3" hidden="1" x14ac:dyDescent="0.35">
      <c r="A344" s="178" t="s">
        <v>3189</v>
      </c>
      <c r="B344" s="126">
        <v>8.39</v>
      </c>
      <c r="C344" s="179">
        <v>3146.25</v>
      </c>
    </row>
    <row r="345" spans="1:3" hidden="1" x14ac:dyDescent="0.35">
      <c r="A345" s="178" t="s">
        <v>3190</v>
      </c>
      <c r="B345" s="126">
        <v>8.3000000000000007</v>
      </c>
      <c r="C345" s="179">
        <v>3029.5</v>
      </c>
    </row>
    <row r="346" spans="1:3" hidden="1" x14ac:dyDescent="0.35">
      <c r="A346" s="178" t="s">
        <v>3191</v>
      </c>
      <c r="B346" s="126">
        <v>8.2899999999999991</v>
      </c>
      <c r="C346" s="179">
        <v>2072.5</v>
      </c>
    </row>
    <row r="347" spans="1:3" hidden="1" x14ac:dyDescent="0.35">
      <c r="A347" s="178" t="s">
        <v>3192</v>
      </c>
      <c r="B347" s="126">
        <v>8.24</v>
      </c>
      <c r="C347" s="179">
        <v>3378.4</v>
      </c>
    </row>
    <row r="348" spans="1:3" hidden="1" x14ac:dyDescent="0.35">
      <c r="A348" s="178" t="s">
        <v>219</v>
      </c>
      <c r="B348" s="126">
        <v>8.2200000000000006</v>
      </c>
      <c r="C348" s="179">
        <v>3409.1</v>
      </c>
    </row>
    <row r="349" spans="1:3" hidden="1" x14ac:dyDescent="0.35">
      <c r="A349" s="178" t="s">
        <v>266</v>
      </c>
      <c r="B349" s="126">
        <v>8.1999999999999993</v>
      </c>
      <c r="C349" s="179">
        <v>2665</v>
      </c>
    </row>
    <row r="350" spans="1:3" hidden="1" x14ac:dyDescent="0.35">
      <c r="A350" s="178" t="s">
        <v>3193</v>
      </c>
      <c r="B350" s="126">
        <v>8.18</v>
      </c>
      <c r="C350" s="179">
        <v>2045</v>
      </c>
    </row>
    <row r="351" spans="1:3" hidden="1" x14ac:dyDescent="0.35">
      <c r="A351" s="178" t="s">
        <v>3194</v>
      </c>
      <c r="B351" s="126">
        <v>8.08</v>
      </c>
      <c r="C351" s="179">
        <v>2706.8</v>
      </c>
    </row>
    <row r="352" spans="1:3" hidden="1" x14ac:dyDescent="0.35">
      <c r="A352" s="178" t="s">
        <v>3195</v>
      </c>
      <c r="B352" s="126">
        <v>8.02</v>
      </c>
      <c r="C352" s="179">
        <v>2165.4</v>
      </c>
    </row>
    <row r="353" spans="1:3" hidden="1" x14ac:dyDescent="0.35">
      <c r="A353" s="178" t="s">
        <v>3196</v>
      </c>
      <c r="B353" s="126">
        <v>8.01</v>
      </c>
      <c r="C353" s="179">
        <v>3083.85</v>
      </c>
    </row>
    <row r="354" spans="1:3" hidden="1" x14ac:dyDescent="0.35">
      <c r="A354" s="178" t="s">
        <v>313</v>
      </c>
      <c r="B354" s="126">
        <v>8</v>
      </c>
      <c r="C354" s="179">
        <v>3100.35</v>
      </c>
    </row>
    <row r="355" spans="1:3" hidden="1" x14ac:dyDescent="0.35">
      <c r="A355" s="178" t="s">
        <v>3197</v>
      </c>
      <c r="B355" s="126">
        <v>7.97</v>
      </c>
      <c r="C355" s="179">
        <v>2918.95</v>
      </c>
    </row>
    <row r="356" spans="1:3" hidden="1" x14ac:dyDescent="0.35">
      <c r="A356" s="178" t="s">
        <v>3198</v>
      </c>
      <c r="B356" s="126">
        <v>7.94</v>
      </c>
      <c r="C356" s="179">
        <v>3414.2</v>
      </c>
    </row>
    <row r="357" spans="1:3" hidden="1" x14ac:dyDescent="0.35">
      <c r="A357" s="178" t="s">
        <v>3199</v>
      </c>
      <c r="B357" s="126">
        <v>7.89</v>
      </c>
      <c r="C357" s="179">
        <v>3116.55</v>
      </c>
    </row>
    <row r="358" spans="1:3" hidden="1" x14ac:dyDescent="0.35">
      <c r="A358" s="178" t="s">
        <v>3200</v>
      </c>
      <c r="B358" s="126">
        <v>7.89</v>
      </c>
      <c r="C358" s="179">
        <v>2919.3</v>
      </c>
    </row>
    <row r="359" spans="1:3" hidden="1" x14ac:dyDescent="0.35">
      <c r="A359" s="178" t="s">
        <v>3201</v>
      </c>
      <c r="B359" s="126">
        <v>7.83</v>
      </c>
      <c r="C359" s="179">
        <v>2936.25</v>
      </c>
    </row>
    <row r="360" spans="1:3" hidden="1" x14ac:dyDescent="0.35">
      <c r="A360" s="178" t="s">
        <v>343</v>
      </c>
      <c r="B360" s="126">
        <v>7.82</v>
      </c>
      <c r="C360" s="179">
        <v>3128</v>
      </c>
    </row>
    <row r="361" spans="1:3" hidden="1" x14ac:dyDescent="0.35">
      <c r="A361" s="178" t="s">
        <v>3202</v>
      </c>
      <c r="B361" s="126">
        <v>7.81</v>
      </c>
      <c r="C361" s="179">
        <v>2850.65</v>
      </c>
    </row>
    <row r="362" spans="1:3" hidden="1" x14ac:dyDescent="0.35">
      <c r="A362" s="178" t="s">
        <v>3203</v>
      </c>
      <c r="B362" s="126">
        <v>7.79</v>
      </c>
      <c r="C362" s="179">
        <v>3038.1</v>
      </c>
    </row>
    <row r="363" spans="1:3" hidden="1" x14ac:dyDescent="0.35">
      <c r="A363" s="178" t="s">
        <v>245</v>
      </c>
      <c r="B363" s="126">
        <v>7.59</v>
      </c>
      <c r="C363" s="179">
        <v>-3595.2</v>
      </c>
    </row>
    <row r="364" spans="1:3" hidden="1" x14ac:dyDescent="0.35">
      <c r="A364" s="178" t="s">
        <v>154</v>
      </c>
      <c r="B364" s="126">
        <v>7.52</v>
      </c>
      <c r="C364" s="179">
        <v>2256</v>
      </c>
    </row>
    <row r="365" spans="1:3" hidden="1" x14ac:dyDescent="0.35">
      <c r="A365" s="178" t="s">
        <v>3204</v>
      </c>
      <c r="B365" s="126">
        <v>7.48</v>
      </c>
      <c r="C365" s="179">
        <v>3216.4</v>
      </c>
    </row>
    <row r="366" spans="1:3" hidden="1" x14ac:dyDescent="0.35">
      <c r="A366" s="178" t="s">
        <v>3205</v>
      </c>
      <c r="B366" s="126">
        <v>7.47</v>
      </c>
      <c r="C366" s="179">
        <v>2906.75</v>
      </c>
    </row>
    <row r="367" spans="1:3" hidden="1" x14ac:dyDescent="0.35">
      <c r="A367" s="178" t="s">
        <v>335</v>
      </c>
      <c r="B367" s="126">
        <v>7.44</v>
      </c>
      <c r="C367" s="179">
        <v>3162</v>
      </c>
    </row>
    <row r="368" spans="1:3" hidden="1" x14ac:dyDescent="0.35">
      <c r="A368" s="178" t="s">
        <v>3206</v>
      </c>
      <c r="B368" s="126">
        <v>7.39</v>
      </c>
      <c r="C368" s="179">
        <v>2623.45</v>
      </c>
    </row>
    <row r="369" spans="1:4" hidden="1" x14ac:dyDescent="0.35">
      <c r="A369" s="178" t="s">
        <v>3207</v>
      </c>
      <c r="B369" s="126">
        <v>7.32</v>
      </c>
      <c r="C369" s="179">
        <v>2891.4</v>
      </c>
    </row>
    <row r="370" spans="1:4" hidden="1" x14ac:dyDescent="0.35">
      <c r="A370" s="178" t="s">
        <v>228</v>
      </c>
      <c r="B370" s="126">
        <v>7.3</v>
      </c>
      <c r="C370" s="179">
        <v>1854</v>
      </c>
    </row>
    <row r="371" spans="1:4" hidden="1" x14ac:dyDescent="0.35">
      <c r="A371" s="178" t="s">
        <v>3208</v>
      </c>
      <c r="B371" s="126">
        <v>7.29</v>
      </c>
      <c r="C371" s="179">
        <v>2120.0500000000002</v>
      </c>
    </row>
    <row r="372" spans="1:4" hidden="1" x14ac:dyDescent="0.35">
      <c r="A372" s="178" t="s">
        <v>3209</v>
      </c>
      <c r="B372" s="126">
        <v>7.19</v>
      </c>
      <c r="C372" s="179">
        <v>2746.05</v>
      </c>
    </row>
    <row r="373" spans="1:4" hidden="1" x14ac:dyDescent="0.35">
      <c r="A373" s="178" t="s">
        <v>3210</v>
      </c>
      <c r="B373" s="126">
        <v>7.18</v>
      </c>
      <c r="C373" s="179">
        <v>2046.3</v>
      </c>
    </row>
    <row r="374" spans="1:4" hidden="1" x14ac:dyDescent="0.35">
      <c r="A374" s="178" t="s">
        <v>3211</v>
      </c>
      <c r="B374" s="126">
        <v>6.87</v>
      </c>
      <c r="C374" s="179">
        <v>2551.6999999999998</v>
      </c>
    </row>
    <row r="375" spans="1:4" hidden="1" x14ac:dyDescent="0.35">
      <c r="A375" s="178" t="s">
        <v>3212</v>
      </c>
      <c r="B375" s="126">
        <v>6.84</v>
      </c>
      <c r="C375" s="179">
        <v>1949.4</v>
      </c>
    </row>
    <row r="376" spans="1:4" hidden="1" x14ac:dyDescent="0.35">
      <c r="A376" s="178" t="s">
        <v>3213</v>
      </c>
      <c r="B376" s="126">
        <v>6.83</v>
      </c>
      <c r="C376" s="179">
        <v>2439.35</v>
      </c>
    </row>
    <row r="377" spans="1:4" hidden="1" x14ac:dyDescent="0.35">
      <c r="A377" s="178" t="s">
        <v>3214</v>
      </c>
      <c r="B377" s="126">
        <v>6.8</v>
      </c>
      <c r="C377" s="179">
        <v>2844</v>
      </c>
    </row>
    <row r="378" spans="1:4" hidden="1" x14ac:dyDescent="0.35">
      <c r="A378" s="178" t="s">
        <v>201</v>
      </c>
      <c r="B378" s="126">
        <v>6.55</v>
      </c>
      <c r="C378" s="179">
        <v>1843</v>
      </c>
    </row>
    <row r="379" spans="1:4" hidden="1" x14ac:dyDescent="0.35">
      <c r="A379" s="178" t="s">
        <v>398</v>
      </c>
      <c r="B379" s="126">
        <v>6.47</v>
      </c>
      <c r="C379" s="179">
        <v>5164.3</v>
      </c>
    </row>
    <row r="380" spans="1:4" hidden="1" x14ac:dyDescent="0.35">
      <c r="A380" s="178" t="s">
        <v>3215</v>
      </c>
      <c r="B380" s="126">
        <v>6.18</v>
      </c>
      <c r="C380" s="179">
        <v>2668.95</v>
      </c>
    </row>
    <row r="381" spans="1:4" hidden="1" x14ac:dyDescent="0.35">
      <c r="A381" s="178" t="s">
        <v>282</v>
      </c>
      <c r="B381" s="126">
        <v>6.14</v>
      </c>
      <c r="C381" s="179">
        <v>2670.9</v>
      </c>
      <c r="D381" t="s">
        <v>3358</v>
      </c>
    </row>
    <row r="382" spans="1:4" hidden="1" x14ac:dyDescent="0.35">
      <c r="A382" s="178" t="s">
        <v>3216</v>
      </c>
      <c r="B382" s="126">
        <v>6.04</v>
      </c>
      <c r="C382" s="179">
        <v>2462.4</v>
      </c>
    </row>
    <row r="383" spans="1:4" hidden="1" x14ac:dyDescent="0.35">
      <c r="A383" s="178" t="s">
        <v>3217</v>
      </c>
      <c r="B383" s="126">
        <v>5.79</v>
      </c>
      <c r="C383" s="179">
        <v>1534.95</v>
      </c>
    </row>
    <row r="384" spans="1:4" hidden="1" x14ac:dyDescent="0.35">
      <c r="A384" s="178" t="s">
        <v>3218</v>
      </c>
      <c r="B384" s="126">
        <v>5.73</v>
      </c>
      <c r="C384" s="179">
        <v>2377.9499999999998</v>
      </c>
    </row>
    <row r="385" spans="1:3" hidden="1" x14ac:dyDescent="0.35">
      <c r="A385" s="178" t="s">
        <v>3219</v>
      </c>
      <c r="B385" s="126">
        <v>5.68</v>
      </c>
      <c r="C385" s="179">
        <v>1800.9</v>
      </c>
    </row>
    <row r="386" spans="1:3" hidden="1" x14ac:dyDescent="0.35">
      <c r="A386" s="178" t="s">
        <v>3220</v>
      </c>
      <c r="B386" s="126">
        <v>5.67</v>
      </c>
      <c r="C386" s="179">
        <v>1664.2</v>
      </c>
    </row>
    <row r="387" spans="1:3" hidden="1" x14ac:dyDescent="0.35">
      <c r="A387" s="178" t="s">
        <v>3221</v>
      </c>
      <c r="B387" s="126">
        <v>5.66</v>
      </c>
      <c r="C387" s="179">
        <v>2140.6999999999998</v>
      </c>
    </row>
    <row r="388" spans="1:3" hidden="1" x14ac:dyDescent="0.35">
      <c r="A388" s="178" t="s">
        <v>3222</v>
      </c>
      <c r="B388" s="126">
        <v>5.33</v>
      </c>
      <c r="C388" s="179">
        <v>1537.15</v>
      </c>
    </row>
    <row r="389" spans="1:3" hidden="1" x14ac:dyDescent="0.35">
      <c r="A389" s="178" t="s">
        <v>3223</v>
      </c>
      <c r="B389" s="126">
        <v>5.28</v>
      </c>
      <c r="C389" s="179">
        <v>1783.6</v>
      </c>
    </row>
    <row r="390" spans="1:3" hidden="1" x14ac:dyDescent="0.35">
      <c r="A390" s="178" t="s">
        <v>3224</v>
      </c>
      <c r="B390" s="126">
        <v>5.2</v>
      </c>
      <c r="C390" s="179">
        <v>4126</v>
      </c>
    </row>
    <row r="391" spans="1:3" hidden="1" x14ac:dyDescent="0.35">
      <c r="A391" s="178" t="s">
        <v>3225</v>
      </c>
      <c r="B391" s="126">
        <v>5.19</v>
      </c>
      <c r="C391" s="179">
        <v>2203.65</v>
      </c>
    </row>
    <row r="392" spans="1:3" hidden="1" x14ac:dyDescent="0.35">
      <c r="A392" s="178" t="s">
        <v>289</v>
      </c>
      <c r="B392" s="126">
        <v>5.19</v>
      </c>
      <c r="C392" s="179">
        <v>1780.75</v>
      </c>
    </row>
    <row r="393" spans="1:3" hidden="1" x14ac:dyDescent="0.35">
      <c r="A393" s="178" t="s">
        <v>3226</v>
      </c>
      <c r="B393" s="126">
        <v>5.17</v>
      </c>
      <c r="C393" s="179">
        <v>1790.9</v>
      </c>
    </row>
    <row r="394" spans="1:3" hidden="1" x14ac:dyDescent="0.35">
      <c r="A394" s="178" t="s">
        <v>3227</v>
      </c>
      <c r="B394" s="126">
        <v>5.15</v>
      </c>
      <c r="C394" s="179">
        <v>2195.6</v>
      </c>
    </row>
    <row r="395" spans="1:3" hidden="1" x14ac:dyDescent="0.35">
      <c r="A395" s="178" t="s">
        <v>3228</v>
      </c>
      <c r="B395" s="126">
        <v>5.15</v>
      </c>
      <c r="C395" s="179">
        <v>1638.6</v>
      </c>
    </row>
    <row r="396" spans="1:3" hidden="1" x14ac:dyDescent="0.35">
      <c r="A396" s="178" t="s">
        <v>3229</v>
      </c>
      <c r="B396" s="126">
        <v>5.04</v>
      </c>
      <c r="C396" s="179">
        <v>1636.2</v>
      </c>
    </row>
    <row r="397" spans="1:3" hidden="1" x14ac:dyDescent="0.35">
      <c r="A397" s="178" t="s">
        <v>3230</v>
      </c>
      <c r="B397" s="126">
        <v>5.04</v>
      </c>
      <c r="C397" s="179">
        <v>1272.73</v>
      </c>
    </row>
    <row r="398" spans="1:3" hidden="1" x14ac:dyDescent="0.35">
      <c r="A398" s="178" t="s">
        <v>3231</v>
      </c>
      <c r="B398" s="126">
        <v>5.01</v>
      </c>
      <c r="C398" s="179">
        <v>1724.3</v>
      </c>
    </row>
    <row r="399" spans="1:3" hidden="1" x14ac:dyDescent="0.35">
      <c r="A399" s="178" t="s">
        <v>3232</v>
      </c>
      <c r="B399" s="126">
        <v>5</v>
      </c>
      <c r="C399" s="179">
        <v>1540</v>
      </c>
    </row>
    <row r="400" spans="1:3" hidden="1" x14ac:dyDescent="0.35">
      <c r="A400" s="178" t="s">
        <v>3233</v>
      </c>
      <c r="B400" s="126">
        <v>4.8899999999999997</v>
      </c>
      <c r="C400" s="179">
        <v>1720.05</v>
      </c>
    </row>
    <row r="401" spans="1:3" hidden="1" x14ac:dyDescent="0.35">
      <c r="A401" s="178" t="s">
        <v>3234</v>
      </c>
      <c r="B401" s="126">
        <v>4.87</v>
      </c>
      <c r="C401" s="179">
        <v>1436.65</v>
      </c>
    </row>
    <row r="402" spans="1:3" hidden="1" x14ac:dyDescent="0.35">
      <c r="A402" s="178" t="s">
        <v>3235</v>
      </c>
      <c r="B402" s="126">
        <v>4.87</v>
      </c>
      <c r="C402" s="179">
        <v>1801.9</v>
      </c>
    </row>
    <row r="403" spans="1:3" hidden="1" x14ac:dyDescent="0.35">
      <c r="A403" s="178" t="s">
        <v>3236</v>
      </c>
      <c r="B403" s="126">
        <v>4.82</v>
      </c>
      <c r="C403" s="179">
        <v>1711.1</v>
      </c>
    </row>
    <row r="404" spans="1:3" hidden="1" x14ac:dyDescent="0.35">
      <c r="A404" s="178" t="s">
        <v>3237</v>
      </c>
      <c r="B404" s="126">
        <v>4.78</v>
      </c>
      <c r="C404" s="179">
        <v>1704.1</v>
      </c>
    </row>
    <row r="405" spans="1:3" hidden="1" x14ac:dyDescent="0.35">
      <c r="A405" s="178" t="s">
        <v>3238</v>
      </c>
      <c r="B405" s="126">
        <v>4.75</v>
      </c>
      <c r="C405" s="179">
        <v>1828.75</v>
      </c>
    </row>
    <row r="406" spans="1:3" hidden="1" x14ac:dyDescent="0.35">
      <c r="A406" s="178" t="s">
        <v>383</v>
      </c>
      <c r="B406" s="126">
        <v>4.75</v>
      </c>
      <c r="C406" s="179">
        <v>1401.25</v>
      </c>
    </row>
    <row r="407" spans="1:3" hidden="1" x14ac:dyDescent="0.35">
      <c r="A407" s="178" t="s">
        <v>3239</v>
      </c>
      <c r="B407" s="126">
        <v>4.7</v>
      </c>
      <c r="C407" s="179">
        <v>4804</v>
      </c>
    </row>
    <row r="408" spans="1:3" hidden="1" x14ac:dyDescent="0.35">
      <c r="A408" s="178" t="s">
        <v>3240</v>
      </c>
      <c r="B408" s="126">
        <v>4.68</v>
      </c>
      <c r="C408" s="179">
        <v>1333.8</v>
      </c>
    </row>
    <row r="409" spans="1:3" hidden="1" x14ac:dyDescent="0.35">
      <c r="A409" s="178" t="s">
        <v>3241</v>
      </c>
      <c r="B409" s="126">
        <v>4.6100000000000003</v>
      </c>
      <c r="C409" s="179">
        <v>1425.95</v>
      </c>
    </row>
    <row r="410" spans="1:3" hidden="1" x14ac:dyDescent="0.35">
      <c r="A410" s="178" t="s">
        <v>3242</v>
      </c>
      <c r="B410" s="126">
        <v>4.45</v>
      </c>
      <c r="C410" s="179">
        <v>1780</v>
      </c>
    </row>
    <row r="411" spans="1:3" hidden="1" x14ac:dyDescent="0.35">
      <c r="A411" s="178" t="s">
        <v>3243</v>
      </c>
      <c r="B411" s="126">
        <v>4.42</v>
      </c>
      <c r="C411" s="179">
        <v>1823.25</v>
      </c>
    </row>
    <row r="412" spans="1:3" hidden="1" x14ac:dyDescent="0.35">
      <c r="A412" s="178" t="s">
        <v>3244</v>
      </c>
      <c r="B412" s="126">
        <v>4.41</v>
      </c>
      <c r="C412" s="179">
        <v>1216.5999999999999</v>
      </c>
    </row>
    <row r="413" spans="1:3" hidden="1" x14ac:dyDescent="0.35">
      <c r="A413" s="178" t="s">
        <v>3245</v>
      </c>
      <c r="B413" s="126">
        <v>4.4000000000000004</v>
      </c>
      <c r="C413" s="179">
        <v>1496</v>
      </c>
    </row>
    <row r="414" spans="1:3" hidden="1" x14ac:dyDescent="0.35">
      <c r="A414" s="178" t="s">
        <v>294</v>
      </c>
      <c r="B414" s="126">
        <v>4.3600000000000003</v>
      </c>
      <c r="C414" s="179">
        <v>1678.6</v>
      </c>
    </row>
    <row r="415" spans="1:3" hidden="1" x14ac:dyDescent="0.35">
      <c r="A415" s="178" t="s">
        <v>251</v>
      </c>
      <c r="B415" s="126">
        <v>4.3499999999999996</v>
      </c>
      <c r="C415" s="179">
        <v>1283.25</v>
      </c>
    </row>
    <row r="416" spans="1:3" hidden="1" x14ac:dyDescent="0.35">
      <c r="A416" s="178" t="s">
        <v>315</v>
      </c>
      <c r="B416" s="126">
        <v>4.3499999999999996</v>
      </c>
      <c r="C416" s="179">
        <v>1674.75</v>
      </c>
    </row>
    <row r="417" spans="1:3" hidden="1" x14ac:dyDescent="0.35">
      <c r="A417" s="178" t="s">
        <v>3246</v>
      </c>
      <c r="B417" s="126">
        <v>4.33</v>
      </c>
      <c r="C417" s="179">
        <v>1277.3499999999999</v>
      </c>
    </row>
    <row r="418" spans="1:3" hidden="1" x14ac:dyDescent="0.35">
      <c r="A418" s="178" t="s">
        <v>3247</v>
      </c>
      <c r="B418" s="126">
        <v>4.3</v>
      </c>
      <c r="C418" s="179">
        <v>1849</v>
      </c>
    </row>
    <row r="419" spans="1:3" hidden="1" x14ac:dyDescent="0.35">
      <c r="A419" s="178" t="s">
        <v>3248</v>
      </c>
      <c r="B419" s="126">
        <v>4.29</v>
      </c>
      <c r="C419" s="179">
        <v>5892.05</v>
      </c>
    </row>
    <row r="420" spans="1:3" hidden="1" x14ac:dyDescent="0.35">
      <c r="A420" s="178" t="s">
        <v>3249</v>
      </c>
      <c r="B420" s="126">
        <v>4.25</v>
      </c>
      <c r="C420" s="179">
        <v>1721.25</v>
      </c>
    </row>
    <row r="421" spans="1:3" hidden="1" x14ac:dyDescent="0.35">
      <c r="A421" s="178" t="s">
        <v>3250</v>
      </c>
      <c r="B421" s="126">
        <v>4.25</v>
      </c>
      <c r="C421" s="179">
        <v>1700</v>
      </c>
    </row>
    <row r="422" spans="1:3" hidden="1" x14ac:dyDescent="0.35">
      <c r="A422" s="178" t="s">
        <v>184</v>
      </c>
      <c r="B422" s="126">
        <v>4.2</v>
      </c>
      <c r="C422" s="179">
        <v>1449</v>
      </c>
    </row>
    <row r="423" spans="1:3" hidden="1" x14ac:dyDescent="0.35">
      <c r="A423" s="178" t="s">
        <v>240</v>
      </c>
      <c r="B423" s="126">
        <v>4.1500000000000004</v>
      </c>
      <c r="C423" s="179">
        <v>1639.25</v>
      </c>
    </row>
    <row r="424" spans="1:3" hidden="1" x14ac:dyDescent="0.35">
      <c r="A424" s="178" t="s">
        <v>3251</v>
      </c>
      <c r="B424" s="126">
        <v>4.12</v>
      </c>
      <c r="C424" s="179">
        <v>1462.6</v>
      </c>
    </row>
    <row r="425" spans="1:3" hidden="1" x14ac:dyDescent="0.35">
      <c r="A425" s="178" t="s">
        <v>3252</v>
      </c>
      <c r="B425" s="126">
        <v>4.1100000000000003</v>
      </c>
      <c r="C425" s="179">
        <v>1438.5</v>
      </c>
    </row>
    <row r="426" spans="1:3" hidden="1" x14ac:dyDescent="0.35">
      <c r="A426" s="178" t="s">
        <v>3253</v>
      </c>
      <c r="B426" s="126">
        <v>4.0999999999999996</v>
      </c>
      <c r="C426" s="179">
        <v>1588</v>
      </c>
    </row>
    <row r="427" spans="1:3" hidden="1" x14ac:dyDescent="0.35">
      <c r="A427" s="178" t="s">
        <v>269</v>
      </c>
      <c r="B427" s="126">
        <v>4.09</v>
      </c>
      <c r="C427" s="179">
        <v>1554.2</v>
      </c>
    </row>
    <row r="428" spans="1:3" hidden="1" x14ac:dyDescent="0.35">
      <c r="A428" s="178" t="s">
        <v>3254</v>
      </c>
      <c r="B428" s="126">
        <v>4.07</v>
      </c>
      <c r="C428" s="179">
        <v>1770.45</v>
      </c>
    </row>
    <row r="429" spans="1:3" hidden="1" x14ac:dyDescent="0.35">
      <c r="A429" s="178" t="s">
        <v>3255</v>
      </c>
      <c r="B429" s="126">
        <v>4.0599999999999996</v>
      </c>
      <c r="C429" s="179">
        <v>1116.5</v>
      </c>
    </row>
    <row r="430" spans="1:3" hidden="1" x14ac:dyDescent="0.35">
      <c r="A430" s="178" t="s">
        <v>223</v>
      </c>
      <c r="B430" s="126">
        <v>4</v>
      </c>
      <c r="C430" s="179">
        <v>5350</v>
      </c>
    </row>
    <row r="431" spans="1:3" hidden="1" x14ac:dyDescent="0.35">
      <c r="A431" s="178" t="s">
        <v>174</v>
      </c>
      <c r="B431" s="126">
        <v>3.96</v>
      </c>
      <c r="C431" s="179">
        <v>1722.6</v>
      </c>
    </row>
    <row r="432" spans="1:3" hidden="1" x14ac:dyDescent="0.35">
      <c r="A432" s="178" t="s">
        <v>3256</v>
      </c>
      <c r="B432" s="126">
        <v>3.95</v>
      </c>
      <c r="C432" s="179">
        <v>1461.5</v>
      </c>
    </row>
    <row r="433" spans="1:3" hidden="1" x14ac:dyDescent="0.35">
      <c r="A433" s="178" t="s">
        <v>3257</v>
      </c>
      <c r="B433" s="126">
        <v>3.91</v>
      </c>
      <c r="C433" s="179">
        <v>1661.75</v>
      </c>
    </row>
    <row r="434" spans="1:3" hidden="1" x14ac:dyDescent="0.35">
      <c r="A434" s="178" t="s">
        <v>3258</v>
      </c>
      <c r="B434" s="126">
        <v>3.9</v>
      </c>
      <c r="C434" s="179">
        <v>1501.5</v>
      </c>
    </row>
    <row r="435" spans="1:3" hidden="1" x14ac:dyDescent="0.35">
      <c r="A435" s="178" t="s">
        <v>340</v>
      </c>
      <c r="B435" s="126">
        <v>3.9</v>
      </c>
      <c r="C435" s="179">
        <v>1518.4</v>
      </c>
    </row>
    <row r="436" spans="1:3" hidden="1" x14ac:dyDescent="0.35">
      <c r="A436" s="178" t="s">
        <v>3259</v>
      </c>
      <c r="B436" s="126">
        <v>3.88</v>
      </c>
      <c r="C436" s="179">
        <v>1164</v>
      </c>
    </row>
    <row r="437" spans="1:3" hidden="1" x14ac:dyDescent="0.35">
      <c r="A437" s="178" t="s">
        <v>177</v>
      </c>
      <c r="B437" s="126">
        <v>3.87</v>
      </c>
      <c r="C437" s="179">
        <v>1083.5999999999999</v>
      </c>
    </row>
    <row r="438" spans="1:3" hidden="1" x14ac:dyDescent="0.35">
      <c r="A438" s="178" t="s">
        <v>3260</v>
      </c>
      <c r="B438" s="126">
        <v>3.87</v>
      </c>
      <c r="C438" s="179">
        <v>1470.6</v>
      </c>
    </row>
    <row r="439" spans="1:3" hidden="1" x14ac:dyDescent="0.35">
      <c r="A439" s="178" t="s">
        <v>3261</v>
      </c>
      <c r="B439" s="126">
        <v>3.85</v>
      </c>
      <c r="C439" s="179">
        <v>1559.25</v>
      </c>
    </row>
    <row r="440" spans="1:3" hidden="1" x14ac:dyDescent="0.35">
      <c r="A440" s="178" t="s">
        <v>265</v>
      </c>
      <c r="B440" s="126">
        <v>3.84</v>
      </c>
      <c r="C440" s="179">
        <v>1440</v>
      </c>
    </row>
    <row r="441" spans="1:3" hidden="1" x14ac:dyDescent="0.35">
      <c r="A441" s="178" t="s">
        <v>3262</v>
      </c>
      <c r="B441" s="126">
        <v>3.82</v>
      </c>
      <c r="C441" s="179">
        <v>1498.2</v>
      </c>
    </row>
    <row r="442" spans="1:3" hidden="1" x14ac:dyDescent="0.35">
      <c r="A442" s="178" t="s">
        <v>3263</v>
      </c>
      <c r="B442" s="126">
        <v>3.81</v>
      </c>
      <c r="C442" s="179">
        <v>1628.2</v>
      </c>
    </row>
    <row r="443" spans="1:3" hidden="1" x14ac:dyDescent="0.35">
      <c r="A443" s="178" t="s">
        <v>3264</v>
      </c>
      <c r="B443" s="126">
        <v>3.81</v>
      </c>
      <c r="C443" s="179">
        <v>1504.95</v>
      </c>
    </row>
    <row r="444" spans="1:3" hidden="1" x14ac:dyDescent="0.35">
      <c r="A444" s="178" t="s">
        <v>3265</v>
      </c>
      <c r="B444" s="126">
        <v>3.81</v>
      </c>
      <c r="C444" s="179">
        <v>1792.55</v>
      </c>
    </row>
    <row r="445" spans="1:3" hidden="1" x14ac:dyDescent="0.35">
      <c r="A445" s="178" t="s">
        <v>3266</v>
      </c>
      <c r="B445" s="126">
        <v>3.74</v>
      </c>
      <c r="C445" s="179">
        <v>1103.3</v>
      </c>
    </row>
    <row r="446" spans="1:3" hidden="1" x14ac:dyDescent="0.35">
      <c r="A446" s="178" t="s">
        <v>3267</v>
      </c>
      <c r="B446" s="126">
        <v>3.73</v>
      </c>
      <c r="C446" s="179">
        <v>1286.8499999999999</v>
      </c>
    </row>
    <row r="447" spans="1:3" hidden="1" x14ac:dyDescent="0.35">
      <c r="A447" s="178" t="s">
        <v>3268</v>
      </c>
      <c r="B447" s="126">
        <v>3.65</v>
      </c>
      <c r="C447" s="179">
        <v>1022</v>
      </c>
    </row>
    <row r="448" spans="1:3" hidden="1" x14ac:dyDescent="0.35">
      <c r="A448" s="178" t="s">
        <v>3269</v>
      </c>
      <c r="B448" s="126">
        <v>3.65</v>
      </c>
      <c r="C448" s="179">
        <v>1514.75</v>
      </c>
    </row>
    <row r="449" spans="1:3" hidden="1" x14ac:dyDescent="0.35">
      <c r="A449" s="178" t="s">
        <v>3270</v>
      </c>
      <c r="B449" s="126">
        <v>3.64</v>
      </c>
      <c r="C449" s="179">
        <v>1738</v>
      </c>
    </row>
    <row r="450" spans="1:3" hidden="1" x14ac:dyDescent="0.35">
      <c r="A450" s="178" t="s">
        <v>3271</v>
      </c>
      <c r="B450" s="126">
        <v>3.64</v>
      </c>
      <c r="C450" s="179">
        <v>1383.2</v>
      </c>
    </row>
    <row r="451" spans="1:3" hidden="1" x14ac:dyDescent="0.35">
      <c r="A451" s="178" t="s">
        <v>3272</v>
      </c>
      <c r="B451" s="126">
        <v>3.63</v>
      </c>
      <c r="C451" s="179">
        <v>1324.95</v>
      </c>
    </row>
    <row r="452" spans="1:3" hidden="1" x14ac:dyDescent="0.35">
      <c r="A452" s="178" t="s">
        <v>3273</v>
      </c>
      <c r="B452" s="126">
        <v>3.62</v>
      </c>
      <c r="C452" s="179">
        <v>1429.9</v>
      </c>
    </row>
    <row r="453" spans="1:3" hidden="1" x14ac:dyDescent="0.35">
      <c r="A453" s="178" t="s">
        <v>3274</v>
      </c>
      <c r="B453" s="126">
        <v>3.62</v>
      </c>
      <c r="C453" s="179">
        <v>1492</v>
      </c>
    </row>
    <row r="454" spans="1:3" hidden="1" x14ac:dyDescent="0.35">
      <c r="A454" s="178" t="s">
        <v>3275</v>
      </c>
      <c r="B454" s="126">
        <v>3.6</v>
      </c>
      <c r="C454" s="179">
        <v>1350</v>
      </c>
    </row>
    <row r="455" spans="1:3" hidden="1" x14ac:dyDescent="0.35">
      <c r="A455" s="178" t="s">
        <v>3276</v>
      </c>
      <c r="B455" s="126">
        <v>3.6</v>
      </c>
      <c r="C455" s="179">
        <v>1044</v>
      </c>
    </row>
    <row r="456" spans="1:3" hidden="1" x14ac:dyDescent="0.35">
      <c r="A456" s="178" t="s">
        <v>3277</v>
      </c>
      <c r="B456" s="126">
        <v>3.58</v>
      </c>
      <c r="C456" s="179">
        <v>1324.6</v>
      </c>
    </row>
    <row r="457" spans="1:3" hidden="1" x14ac:dyDescent="0.35">
      <c r="A457" s="178" t="s">
        <v>3278</v>
      </c>
      <c r="B457" s="126">
        <v>3.55</v>
      </c>
      <c r="C457" s="179">
        <v>887.5</v>
      </c>
    </row>
    <row r="458" spans="1:3" hidden="1" x14ac:dyDescent="0.35">
      <c r="A458" s="178" t="s">
        <v>3279</v>
      </c>
      <c r="B458" s="126">
        <v>3.52</v>
      </c>
      <c r="C458" s="179">
        <v>1267.2</v>
      </c>
    </row>
    <row r="459" spans="1:3" hidden="1" x14ac:dyDescent="0.35">
      <c r="A459" s="178" t="s">
        <v>3280</v>
      </c>
      <c r="B459" s="126">
        <v>3.52</v>
      </c>
      <c r="C459" s="179">
        <v>1425.6</v>
      </c>
    </row>
    <row r="460" spans="1:3" hidden="1" x14ac:dyDescent="0.35">
      <c r="A460" s="178" t="s">
        <v>3281</v>
      </c>
      <c r="B460" s="126">
        <v>3.52</v>
      </c>
      <c r="C460" s="179">
        <v>1232</v>
      </c>
    </row>
    <row r="461" spans="1:3" hidden="1" x14ac:dyDescent="0.35">
      <c r="A461" s="178" t="s">
        <v>3282</v>
      </c>
      <c r="B461" s="126">
        <v>3.5</v>
      </c>
      <c r="C461" s="179">
        <v>997.5</v>
      </c>
    </row>
    <row r="462" spans="1:3" hidden="1" x14ac:dyDescent="0.35">
      <c r="A462" s="178" t="s">
        <v>3283</v>
      </c>
      <c r="B462" s="126">
        <v>3.41</v>
      </c>
      <c r="C462" s="179">
        <v>1169.9000000000001</v>
      </c>
    </row>
    <row r="463" spans="1:3" hidden="1" x14ac:dyDescent="0.35">
      <c r="A463" s="178" t="s">
        <v>3284</v>
      </c>
      <c r="B463" s="126">
        <v>3.29</v>
      </c>
      <c r="C463" s="179">
        <v>1414.7</v>
      </c>
    </row>
    <row r="464" spans="1:3" hidden="1" x14ac:dyDescent="0.35">
      <c r="A464" s="178" t="s">
        <v>3285</v>
      </c>
      <c r="B464" s="126">
        <v>3.28</v>
      </c>
      <c r="C464" s="179">
        <v>1344.8</v>
      </c>
    </row>
    <row r="465" spans="1:3" hidden="1" x14ac:dyDescent="0.35">
      <c r="A465" s="178" t="s">
        <v>3286</v>
      </c>
      <c r="B465" s="126">
        <v>3.28</v>
      </c>
      <c r="C465" s="179">
        <v>1351.25</v>
      </c>
    </row>
    <row r="466" spans="1:3" hidden="1" x14ac:dyDescent="0.35">
      <c r="A466" s="178" t="s">
        <v>3287</v>
      </c>
      <c r="B466" s="126">
        <v>3.24</v>
      </c>
      <c r="C466" s="179">
        <v>1393.2</v>
      </c>
    </row>
    <row r="467" spans="1:3" hidden="1" x14ac:dyDescent="0.35">
      <c r="A467" s="178" t="s">
        <v>3288</v>
      </c>
      <c r="B467" s="126">
        <v>3.22</v>
      </c>
      <c r="C467" s="179">
        <v>1252.25</v>
      </c>
    </row>
    <row r="468" spans="1:3" hidden="1" x14ac:dyDescent="0.35">
      <c r="A468" s="178" t="s">
        <v>190</v>
      </c>
      <c r="B468" s="126">
        <v>3.21</v>
      </c>
      <c r="C468" s="179">
        <v>1316.1</v>
      </c>
    </row>
    <row r="469" spans="1:3" hidden="1" x14ac:dyDescent="0.35">
      <c r="A469" s="178" t="s">
        <v>3289</v>
      </c>
      <c r="B469" s="126">
        <v>3.21</v>
      </c>
      <c r="C469" s="179">
        <v>735.09</v>
      </c>
    </row>
    <row r="470" spans="1:3" hidden="1" x14ac:dyDescent="0.35">
      <c r="A470" s="178" t="s">
        <v>3290</v>
      </c>
      <c r="B470" s="126">
        <v>3.16</v>
      </c>
      <c r="C470" s="179">
        <v>1295.5999999999999</v>
      </c>
    </row>
    <row r="471" spans="1:3" hidden="1" x14ac:dyDescent="0.35">
      <c r="A471" s="178" t="s">
        <v>206</v>
      </c>
      <c r="B471" s="126">
        <v>3.11</v>
      </c>
      <c r="C471" s="179">
        <v>1122.8399999999999</v>
      </c>
    </row>
    <row r="472" spans="1:3" hidden="1" x14ac:dyDescent="0.35">
      <c r="A472" s="178" t="s">
        <v>3291</v>
      </c>
      <c r="B472" s="126">
        <v>3.09</v>
      </c>
      <c r="C472" s="179">
        <v>888.25</v>
      </c>
    </row>
    <row r="473" spans="1:3" hidden="1" x14ac:dyDescent="0.35">
      <c r="A473" s="178" t="s">
        <v>3292</v>
      </c>
      <c r="B473" s="126">
        <v>3.06</v>
      </c>
      <c r="C473" s="179">
        <v>1167.3699999999999</v>
      </c>
    </row>
    <row r="474" spans="1:3" hidden="1" x14ac:dyDescent="0.35">
      <c r="A474" s="178" t="s">
        <v>3293</v>
      </c>
      <c r="B474" s="126">
        <v>3.06</v>
      </c>
      <c r="C474" s="179">
        <v>1116.9000000000001</v>
      </c>
    </row>
    <row r="475" spans="1:3" hidden="1" x14ac:dyDescent="0.35">
      <c r="A475" s="178" t="s">
        <v>3294</v>
      </c>
      <c r="B475" s="126">
        <v>3.02</v>
      </c>
      <c r="C475" s="179">
        <v>858.5</v>
      </c>
    </row>
    <row r="476" spans="1:3" hidden="1" x14ac:dyDescent="0.35">
      <c r="A476" s="178" t="s">
        <v>3295</v>
      </c>
      <c r="B476" s="126">
        <v>3</v>
      </c>
      <c r="C476" s="179">
        <v>860</v>
      </c>
    </row>
    <row r="477" spans="1:3" hidden="1" x14ac:dyDescent="0.35">
      <c r="A477" s="178" t="s">
        <v>3296</v>
      </c>
      <c r="B477" s="126">
        <v>3</v>
      </c>
      <c r="C477" s="179">
        <v>9600</v>
      </c>
    </row>
    <row r="478" spans="1:3" hidden="1" x14ac:dyDescent="0.35">
      <c r="A478" s="178" t="s">
        <v>3297</v>
      </c>
      <c r="B478" s="126">
        <v>2.94</v>
      </c>
      <c r="C478" s="179">
        <v>805.1</v>
      </c>
    </row>
    <row r="479" spans="1:3" hidden="1" x14ac:dyDescent="0.35">
      <c r="A479" s="178" t="s">
        <v>3298</v>
      </c>
      <c r="B479" s="126">
        <v>2.89</v>
      </c>
      <c r="C479" s="179">
        <v>1037.53</v>
      </c>
    </row>
    <row r="480" spans="1:3" hidden="1" x14ac:dyDescent="0.35">
      <c r="A480" s="178" t="s">
        <v>3299</v>
      </c>
      <c r="B480" s="126">
        <v>2.89</v>
      </c>
      <c r="C480" s="179">
        <v>803.25</v>
      </c>
    </row>
    <row r="481" spans="1:4" hidden="1" x14ac:dyDescent="0.35">
      <c r="A481" s="178" t="s">
        <v>3300</v>
      </c>
      <c r="B481" s="126">
        <v>2.79</v>
      </c>
      <c r="C481" s="179">
        <v>760.75</v>
      </c>
    </row>
    <row r="482" spans="1:4" hidden="1" x14ac:dyDescent="0.35">
      <c r="A482" s="178" t="s">
        <v>3301</v>
      </c>
      <c r="B482" s="126">
        <v>2.68</v>
      </c>
      <c r="C482" s="179">
        <v>826.53</v>
      </c>
    </row>
    <row r="483" spans="1:4" hidden="1" x14ac:dyDescent="0.35">
      <c r="A483" s="178" t="s">
        <v>3302</v>
      </c>
      <c r="B483" s="126">
        <v>2.64</v>
      </c>
      <c r="C483" s="179">
        <v>994.3</v>
      </c>
    </row>
    <row r="484" spans="1:4" hidden="1" x14ac:dyDescent="0.35">
      <c r="A484" s="178" t="s">
        <v>3303</v>
      </c>
      <c r="B484" s="126">
        <v>2.52</v>
      </c>
      <c r="C484" s="179">
        <v>1008</v>
      </c>
    </row>
    <row r="485" spans="1:4" hidden="1" x14ac:dyDescent="0.35">
      <c r="A485" s="178" t="s">
        <v>3304</v>
      </c>
      <c r="B485" s="126">
        <v>2.44</v>
      </c>
      <c r="C485" s="179">
        <v>1097.5999999999999</v>
      </c>
    </row>
    <row r="486" spans="1:4" hidden="1" x14ac:dyDescent="0.35">
      <c r="A486" s="178" t="s">
        <v>291</v>
      </c>
      <c r="B486" s="126">
        <v>2.25</v>
      </c>
      <c r="C486" s="179">
        <v>1012.5</v>
      </c>
    </row>
    <row r="487" spans="1:4" hidden="1" x14ac:dyDescent="0.35">
      <c r="A487" s="178" t="s">
        <v>3305</v>
      </c>
      <c r="B487" s="126">
        <v>2.2000000000000002</v>
      </c>
      <c r="C487" s="179">
        <v>935</v>
      </c>
    </row>
    <row r="488" spans="1:4" hidden="1" x14ac:dyDescent="0.35">
      <c r="A488" s="178" t="s">
        <v>3306</v>
      </c>
      <c r="B488" s="126">
        <v>2.16</v>
      </c>
      <c r="C488" s="179">
        <v>928.8</v>
      </c>
    </row>
    <row r="489" spans="1:4" hidden="1" x14ac:dyDescent="0.35">
      <c r="A489" s="178" t="s">
        <v>3307</v>
      </c>
      <c r="B489" s="126">
        <v>2.15</v>
      </c>
      <c r="C489" s="179">
        <v>903</v>
      </c>
    </row>
    <row r="490" spans="1:4" hidden="1" x14ac:dyDescent="0.35">
      <c r="A490" s="178" t="s">
        <v>3308</v>
      </c>
      <c r="B490" s="126">
        <v>2.13</v>
      </c>
      <c r="C490" s="179">
        <v>915.9</v>
      </c>
    </row>
    <row r="491" spans="1:4" hidden="1" x14ac:dyDescent="0.35">
      <c r="A491" s="178" t="s">
        <v>3309</v>
      </c>
      <c r="B491" s="126">
        <v>2.1</v>
      </c>
      <c r="C491" s="179">
        <v>945</v>
      </c>
    </row>
    <row r="492" spans="1:4" hidden="1" x14ac:dyDescent="0.35">
      <c r="A492" s="178" t="s">
        <v>3310</v>
      </c>
      <c r="B492" s="126">
        <v>2.06</v>
      </c>
      <c r="C492" s="179">
        <v>927</v>
      </c>
    </row>
    <row r="493" spans="1:4" hidden="1" x14ac:dyDescent="0.35">
      <c r="A493" s="178" t="s">
        <v>243</v>
      </c>
      <c r="B493" s="126">
        <v>2.04</v>
      </c>
      <c r="C493" s="179">
        <v>877.2</v>
      </c>
    </row>
    <row r="494" spans="1:4" hidden="1" x14ac:dyDescent="0.35">
      <c r="A494" s="178" t="s">
        <v>3311</v>
      </c>
      <c r="B494" s="126">
        <v>2.04</v>
      </c>
      <c r="C494" s="179">
        <v>867</v>
      </c>
    </row>
    <row r="495" spans="1:4" hidden="1" x14ac:dyDescent="0.35">
      <c r="A495" s="178" t="s">
        <v>353</v>
      </c>
      <c r="B495" s="126">
        <v>2.04</v>
      </c>
      <c r="C495" s="179">
        <v>887.4</v>
      </c>
      <c r="D495" t="s">
        <v>3352</v>
      </c>
    </row>
    <row r="496" spans="1:4" hidden="1" x14ac:dyDescent="0.35">
      <c r="A496" s="178" t="s">
        <v>3312</v>
      </c>
      <c r="B496" s="126">
        <v>2.02</v>
      </c>
      <c r="C496" s="179">
        <v>868.6</v>
      </c>
    </row>
    <row r="497" spans="1:3" hidden="1" x14ac:dyDescent="0.35">
      <c r="A497" s="178" t="s">
        <v>3313</v>
      </c>
      <c r="B497" s="126">
        <v>2</v>
      </c>
      <c r="C497" s="179">
        <v>230</v>
      </c>
    </row>
    <row r="498" spans="1:3" hidden="1" x14ac:dyDescent="0.35">
      <c r="A498" s="178" t="s">
        <v>3314</v>
      </c>
      <c r="B498" s="126">
        <v>1.97</v>
      </c>
      <c r="C498" s="179">
        <v>797.85</v>
      </c>
    </row>
    <row r="499" spans="1:3" hidden="1" x14ac:dyDescent="0.35">
      <c r="A499" s="178" t="s">
        <v>3315</v>
      </c>
      <c r="B499" s="126">
        <v>1.93</v>
      </c>
      <c r="C499" s="179">
        <v>810.6</v>
      </c>
    </row>
    <row r="500" spans="1:3" hidden="1" x14ac:dyDescent="0.35">
      <c r="A500" s="178" t="s">
        <v>3316</v>
      </c>
      <c r="B500" s="126">
        <v>1.87</v>
      </c>
      <c r="C500" s="179">
        <v>776.05</v>
      </c>
    </row>
    <row r="501" spans="1:3" hidden="1" x14ac:dyDescent="0.35">
      <c r="A501" s="178" t="s">
        <v>3317</v>
      </c>
      <c r="B501" s="126">
        <v>1.86</v>
      </c>
      <c r="C501" s="179">
        <v>771.9</v>
      </c>
    </row>
    <row r="502" spans="1:3" hidden="1" x14ac:dyDescent="0.35">
      <c r="A502" s="178" t="s">
        <v>3318</v>
      </c>
      <c r="B502" s="126">
        <v>1.85</v>
      </c>
      <c r="C502" s="179">
        <v>777</v>
      </c>
    </row>
    <row r="503" spans="1:3" hidden="1" x14ac:dyDescent="0.35">
      <c r="A503" s="178" t="s">
        <v>3319</v>
      </c>
      <c r="B503" s="126">
        <v>1.79</v>
      </c>
      <c r="C503" s="179">
        <v>769.7</v>
      </c>
    </row>
    <row r="504" spans="1:3" hidden="1" x14ac:dyDescent="0.35">
      <c r="A504" s="178" t="s">
        <v>3320</v>
      </c>
      <c r="B504" s="126">
        <v>1.78</v>
      </c>
      <c r="C504" s="179">
        <v>765.4</v>
      </c>
    </row>
    <row r="505" spans="1:3" hidden="1" x14ac:dyDescent="0.35">
      <c r="A505" s="178" t="s">
        <v>3321</v>
      </c>
      <c r="B505" s="126">
        <v>1.72</v>
      </c>
      <c r="C505" s="179">
        <v>722.4</v>
      </c>
    </row>
    <row r="506" spans="1:3" hidden="1" x14ac:dyDescent="0.35">
      <c r="A506" s="178" t="s">
        <v>390</v>
      </c>
      <c r="B506" s="126">
        <v>1.67</v>
      </c>
      <c r="C506" s="179">
        <v>187.6</v>
      </c>
    </row>
    <row r="507" spans="1:3" hidden="1" x14ac:dyDescent="0.35">
      <c r="A507" s="178" t="s">
        <v>3322</v>
      </c>
      <c r="B507" s="126">
        <v>1.58</v>
      </c>
      <c r="C507" s="179">
        <v>663.6</v>
      </c>
    </row>
    <row r="508" spans="1:3" hidden="1" x14ac:dyDescent="0.35">
      <c r="A508" s="178" t="s">
        <v>3323</v>
      </c>
      <c r="B508" s="126">
        <v>1.47</v>
      </c>
      <c r="C508" s="179">
        <v>624.75</v>
      </c>
    </row>
    <row r="509" spans="1:3" hidden="1" x14ac:dyDescent="0.35">
      <c r="A509" s="178" t="s">
        <v>3324</v>
      </c>
      <c r="B509" s="126">
        <v>1.37</v>
      </c>
      <c r="C509" s="179">
        <v>390.45</v>
      </c>
    </row>
    <row r="510" spans="1:3" hidden="1" x14ac:dyDescent="0.35">
      <c r="A510" s="178" t="s">
        <v>3325</v>
      </c>
      <c r="B510" s="126">
        <v>1.25</v>
      </c>
      <c r="C510" s="179">
        <v>518.75</v>
      </c>
    </row>
    <row r="511" spans="1:3" hidden="1" x14ac:dyDescent="0.35">
      <c r="A511" s="178" t="s">
        <v>3326</v>
      </c>
      <c r="B511" s="126">
        <v>1</v>
      </c>
      <c r="C511" s="179">
        <v>500</v>
      </c>
    </row>
    <row r="512" spans="1:3" hidden="1" x14ac:dyDescent="0.35">
      <c r="A512" s="178" t="s">
        <v>3327</v>
      </c>
      <c r="B512" s="126">
        <v>1</v>
      </c>
      <c r="C512" s="179">
        <v>2950</v>
      </c>
    </row>
    <row r="513" spans="1:3" hidden="1" x14ac:dyDescent="0.35">
      <c r="A513" s="178" t="s">
        <v>3328</v>
      </c>
      <c r="B513" s="126">
        <v>0.77</v>
      </c>
      <c r="C513" s="179">
        <v>176.33</v>
      </c>
    </row>
    <row r="514" spans="1:3" hidden="1" x14ac:dyDescent="0.35">
      <c r="A514" s="178" t="s">
        <v>331</v>
      </c>
      <c r="B514" s="126">
        <v>0.56000000000000005</v>
      </c>
      <c r="C514" s="179">
        <v>151.19999999999999</v>
      </c>
    </row>
    <row r="515" spans="1:3" hidden="1" x14ac:dyDescent="0.35">
      <c r="A515" s="178" t="s">
        <v>3329</v>
      </c>
      <c r="B515" s="126">
        <v>1.7763568394002501E-15</v>
      </c>
      <c r="C515" s="179">
        <v>0</v>
      </c>
    </row>
    <row r="516" spans="1:3" hidden="1" x14ac:dyDescent="0.35">
      <c r="A516" s="178" t="s">
        <v>2877</v>
      </c>
      <c r="B516" s="126">
        <v>29012.89</v>
      </c>
      <c r="C516" s="179">
        <v>9605934.7900000103</v>
      </c>
    </row>
  </sheetData>
  <autoFilter ref="A3:D516" xr:uid="{00000000-0001-0000-0900-000000000000}">
    <filterColumn colId="3">
      <filters>
        <filter val="Bianca"/>
      </filters>
    </filterColumn>
  </autoFilter>
  <sortState xmlns:xlrd2="http://schemas.microsoft.com/office/spreadsheetml/2017/richdata2" ref="A4:C515">
    <sortCondition descending="1" ref="B4:B515"/>
  </sortState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topLeftCell="A2" zoomScale="98" zoomScaleNormal="98" workbookViewId="0">
      <selection activeCell="D47" sqref="D47"/>
    </sheetView>
  </sheetViews>
  <sheetFormatPr defaultRowHeight="14.5" x14ac:dyDescent="0.35"/>
  <cols>
    <col min="1" max="1" width="53.1796875" customWidth="1"/>
    <col min="3" max="3" width="14.08984375" style="179" customWidth="1"/>
    <col min="4" max="4" width="15.7265625" style="179" customWidth="1"/>
  </cols>
  <sheetData>
    <row r="1" spans="1:4" x14ac:dyDescent="0.35">
      <c r="A1" s="178" t="s">
        <v>61</v>
      </c>
    </row>
    <row r="2" spans="1:4" x14ac:dyDescent="0.35">
      <c r="A2" s="178" t="s">
        <v>2947</v>
      </c>
    </row>
    <row r="3" spans="1:4" x14ac:dyDescent="0.35">
      <c r="A3" s="178" t="s">
        <v>63</v>
      </c>
      <c r="B3" s="178" t="s">
        <v>2879</v>
      </c>
      <c r="C3" s="180" t="s">
        <v>2948</v>
      </c>
      <c r="D3" s="180" t="s">
        <v>2949</v>
      </c>
    </row>
    <row r="4" spans="1:4" x14ac:dyDescent="0.35">
      <c r="A4" s="178" t="s">
        <v>2979</v>
      </c>
    </row>
    <row r="5" spans="1:4" x14ac:dyDescent="0.35">
      <c r="A5" s="178" t="s">
        <v>2980</v>
      </c>
      <c r="B5">
        <v>37.56</v>
      </c>
      <c r="C5" s="179">
        <v>280</v>
      </c>
      <c r="D5" s="179">
        <v>10516.8</v>
      </c>
    </row>
    <row r="6" spans="1:4" x14ac:dyDescent="0.35">
      <c r="A6" s="178" t="s">
        <v>2981</v>
      </c>
      <c r="B6">
        <v>1703.95</v>
      </c>
      <c r="C6" s="179">
        <v>207</v>
      </c>
      <c r="D6" s="179">
        <v>352717.65</v>
      </c>
    </row>
    <row r="7" spans="1:4" x14ac:dyDescent="0.35">
      <c r="A7" s="178" t="s">
        <v>2982</v>
      </c>
      <c r="B7">
        <v>2485.4499999999998</v>
      </c>
      <c r="C7" s="179">
        <v>207</v>
      </c>
      <c r="D7" s="179">
        <v>514488.15</v>
      </c>
    </row>
    <row r="8" spans="1:4" x14ac:dyDescent="0.35">
      <c r="A8" s="178" t="s">
        <v>2983</v>
      </c>
      <c r="B8">
        <v>681.22</v>
      </c>
      <c r="C8" s="179">
        <v>207</v>
      </c>
      <c r="D8" s="179">
        <v>141012.54</v>
      </c>
    </row>
    <row r="9" spans="1:4" x14ac:dyDescent="0.35">
      <c r="A9" s="178" t="s">
        <v>2984</v>
      </c>
      <c r="B9">
        <v>330.06</v>
      </c>
      <c r="C9" s="179">
        <v>274</v>
      </c>
      <c r="D9" s="179">
        <v>90436.44</v>
      </c>
    </row>
    <row r="10" spans="1:4" x14ac:dyDescent="0.35">
      <c r="A10" s="178" t="s">
        <v>2985</v>
      </c>
      <c r="B10">
        <v>568.72</v>
      </c>
      <c r="C10" s="179">
        <v>187.39034628975301</v>
      </c>
      <c r="D10" s="179">
        <v>112455.57</v>
      </c>
    </row>
    <row r="11" spans="1:4" x14ac:dyDescent="0.35">
      <c r="A11" s="178" t="s">
        <v>2986</v>
      </c>
      <c r="B11">
        <v>1018.77</v>
      </c>
      <c r="C11" s="179">
        <v>232</v>
      </c>
      <c r="D11" s="179">
        <v>236354.64</v>
      </c>
    </row>
    <row r="12" spans="1:4" x14ac:dyDescent="0.35">
      <c r="A12" s="178" t="s">
        <v>2987</v>
      </c>
      <c r="B12">
        <v>739.87</v>
      </c>
      <c r="C12" s="179">
        <v>207</v>
      </c>
      <c r="D12" s="179">
        <v>153153.09</v>
      </c>
    </row>
    <row r="13" spans="1:4" x14ac:dyDescent="0.35">
      <c r="A13" s="178" t="s">
        <v>2988</v>
      </c>
      <c r="B13">
        <v>407.59</v>
      </c>
      <c r="C13" s="179">
        <v>292</v>
      </c>
      <c r="D13" s="179">
        <v>119016.28</v>
      </c>
    </row>
    <row r="14" spans="1:4" x14ac:dyDescent="0.35">
      <c r="A14" s="178" t="s">
        <v>2989</v>
      </c>
      <c r="B14">
        <v>837.71</v>
      </c>
      <c r="C14" s="179">
        <v>292</v>
      </c>
      <c r="D14" s="179">
        <v>244611.32</v>
      </c>
    </row>
    <row r="15" spans="1:4" x14ac:dyDescent="0.35">
      <c r="A15" s="178" t="s">
        <v>2990</v>
      </c>
      <c r="B15">
        <v>371.4</v>
      </c>
      <c r="C15" s="179">
        <v>275</v>
      </c>
      <c r="D15" s="179">
        <v>102135</v>
      </c>
    </row>
    <row r="16" spans="1:4" x14ac:dyDescent="0.35">
      <c r="A16" s="178" t="s">
        <v>2991</v>
      </c>
      <c r="B16">
        <v>249.6</v>
      </c>
      <c r="C16" s="179">
        <v>275</v>
      </c>
      <c r="D16" s="179">
        <v>68640</v>
      </c>
    </row>
    <row r="17" spans="1:4" x14ac:dyDescent="0.35">
      <c r="A17" s="178" t="s">
        <v>2992</v>
      </c>
      <c r="B17">
        <v>243.07</v>
      </c>
      <c r="C17" s="179">
        <v>275</v>
      </c>
      <c r="D17" s="179">
        <v>66844.25</v>
      </c>
    </row>
    <row r="18" spans="1:4" x14ac:dyDescent="0.35">
      <c r="A18" s="178" t="s">
        <v>2993</v>
      </c>
      <c r="B18">
        <v>1228.44</v>
      </c>
      <c r="C18" s="179">
        <v>297</v>
      </c>
      <c r="D18" s="179">
        <v>364846.68</v>
      </c>
    </row>
    <row r="19" spans="1:4" x14ac:dyDescent="0.35">
      <c r="A19" s="178" t="s">
        <v>2994</v>
      </c>
      <c r="B19">
        <v>527.99</v>
      </c>
      <c r="C19" s="179">
        <v>297</v>
      </c>
      <c r="D19" s="179">
        <v>156813.03</v>
      </c>
    </row>
    <row r="20" spans="1:4" x14ac:dyDescent="0.35">
      <c r="A20" s="178" t="s">
        <v>2995</v>
      </c>
      <c r="B20">
        <v>556.35</v>
      </c>
      <c r="C20" s="179">
        <v>207</v>
      </c>
      <c r="D20" s="179">
        <v>115164.45</v>
      </c>
    </row>
    <row r="21" spans="1:4" x14ac:dyDescent="0.35">
      <c r="A21" s="178" t="s">
        <v>2996</v>
      </c>
      <c r="B21">
        <v>1212.42</v>
      </c>
      <c r="C21" s="179">
        <v>207</v>
      </c>
      <c r="D21" s="179">
        <v>250970.94</v>
      </c>
    </row>
    <row r="22" spans="1:4" x14ac:dyDescent="0.35">
      <c r="A22" s="178" t="s">
        <v>2997</v>
      </c>
      <c r="B22">
        <v>1225.77</v>
      </c>
      <c r="C22" s="179">
        <v>207</v>
      </c>
      <c r="D22" s="179">
        <v>253734.39</v>
      </c>
    </row>
    <row r="23" spans="1:4" x14ac:dyDescent="0.35">
      <c r="A23" s="178" t="s">
        <v>2998</v>
      </c>
      <c r="B23">
        <v>606.07000000000005</v>
      </c>
      <c r="C23" s="179">
        <v>245</v>
      </c>
      <c r="D23" s="179">
        <v>148487.15</v>
      </c>
    </row>
    <row r="24" spans="1:4" x14ac:dyDescent="0.35">
      <c r="A24" s="178" t="s">
        <v>2999</v>
      </c>
      <c r="B24">
        <v>637.91</v>
      </c>
      <c r="C24" s="179">
        <v>245</v>
      </c>
      <c r="D24" s="179">
        <v>156287.95000000001</v>
      </c>
    </row>
    <row r="25" spans="1:4" x14ac:dyDescent="0.35">
      <c r="A25" s="178" t="s">
        <v>3000</v>
      </c>
      <c r="B25">
        <v>388.48</v>
      </c>
      <c r="C25" s="179">
        <v>297</v>
      </c>
      <c r="D25" s="179">
        <v>115378.56</v>
      </c>
    </row>
    <row r="26" spans="1:4" x14ac:dyDescent="0.35">
      <c r="A26" s="178" t="s">
        <v>3001</v>
      </c>
      <c r="B26">
        <v>573.96</v>
      </c>
      <c r="C26" s="179">
        <v>189</v>
      </c>
      <c r="D26" s="179">
        <v>108478.44</v>
      </c>
    </row>
    <row r="27" spans="1:4" x14ac:dyDescent="0.35">
      <c r="A27" s="178" t="s">
        <v>3002</v>
      </c>
      <c r="B27">
        <v>258.36</v>
      </c>
      <c r="C27" s="179">
        <v>292</v>
      </c>
      <c r="D27" s="179">
        <v>75441.119999999995</v>
      </c>
    </row>
    <row r="28" spans="1:4" x14ac:dyDescent="0.35">
      <c r="A28" s="178" t="s">
        <v>3003</v>
      </c>
      <c r="B28">
        <v>284.57</v>
      </c>
      <c r="C28" s="179">
        <v>329</v>
      </c>
      <c r="D28" s="179">
        <v>93623.53</v>
      </c>
    </row>
    <row r="29" spans="1:4" x14ac:dyDescent="0.35">
      <c r="A29" s="178" t="s">
        <v>3004</v>
      </c>
      <c r="B29">
        <v>364.18</v>
      </c>
      <c r="C29" s="179">
        <v>297</v>
      </c>
      <c r="D29" s="179">
        <v>108161.46</v>
      </c>
    </row>
    <row r="30" spans="1:4" x14ac:dyDescent="0.35">
      <c r="A30" s="178" t="s">
        <v>3005</v>
      </c>
      <c r="B30">
        <v>77.09</v>
      </c>
      <c r="C30" s="179">
        <v>278.682708522506</v>
      </c>
      <c r="D30" s="179">
        <v>21483.65</v>
      </c>
    </row>
    <row r="31" spans="1:4" x14ac:dyDescent="0.35">
      <c r="A31" s="178" t="s">
        <v>3006</v>
      </c>
      <c r="B31">
        <v>282.60000000000002</v>
      </c>
      <c r="C31" s="179">
        <v>201</v>
      </c>
      <c r="D31" s="179">
        <v>56802.6</v>
      </c>
    </row>
    <row r="32" spans="1:4" x14ac:dyDescent="0.35">
      <c r="A32" s="178" t="s">
        <v>3007</v>
      </c>
      <c r="B32">
        <v>644.12</v>
      </c>
      <c r="C32" s="179">
        <v>201</v>
      </c>
      <c r="D32" s="179">
        <v>129468.12</v>
      </c>
    </row>
    <row r="33" spans="1:4" x14ac:dyDescent="0.35">
      <c r="A33" s="178" t="s">
        <v>3008</v>
      </c>
      <c r="B33">
        <v>277.19</v>
      </c>
      <c r="C33" s="179">
        <v>217</v>
      </c>
      <c r="D33" s="179">
        <v>60150.23</v>
      </c>
    </row>
    <row r="34" spans="1:4" x14ac:dyDescent="0.35">
      <c r="A34" s="178" t="s">
        <v>3009</v>
      </c>
      <c r="B34">
        <v>270.39999999999998</v>
      </c>
      <c r="C34" s="179">
        <v>217</v>
      </c>
      <c r="D34" s="179">
        <v>58676.800000000003</v>
      </c>
    </row>
    <row r="35" spans="1:4" x14ac:dyDescent="0.35">
      <c r="A35" s="178" t="s">
        <v>3010</v>
      </c>
      <c r="B35">
        <v>1296.02</v>
      </c>
      <c r="C35" s="179">
        <v>178</v>
      </c>
      <c r="D35" s="179">
        <v>230691.56</v>
      </c>
    </row>
    <row r="36" spans="1:4" x14ac:dyDescent="0.35">
      <c r="A36" s="178" t="s">
        <v>3011</v>
      </c>
      <c r="B36">
        <v>963.65</v>
      </c>
      <c r="C36" s="179">
        <v>178</v>
      </c>
      <c r="D36" s="179">
        <v>171529.7</v>
      </c>
    </row>
    <row r="37" spans="1:4" x14ac:dyDescent="0.35">
      <c r="A37" s="178" t="s">
        <v>3012</v>
      </c>
      <c r="B37">
        <v>617.25</v>
      </c>
      <c r="C37" s="179">
        <v>178</v>
      </c>
      <c r="D37" s="179">
        <v>109870.5</v>
      </c>
    </row>
    <row r="38" spans="1:4" x14ac:dyDescent="0.35">
      <c r="A38" s="178" t="s">
        <v>3013</v>
      </c>
      <c r="B38">
        <v>1272.1400000000001</v>
      </c>
      <c r="C38" s="179">
        <v>178</v>
      </c>
      <c r="D38" s="179">
        <v>226440.92</v>
      </c>
    </row>
    <row r="39" spans="1:4" x14ac:dyDescent="0.35">
      <c r="A39" s="178" t="s">
        <v>3014</v>
      </c>
      <c r="B39">
        <v>621.95000000000005</v>
      </c>
      <c r="C39" s="179">
        <v>207</v>
      </c>
      <c r="D39" s="179">
        <v>128743.65</v>
      </c>
    </row>
    <row r="40" spans="1:4" x14ac:dyDescent="0.35">
      <c r="A40" s="178" t="s">
        <v>3015</v>
      </c>
      <c r="B40">
        <v>608.64</v>
      </c>
      <c r="C40" s="179">
        <v>207</v>
      </c>
      <c r="D40" s="179">
        <v>125988.48</v>
      </c>
    </row>
    <row r="41" spans="1:4" x14ac:dyDescent="0.35">
      <c r="A41" s="178" t="s">
        <v>3016</v>
      </c>
      <c r="B41">
        <v>1183.46</v>
      </c>
      <c r="C41" s="179">
        <v>207</v>
      </c>
      <c r="D41" s="179">
        <v>244976.22</v>
      </c>
    </row>
    <row r="42" spans="1:4" x14ac:dyDescent="0.35">
      <c r="A42" s="178" t="s">
        <v>3017</v>
      </c>
      <c r="B42">
        <v>1215.01</v>
      </c>
      <c r="C42" s="179">
        <v>207</v>
      </c>
      <c r="D42" s="179">
        <v>251507.07</v>
      </c>
    </row>
    <row r="43" spans="1:4" x14ac:dyDescent="0.35">
      <c r="A43" s="178" t="s">
        <v>3018</v>
      </c>
      <c r="B43">
        <v>615.30999999999995</v>
      </c>
      <c r="C43" s="179">
        <v>207</v>
      </c>
      <c r="D43" s="179">
        <v>127369.17</v>
      </c>
    </row>
    <row r="44" spans="1:4" x14ac:dyDescent="0.35">
      <c r="A44" s="178" t="s">
        <v>3019</v>
      </c>
      <c r="B44">
        <f>SUM(B5:B43)</f>
        <v>27484.3</v>
      </c>
      <c r="D44" s="179">
        <f>SUM(D5:D43)</f>
        <v>6103468.1000000015</v>
      </c>
    </row>
    <row r="45" spans="1:4" x14ac:dyDescent="0.35">
      <c r="A45" s="178" t="s">
        <v>2877</v>
      </c>
      <c r="B45" s="178" t="s">
        <v>63</v>
      </c>
      <c r="C45" s="180" t="s">
        <v>63</v>
      </c>
    </row>
    <row r="46" spans="1:4" x14ac:dyDescent="0.35">
      <c r="D46" s="179">
        <f>+D44/B44</f>
        <v>222.07107694210882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8"/>
  <sheetViews>
    <sheetView topLeftCell="A22" workbookViewId="0">
      <selection activeCell="D39" sqref="D39"/>
    </sheetView>
  </sheetViews>
  <sheetFormatPr defaultRowHeight="14.5" x14ac:dyDescent="0.35"/>
  <cols>
    <col min="1" max="1" width="43.81640625" customWidth="1"/>
    <col min="3" max="3" width="8.81640625" style="179" bestFit="1" customWidth="1"/>
    <col min="4" max="4" width="13.453125" style="179" customWidth="1"/>
  </cols>
  <sheetData>
    <row r="1" spans="1:4" x14ac:dyDescent="0.35">
      <c r="A1" s="178" t="s">
        <v>61</v>
      </c>
    </row>
    <row r="2" spans="1:4" x14ac:dyDescent="0.35">
      <c r="A2" s="178" t="s">
        <v>2947</v>
      </c>
    </row>
    <row r="3" spans="1:4" x14ac:dyDescent="0.35">
      <c r="A3" s="178" t="s">
        <v>63</v>
      </c>
      <c r="B3" s="178" t="s">
        <v>63</v>
      </c>
      <c r="C3" s="180" t="s">
        <v>63</v>
      </c>
    </row>
    <row r="4" spans="1:4" x14ac:dyDescent="0.35">
      <c r="A4" s="178" t="s">
        <v>2950</v>
      </c>
    </row>
    <row r="5" spans="1:4" x14ac:dyDescent="0.35">
      <c r="A5" s="178"/>
      <c r="B5" s="178" t="s">
        <v>2879</v>
      </c>
      <c r="C5" s="180" t="s">
        <v>2948</v>
      </c>
      <c r="D5" s="180" t="s">
        <v>2949</v>
      </c>
    </row>
    <row r="6" spans="1:4" x14ac:dyDescent="0.35">
      <c r="A6" s="178"/>
      <c r="B6" s="178"/>
      <c r="C6" s="180"/>
    </row>
    <row r="7" spans="1:4" x14ac:dyDescent="0.35">
      <c r="A7" s="178" t="s">
        <v>2951</v>
      </c>
      <c r="B7">
        <v>324.60000000000002</v>
      </c>
      <c r="C7" s="179">
        <v>365</v>
      </c>
      <c r="D7" s="179">
        <v>118479</v>
      </c>
    </row>
    <row r="8" spans="1:4" x14ac:dyDescent="0.35">
      <c r="A8" s="178" t="s">
        <v>2952</v>
      </c>
      <c r="B8">
        <v>19.059999999999999</v>
      </c>
      <c r="C8" s="179">
        <v>345</v>
      </c>
      <c r="D8" s="179">
        <v>6575.7</v>
      </c>
    </row>
    <row r="9" spans="1:4" x14ac:dyDescent="0.35">
      <c r="A9" s="178" t="s">
        <v>2953</v>
      </c>
      <c r="B9">
        <v>214.7</v>
      </c>
      <c r="C9" s="179">
        <v>365</v>
      </c>
      <c r="D9" s="179">
        <v>78365.5</v>
      </c>
    </row>
    <row r="10" spans="1:4" x14ac:dyDescent="0.35">
      <c r="A10" s="178" t="s">
        <v>2954</v>
      </c>
      <c r="B10">
        <v>328.45</v>
      </c>
      <c r="C10" s="179">
        <v>365</v>
      </c>
      <c r="D10" s="179">
        <v>119884.25</v>
      </c>
    </row>
    <row r="11" spans="1:4" x14ac:dyDescent="0.35">
      <c r="A11" s="178" t="s">
        <v>2955</v>
      </c>
      <c r="B11">
        <v>304.58999999999997</v>
      </c>
      <c r="C11" s="179">
        <v>364.43464985718498</v>
      </c>
      <c r="D11" s="179">
        <v>111003.15</v>
      </c>
    </row>
    <row r="12" spans="1:4" x14ac:dyDescent="0.35">
      <c r="A12" s="178" t="s">
        <v>2956</v>
      </c>
      <c r="B12">
        <v>313.02999999999997</v>
      </c>
      <c r="C12" s="179">
        <v>365</v>
      </c>
      <c r="D12" s="179">
        <v>114255.95</v>
      </c>
    </row>
    <row r="13" spans="1:4" x14ac:dyDescent="0.35">
      <c r="A13" s="178" t="s">
        <v>2957</v>
      </c>
      <c r="B13">
        <v>313.62</v>
      </c>
      <c r="C13" s="179">
        <v>364.04342835278402</v>
      </c>
      <c r="D13" s="179">
        <v>114171.3</v>
      </c>
    </row>
    <row r="14" spans="1:4" x14ac:dyDescent="0.35">
      <c r="A14" s="178" t="s">
        <v>2958</v>
      </c>
      <c r="B14">
        <v>311.85000000000002</v>
      </c>
      <c r="C14" s="179">
        <v>365</v>
      </c>
      <c r="D14" s="179">
        <v>113825.25</v>
      </c>
    </row>
    <row r="15" spans="1:4" x14ac:dyDescent="0.35">
      <c r="A15" s="178" t="s">
        <v>2959</v>
      </c>
      <c r="B15">
        <v>289.2</v>
      </c>
      <c r="C15" s="179">
        <v>262</v>
      </c>
      <c r="D15" s="179">
        <v>75770.399999999994</v>
      </c>
    </row>
    <row r="16" spans="1:4" x14ac:dyDescent="0.35">
      <c r="A16" s="178" t="s">
        <v>2960</v>
      </c>
      <c r="B16">
        <v>314.14999999999998</v>
      </c>
      <c r="C16" s="179">
        <v>262</v>
      </c>
      <c r="D16" s="179">
        <v>82307.3</v>
      </c>
    </row>
    <row r="17" spans="1:4" x14ac:dyDescent="0.35">
      <c r="A17" s="178" t="s">
        <v>2961</v>
      </c>
      <c r="B17">
        <v>202.65</v>
      </c>
      <c r="C17" s="179">
        <v>252.12606575324301</v>
      </c>
      <c r="D17" s="179">
        <v>50118</v>
      </c>
    </row>
    <row r="18" spans="1:4" x14ac:dyDescent="0.35">
      <c r="A18" s="178" t="s">
        <v>2962</v>
      </c>
      <c r="B18">
        <v>23.62</v>
      </c>
      <c r="C18" s="179">
        <v>345</v>
      </c>
      <c r="D18" s="179">
        <v>8148.9</v>
      </c>
    </row>
    <row r="19" spans="1:4" x14ac:dyDescent="0.35">
      <c r="A19" s="178" t="s">
        <v>2963</v>
      </c>
      <c r="B19">
        <v>3.65</v>
      </c>
      <c r="C19" s="179">
        <v>345</v>
      </c>
      <c r="D19" s="179">
        <v>1259.25</v>
      </c>
    </row>
    <row r="20" spans="1:4" x14ac:dyDescent="0.35">
      <c r="A20" s="178" t="s">
        <v>2964</v>
      </c>
      <c r="B20">
        <v>318.92</v>
      </c>
      <c r="C20" s="179">
        <v>364.47416279944798</v>
      </c>
      <c r="D20" s="179">
        <v>116238.1</v>
      </c>
    </row>
    <row r="21" spans="1:4" x14ac:dyDescent="0.35">
      <c r="A21" s="178" t="s">
        <v>2965</v>
      </c>
      <c r="B21">
        <v>4.54</v>
      </c>
      <c r="C21" s="179">
        <v>220</v>
      </c>
      <c r="D21" s="179">
        <v>998.8</v>
      </c>
    </row>
    <row r="22" spans="1:4" x14ac:dyDescent="0.35">
      <c r="A22" s="178" t="s">
        <v>2966</v>
      </c>
      <c r="B22">
        <v>199.77</v>
      </c>
      <c r="C22" s="179">
        <v>365</v>
      </c>
      <c r="D22" s="179">
        <v>72916.05</v>
      </c>
    </row>
    <row r="23" spans="1:4" x14ac:dyDescent="0.35">
      <c r="A23" s="178" t="s">
        <v>2967</v>
      </c>
      <c r="B23">
        <v>303.54000000000002</v>
      </c>
      <c r="C23" s="179">
        <v>185</v>
      </c>
      <c r="D23" s="179">
        <v>56154.9</v>
      </c>
    </row>
    <row r="24" spans="1:4" x14ac:dyDescent="0.35">
      <c r="A24" s="178" t="s">
        <v>2968</v>
      </c>
      <c r="B24">
        <v>288.95999999999998</v>
      </c>
      <c r="C24" s="179">
        <v>365</v>
      </c>
      <c r="D24" s="179">
        <v>105470.39999999999</v>
      </c>
    </row>
    <row r="25" spans="1:4" x14ac:dyDescent="0.35">
      <c r="A25" s="178" t="s">
        <v>2969</v>
      </c>
      <c r="B25">
        <v>-319.04000000000002</v>
      </c>
      <c r="C25" s="179">
        <v>365</v>
      </c>
      <c r="D25" s="179">
        <v>-116449.60000000001</v>
      </c>
    </row>
    <row r="26" spans="1:4" x14ac:dyDescent="0.35">
      <c r="A26" s="178" t="s">
        <v>2970</v>
      </c>
      <c r="B26">
        <v>330.99</v>
      </c>
      <c r="C26" s="179">
        <v>365</v>
      </c>
      <c r="D26" s="179">
        <v>120811.35</v>
      </c>
    </row>
    <row r="27" spans="1:4" x14ac:dyDescent="0.35">
      <c r="A27" s="178" t="s">
        <v>2971</v>
      </c>
      <c r="B27">
        <v>326.19</v>
      </c>
      <c r="C27" s="179">
        <v>365</v>
      </c>
      <c r="D27" s="179">
        <v>119059.35</v>
      </c>
    </row>
    <row r="28" spans="1:4" x14ac:dyDescent="0.35">
      <c r="A28" s="178" t="s">
        <v>2972</v>
      </c>
      <c r="B28">
        <v>322.44</v>
      </c>
      <c r="C28" s="179">
        <v>365</v>
      </c>
      <c r="D28" s="179">
        <v>117690.6</v>
      </c>
    </row>
    <row r="29" spans="1:4" x14ac:dyDescent="0.35">
      <c r="A29" s="178" t="s">
        <v>2973</v>
      </c>
      <c r="B29">
        <v>309.2</v>
      </c>
      <c r="C29" s="179">
        <v>365</v>
      </c>
      <c r="D29" s="179">
        <v>112858</v>
      </c>
    </row>
    <row r="30" spans="1:4" x14ac:dyDescent="0.35">
      <c r="A30" s="178" t="s">
        <v>2974</v>
      </c>
      <c r="B30">
        <v>633.67999999999995</v>
      </c>
      <c r="C30" s="179">
        <v>364.91336321171599</v>
      </c>
      <c r="D30" s="179">
        <v>231238.3</v>
      </c>
    </row>
    <row r="31" spans="1:4" x14ac:dyDescent="0.35">
      <c r="A31" s="178" t="s">
        <v>2975</v>
      </c>
      <c r="B31">
        <v>313.13</v>
      </c>
      <c r="C31" s="179">
        <v>365</v>
      </c>
      <c r="D31" s="179">
        <v>114292.45</v>
      </c>
    </row>
    <row r="32" spans="1:4" x14ac:dyDescent="0.35">
      <c r="A32" s="178" t="s">
        <v>2976</v>
      </c>
      <c r="B32">
        <v>339.52</v>
      </c>
      <c r="C32" s="179">
        <v>365</v>
      </c>
      <c r="D32" s="179">
        <v>123924.8</v>
      </c>
    </row>
    <row r="33" spans="1:4" x14ac:dyDescent="0.35">
      <c r="A33" s="178" t="s">
        <v>2977</v>
      </c>
      <c r="B33">
        <v>610.41</v>
      </c>
      <c r="C33" s="179">
        <v>365</v>
      </c>
      <c r="D33" s="179">
        <v>222799.65</v>
      </c>
    </row>
    <row r="34" spans="1:4" x14ac:dyDescent="0.35">
      <c r="A34" s="178" t="s">
        <v>2978</v>
      </c>
      <c r="B34">
        <v>331.92</v>
      </c>
      <c r="C34" s="179">
        <v>365</v>
      </c>
      <c r="D34" s="179">
        <v>121150.8</v>
      </c>
    </row>
    <row r="35" spans="1:4" x14ac:dyDescent="0.35">
      <c r="A35" s="178"/>
    </row>
    <row r="36" spans="1:4" x14ac:dyDescent="0.35">
      <c r="A36" s="178" t="s">
        <v>2877</v>
      </c>
      <c r="B36" s="178" t="s">
        <v>63</v>
      </c>
      <c r="C36" s="180" t="s">
        <v>63</v>
      </c>
    </row>
    <row r="37" spans="1:4" x14ac:dyDescent="0.35">
      <c r="B37">
        <f>SUM(B7:B36)</f>
        <v>7277.3399999999983</v>
      </c>
      <c r="D37" s="179">
        <f>SUM(D7:D36)</f>
        <v>2513317.9</v>
      </c>
    </row>
    <row r="38" spans="1:4" x14ac:dyDescent="0.35">
      <c r="D38" s="179">
        <f>+D37/B37</f>
        <v>345.36216529666063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19"/>
  <sheetViews>
    <sheetView workbookViewId="0">
      <selection activeCell="J8" sqref="J8"/>
    </sheetView>
  </sheetViews>
  <sheetFormatPr defaultRowHeight="14.5" x14ac:dyDescent="0.35"/>
  <cols>
    <col min="1" max="1" width="23" customWidth="1"/>
    <col min="2" max="2" width="9.81640625" style="126" bestFit="1" customWidth="1"/>
    <col min="3" max="3" width="15.81640625" style="179" customWidth="1"/>
    <col min="10" max="10" width="13.7265625" customWidth="1"/>
    <col min="11" max="11" width="12.81640625" customWidth="1"/>
    <col min="12" max="12" width="11.54296875" customWidth="1"/>
    <col min="13" max="13" width="8.90625" customWidth="1"/>
  </cols>
  <sheetData>
    <row r="1" spans="1:13" x14ac:dyDescent="0.35">
      <c r="A1" s="178"/>
    </row>
    <row r="2" spans="1:13" x14ac:dyDescent="0.35">
      <c r="A2" s="178"/>
      <c r="B2" s="79"/>
      <c r="C2" s="206"/>
      <c r="I2" s="222"/>
    </row>
    <row r="3" spans="1:13" x14ac:dyDescent="0.35">
      <c r="A3" s="178"/>
      <c r="B3" s="208"/>
      <c r="C3" s="209"/>
      <c r="D3" s="178"/>
      <c r="E3" s="178"/>
      <c r="F3" s="178"/>
    </row>
    <row r="4" spans="1:13" x14ac:dyDescent="0.35">
      <c r="A4" s="178"/>
      <c r="I4" s="223"/>
    </row>
    <row r="5" spans="1:13" x14ac:dyDescent="0.35">
      <c r="A5" s="178"/>
      <c r="I5" s="223"/>
    </row>
    <row r="6" spans="1:13" x14ac:dyDescent="0.35">
      <c r="A6" s="178"/>
    </row>
    <row r="7" spans="1:13" ht="49" customHeight="1" x14ac:dyDescent="0.35">
      <c r="A7" s="178"/>
      <c r="J7" s="225"/>
      <c r="K7" s="225"/>
      <c r="L7" s="225"/>
      <c r="M7" s="225"/>
    </row>
    <row r="8" spans="1:13" x14ac:dyDescent="0.35">
      <c r="A8" s="178"/>
      <c r="I8" s="224"/>
      <c r="J8" s="221"/>
      <c r="K8" s="221"/>
      <c r="L8" s="221"/>
      <c r="M8" s="171"/>
    </row>
    <row r="9" spans="1:13" x14ac:dyDescent="0.35">
      <c r="A9" s="178"/>
      <c r="I9" s="224"/>
      <c r="J9" s="221"/>
      <c r="K9" s="221"/>
      <c r="L9" s="221"/>
      <c r="M9" s="171"/>
    </row>
    <row r="10" spans="1:13" x14ac:dyDescent="0.35">
      <c r="A10" s="178"/>
    </row>
    <row r="11" spans="1:13" x14ac:dyDescent="0.35">
      <c r="A11" s="178"/>
    </row>
    <row r="12" spans="1:13" x14ac:dyDescent="0.35">
      <c r="A12" s="178"/>
    </row>
    <row r="13" spans="1:13" x14ac:dyDescent="0.35">
      <c r="A13" s="178"/>
    </row>
    <row r="14" spans="1:13" x14ac:dyDescent="0.35">
      <c r="A14" s="178"/>
    </row>
    <row r="15" spans="1:13" x14ac:dyDescent="0.35">
      <c r="A15" s="178"/>
    </row>
    <row r="16" spans="1:13" x14ac:dyDescent="0.35">
      <c r="A16" s="178"/>
    </row>
    <row r="17" spans="1:1" x14ac:dyDescent="0.35">
      <c r="A17" s="178"/>
    </row>
    <row r="18" spans="1:1" x14ac:dyDescent="0.35">
      <c r="A18" s="178"/>
    </row>
    <row r="19" spans="1:1" x14ac:dyDescent="0.35">
      <c r="A19" s="178"/>
    </row>
    <row r="20" spans="1:1" x14ac:dyDescent="0.35">
      <c r="A20" s="178"/>
    </row>
    <row r="21" spans="1:1" x14ac:dyDescent="0.35">
      <c r="A21" s="178"/>
    </row>
    <row r="22" spans="1:1" x14ac:dyDescent="0.35">
      <c r="A22" s="178"/>
    </row>
    <row r="23" spans="1:1" x14ac:dyDescent="0.35">
      <c r="A23" s="178"/>
    </row>
    <row r="24" spans="1:1" x14ac:dyDescent="0.35">
      <c r="A24" s="178"/>
    </row>
    <row r="25" spans="1:1" x14ac:dyDescent="0.35">
      <c r="A25" s="178"/>
    </row>
    <row r="26" spans="1:1" x14ac:dyDescent="0.35">
      <c r="A26" s="178"/>
    </row>
    <row r="27" spans="1:1" x14ac:dyDescent="0.35">
      <c r="A27" s="178"/>
    </row>
    <row r="28" spans="1:1" x14ac:dyDescent="0.35">
      <c r="A28" s="178"/>
    </row>
    <row r="29" spans="1:1" x14ac:dyDescent="0.35">
      <c r="A29" s="178"/>
    </row>
    <row r="30" spans="1:1" x14ac:dyDescent="0.35">
      <c r="A30" s="178"/>
    </row>
    <row r="31" spans="1:1" x14ac:dyDescent="0.35">
      <c r="A31" s="178"/>
    </row>
    <row r="32" spans="1:1" x14ac:dyDescent="0.35">
      <c r="A32" s="178"/>
    </row>
    <row r="33" spans="1:1" x14ac:dyDescent="0.35">
      <c r="A33" s="178"/>
    </row>
    <row r="34" spans="1:1" x14ac:dyDescent="0.35">
      <c r="A34" s="178"/>
    </row>
    <row r="35" spans="1:1" x14ac:dyDescent="0.35">
      <c r="A35" s="178"/>
    </row>
    <row r="36" spans="1:1" x14ac:dyDescent="0.35">
      <c r="A36" s="178"/>
    </row>
    <row r="37" spans="1:1" x14ac:dyDescent="0.35">
      <c r="A37" s="178"/>
    </row>
    <row r="38" spans="1:1" x14ac:dyDescent="0.35">
      <c r="A38" s="178"/>
    </row>
    <row r="39" spans="1:1" x14ac:dyDescent="0.35">
      <c r="A39" s="178"/>
    </row>
    <row r="40" spans="1:1" x14ac:dyDescent="0.35">
      <c r="A40" s="178"/>
    </row>
    <row r="41" spans="1:1" x14ac:dyDescent="0.35">
      <c r="A41" s="178"/>
    </row>
    <row r="42" spans="1:1" x14ac:dyDescent="0.35">
      <c r="A42" s="178"/>
    </row>
    <row r="43" spans="1:1" x14ac:dyDescent="0.35">
      <c r="A43" s="178"/>
    </row>
    <row r="44" spans="1:1" x14ac:dyDescent="0.35">
      <c r="A44" s="178"/>
    </row>
    <row r="45" spans="1:1" x14ac:dyDescent="0.35">
      <c r="A45" s="178"/>
    </row>
    <row r="46" spans="1:1" x14ac:dyDescent="0.35">
      <c r="A46" s="178"/>
    </row>
    <row r="47" spans="1:1" x14ac:dyDescent="0.35">
      <c r="A47" s="178"/>
    </row>
    <row r="48" spans="1:1" x14ac:dyDescent="0.35">
      <c r="A48" s="178"/>
    </row>
    <row r="49" spans="1:1" x14ac:dyDescent="0.35">
      <c r="A49" s="178"/>
    </row>
    <row r="50" spans="1:1" x14ac:dyDescent="0.35">
      <c r="A50" s="178"/>
    </row>
    <row r="51" spans="1:1" x14ac:dyDescent="0.35">
      <c r="A51" s="178"/>
    </row>
    <row r="52" spans="1:1" x14ac:dyDescent="0.35">
      <c r="A52" s="178"/>
    </row>
    <row r="53" spans="1:1" x14ac:dyDescent="0.35">
      <c r="A53" s="178"/>
    </row>
    <row r="54" spans="1:1" x14ac:dyDescent="0.35">
      <c r="A54" s="178"/>
    </row>
    <row r="55" spans="1:1" x14ac:dyDescent="0.35">
      <c r="A55" s="178"/>
    </row>
    <row r="56" spans="1:1" x14ac:dyDescent="0.35">
      <c r="A56" s="178"/>
    </row>
    <row r="57" spans="1:1" x14ac:dyDescent="0.35">
      <c r="A57" s="178"/>
    </row>
    <row r="58" spans="1:1" x14ac:dyDescent="0.35">
      <c r="A58" s="178"/>
    </row>
    <row r="59" spans="1:1" x14ac:dyDescent="0.35">
      <c r="A59" s="178"/>
    </row>
    <row r="60" spans="1:1" x14ac:dyDescent="0.35">
      <c r="A60" s="178"/>
    </row>
    <row r="61" spans="1:1" x14ac:dyDescent="0.35">
      <c r="A61" s="178"/>
    </row>
    <row r="62" spans="1:1" x14ac:dyDescent="0.35">
      <c r="A62" s="178"/>
    </row>
    <row r="63" spans="1:1" x14ac:dyDescent="0.35">
      <c r="A63" s="178"/>
    </row>
    <row r="64" spans="1:1" x14ac:dyDescent="0.35">
      <c r="A64" s="178"/>
    </row>
    <row r="65" spans="1:1" x14ac:dyDescent="0.35">
      <c r="A65" s="178"/>
    </row>
    <row r="66" spans="1:1" x14ac:dyDescent="0.35">
      <c r="A66" s="178"/>
    </row>
    <row r="67" spans="1:1" x14ac:dyDescent="0.35">
      <c r="A67" s="178"/>
    </row>
    <row r="68" spans="1:1" x14ac:dyDescent="0.35">
      <c r="A68" s="178"/>
    </row>
    <row r="69" spans="1:1" x14ac:dyDescent="0.35">
      <c r="A69" s="178"/>
    </row>
    <row r="70" spans="1:1" x14ac:dyDescent="0.35">
      <c r="A70" s="178"/>
    </row>
    <row r="71" spans="1:1" x14ac:dyDescent="0.35">
      <c r="A71" s="178"/>
    </row>
    <row r="72" spans="1:1" x14ac:dyDescent="0.35">
      <c r="A72" s="178"/>
    </row>
    <row r="73" spans="1:1" x14ac:dyDescent="0.35">
      <c r="A73" s="178"/>
    </row>
    <row r="74" spans="1:1" x14ac:dyDescent="0.35">
      <c r="A74" s="178"/>
    </row>
    <row r="75" spans="1:1" x14ac:dyDescent="0.35">
      <c r="A75" s="178"/>
    </row>
    <row r="76" spans="1:1" x14ac:dyDescent="0.35">
      <c r="A76" s="178"/>
    </row>
    <row r="77" spans="1:1" x14ac:dyDescent="0.35">
      <c r="A77" s="178"/>
    </row>
    <row r="78" spans="1:1" x14ac:dyDescent="0.35">
      <c r="A78" s="178"/>
    </row>
    <row r="79" spans="1:1" x14ac:dyDescent="0.35">
      <c r="A79" s="178"/>
    </row>
    <row r="80" spans="1:1" x14ac:dyDescent="0.35">
      <c r="A80" s="178"/>
    </row>
    <row r="81" spans="1:1" x14ac:dyDescent="0.35">
      <c r="A81" s="178"/>
    </row>
    <row r="82" spans="1:1" x14ac:dyDescent="0.35">
      <c r="A82" s="178"/>
    </row>
    <row r="83" spans="1:1" x14ac:dyDescent="0.35">
      <c r="A83" s="178"/>
    </row>
    <row r="84" spans="1:1" x14ac:dyDescent="0.35">
      <c r="A84" s="178"/>
    </row>
    <row r="85" spans="1:1" x14ac:dyDescent="0.35">
      <c r="A85" s="178"/>
    </row>
    <row r="86" spans="1:1" x14ac:dyDescent="0.35">
      <c r="A86" s="178"/>
    </row>
    <row r="87" spans="1:1" x14ac:dyDescent="0.35">
      <c r="A87" s="178"/>
    </row>
    <row r="88" spans="1:1" x14ac:dyDescent="0.35">
      <c r="A88" s="178"/>
    </row>
    <row r="89" spans="1:1" x14ac:dyDescent="0.35">
      <c r="A89" s="178"/>
    </row>
    <row r="90" spans="1:1" x14ac:dyDescent="0.35">
      <c r="A90" s="178"/>
    </row>
    <row r="91" spans="1:1" x14ac:dyDescent="0.35">
      <c r="A91" s="178"/>
    </row>
    <row r="92" spans="1:1" x14ac:dyDescent="0.35">
      <c r="A92" s="178"/>
    </row>
    <row r="93" spans="1:1" x14ac:dyDescent="0.35">
      <c r="A93" s="178"/>
    </row>
    <row r="94" spans="1:1" x14ac:dyDescent="0.35">
      <c r="A94" s="178"/>
    </row>
    <row r="95" spans="1:1" x14ac:dyDescent="0.35">
      <c r="A95" s="178"/>
    </row>
    <row r="96" spans="1:1" x14ac:dyDescent="0.35">
      <c r="A96" s="178"/>
    </row>
    <row r="97" spans="1:1" x14ac:dyDescent="0.35">
      <c r="A97" s="178"/>
    </row>
    <row r="98" spans="1:1" x14ac:dyDescent="0.35">
      <c r="A98" s="178"/>
    </row>
    <row r="99" spans="1:1" x14ac:dyDescent="0.35">
      <c r="A99" s="178"/>
    </row>
    <row r="100" spans="1:1" x14ac:dyDescent="0.35">
      <c r="A100" s="178"/>
    </row>
    <row r="101" spans="1:1" x14ac:dyDescent="0.35">
      <c r="A101" s="178"/>
    </row>
    <row r="102" spans="1:1" x14ac:dyDescent="0.35">
      <c r="A102" s="178"/>
    </row>
    <row r="103" spans="1:1" x14ac:dyDescent="0.35">
      <c r="A103" s="178"/>
    </row>
    <row r="104" spans="1:1" x14ac:dyDescent="0.35">
      <c r="A104" s="178"/>
    </row>
    <row r="105" spans="1:1" x14ac:dyDescent="0.35">
      <c r="A105" s="178"/>
    </row>
    <row r="106" spans="1:1" x14ac:dyDescent="0.35">
      <c r="A106" s="178"/>
    </row>
    <row r="107" spans="1:1" x14ac:dyDescent="0.35">
      <c r="A107" s="178"/>
    </row>
    <row r="108" spans="1:1" x14ac:dyDescent="0.35">
      <c r="A108" s="178"/>
    </row>
    <row r="109" spans="1:1" x14ac:dyDescent="0.35">
      <c r="A109" s="178"/>
    </row>
    <row r="110" spans="1:1" x14ac:dyDescent="0.35">
      <c r="A110" s="178"/>
    </row>
    <row r="111" spans="1:1" x14ac:dyDescent="0.35">
      <c r="A111" s="178"/>
    </row>
    <row r="112" spans="1:1" x14ac:dyDescent="0.35">
      <c r="A112" s="178"/>
    </row>
    <row r="113" spans="1:1" x14ac:dyDescent="0.35">
      <c r="A113" s="178"/>
    </row>
    <row r="114" spans="1:1" x14ac:dyDescent="0.35">
      <c r="A114" s="178"/>
    </row>
    <row r="115" spans="1:1" x14ac:dyDescent="0.35">
      <c r="A115" s="178"/>
    </row>
    <row r="116" spans="1:1" x14ac:dyDescent="0.35">
      <c r="A116" s="178"/>
    </row>
    <row r="117" spans="1:1" x14ac:dyDescent="0.35">
      <c r="A117" s="178"/>
    </row>
    <row r="118" spans="1:1" x14ac:dyDescent="0.35">
      <c r="A118" s="178"/>
    </row>
    <row r="119" spans="1:1" x14ac:dyDescent="0.35">
      <c r="A119" s="178"/>
    </row>
    <row r="120" spans="1:1" x14ac:dyDescent="0.35">
      <c r="A120" s="178"/>
    </row>
    <row r="121" spans="1:1" x14ac:dyDescent="0.35">
      <c r="A121" s="178"/>
    </row>
    <row r="122" spans="1:1" x14ac:dyDescent="0.35">
      <c r="A122" s="178"/>
    </row>
    <row r="123" spans="1:1" x14ac:dyDescent="0.35">
      <c r="A123" s="178"/>
    </row>
    <row r="124" spans="1:1" x14ac:dyDescent="0.35">
      <c r="A124" s="178"/>
    </row>
    <row r="125" spans="1:1" x14ac:dyDescent="0.35">
      <c r="A125" s="178"/>
    </row>
    <row r="126" spans="1:1" x14ac:dyDescent="0.35">
      <c r="A126" s="178"/>
    </row>
    <row r="127" spans="1:1" x14ac:dyDescent="0.35">
      <c r="A127" s="178"/>
    </row>
    <row r="128" spans="1:1" x14ac:dyDescent="0.35">
      <c r="A128" s="178"/>
    </row>
    <row r="129" spans="1:1" x14ac:dyDescent="0.35">
      <c r="A129" s="178"/>
    </row>
    <row r="130" spans="1:1" x14ac:dyDescent="0.35">
      <c r="A130" s="178"/>
    </row>
    <row r="131" spans="1:1" x14ac:dyDescent="0.35">
      <c r="A131" s="178"/>
    </row>
    <row r="132" spans="1:1" x14ac:dyDescent="0.35">
      <c r="A132" s="178"/>
    </row>
    <row r="133" spans="1:1" x14ac:dyDescent="0.35">
      <c r="A133" s="178"/>
    </row>
    <row r="134" spans="1:1" x14ac:dyDescent="0.35">
      <c r="A134" s="178"/>
    </row>
    <row r="135" spans="1:1" x14ac:dyDescent="0.35">
      <c r="A135" s="178"/>
    </row>
    <row r="136" spans="1:1" x14ac:dyDescent="0.35">
      <c r="A136" s="178"/>
    </row>
    <row r="137" spans="1:1" x14ac:dyDescent="0.35">
      <c r="A137" s="178"/>
    </row>
    <row r="138" spans="1:1" x14ac:dyDescent="0.35">
      <c r="A138" s="178"/>
    </row>
    <row r="139" spans="1:1" x14ac:dyDescent="0.35">
      <c r="A139" s="178"/>
    </row>
    <row r="140" spans="1:1" x14ac:dyDescent="0.35">
      <c r="A140" s="178"/>
    </row>
    <row r="141" spans="1:1" x14ac:dyDescent="0.35">
      <c r="A141" s="178"/>
    </row>
    <row r="142" spans="1:1" x14ac:dyDescent="0.35">
      <c r="A142" s="178"/>
    </row>
    <row r="143" spans="1:1" x14ac:dyDescent="0.35">
      <c r="A143" s="178"/>
    </row>
    <row r="144" spans="1:1" x14ac:dyDescent="0.35">
      <c r="A144" s="178"/>
    </row>
    <row r="145" spans="1:1" x14ac:dyDescent="0.35">
      <c r="A145" s="178"/>
    </row>
    <row r="146" spans="1:1" x14ac:dyDescent="0.35">
      <c r="A146" s="178"/>
    </row>
    <row r="147" spans="1:1" x14ac:dyDescent="0.35">
      <c r="A147" s="178"/>
    </row>
    <row r="148" spans="1:1" x14ac:dyDescent="0.35">
      <c r="A148" s="178"/>
    </row>
    <row r="149" spans="1:1" x14ac:dyDescent="0.35">
      <c r="A149" s="178"/>
    </row>
    <row r="150" spans="1:1" x14ac:dyDescent="0.35">
      <c r="A150" s="178"/>
    </row>
    <row r="151" spans="1:1" x14ac:dyDescent="0.35">
      <c r="A151" s="178"/>
    </row>
    <row r="152" spans="1:1" x14ac:dyDescent="0.35">
      <c r="A152" s="178"/>
    </row>
    <row r="153" spans="1:1" x14ac:dyDescent="0.35">
      <c r="A153" s="178"/>
    </row>
    <row r="154" spans="1:1" x14ac:dyDescent="0.35">
      <c r="A154" s="178"/>
    </row>
    <row r="155" spans="1:1" x14ac:dyDescent="0.35">
      <c r="A155" s="178"/>
    </row>
    <row r="156" spans="1:1" x14ac:dyDescent="0.35">
      <c r="A156" s="178"/>
    </row>
    <row r="157" spans="1:1" x14ac:dyDescent="0.35">
      <c r="A157" s="178"/>
    </row>
    <row r="158" spans="1:1" x14ac:dyDescent="0.35">
      <c r="A158" s="178"/>
    </row>
    <row r="159" spans="1:1" x14ac:dyDescent="0.35">
      <c r="A159" s="178"/>
    </row>
    <row r="160" spans="1:1" x14ac:dyDescent="0.35">
      <c r="A160" s="178"/>
    </row>
    <row r="161" spans="1:1" x14ac:dyDescent="0.35">
      <c r="A161" s="178"/>
    </row>
    <row r="162" spans="1:1" x14ac:dyDescent="0.35">
      <c r="A162" s="178"/>
    </row>
    <row r="163" spans="1:1" x14ac:dyDescent="0.35">
      <c r="A163" s="178"/>
    </row>
    <row r="164" spans="1:1" x14ac:dyDescent="0.35">
      <c r="A164" s="178"/>
    </row>
    <row r="165" spans="1:1" x14ac:dyDescent="0.35">
      <c r="A165" s="178"/>
    </row>
    <row r="166" spans="1:1" x14ac:dyDescent="0.35">
      <c r="A166" s="178"/>
    </row>
    <row r="167" spans="1:1" x14ac:dyDescent="0.35">
      <c r="A167" s="178"/>
    </row>
    <row r="168" spans="1:1" x14ac:dyDescent="0.35">
      <c r="A168" s="178"/>
    </row>
    <row r="169" spans="1:1" x14ac:dyDescent="0.35">
      <c r="A169" s="178"/>
    </row>
    <row r="170" spans="1:1" x14ac:dyDescent="0.35">
      <c r="A170" s="178"/>
    </row>
    <row r="171" spans="1:1" x14ac:dyDescent="0.35">
      <c r="A171" s="178"/>
    </row>
    <row r="172" spans="1:1" x14ac:dyDescent="0.35">
      <c r="A172" s="178"/>
    </row>
    <row r="173" spans="1:1" x14ac:dyDescent="0.35">
      <c r="A173" s="178"/>
    </row>
    <row r="174" spans="1:1" x14ac:dyDescent="0.35">
      <c r="A174" s="178"/>
    </row>
    <row r="175" spans="1:1" x14ac:dyDescent="0.35">
      <c r="A175" s="178"/>
    </row>
    <row r="176" spans="1:1" x14ac:dyDescent="0.35">
      <c r="A176" s="178"/>
    </row>
    <row r="177" spans="1:1" x14ac:dyDescent="0.35">
      <c r="A177" s="178"/>
    </row>
    <row r="178" spans="1:1" x14ac:dyDescent="0.35">
      <c r="A178" s="178"/>
    </row>
    <row r="179" spans="1:1" x14ac:dyDescent="0.35">
      <c r="A179" s="178"/>
    </row>
    <row r="180" spans="1:1" x14ac:dyDescent="0.35">
      <c r="A180" s="178"/>
    </row>
    <row r="181" spans="1:1" x14ac:dyDescent="0.35">
      <c r="A181" s="178"/>
    </row>
    <row r="182" spans="1:1" x14ac:dyDescent="0.35">
      <c r="A182" s="178"/>
    </row>
    <row r="183" spans="1:1" x14ac:dyDescent="0.35">
      <c r="A183" s="178"/>
    </row>
    <row r="184" spans="1:1" x14ac:dyDescent="0.35">
      <c r="A184" s="178"/>
    </row>
    <row r="185" spans="1:1" x14ac:dyDescent="0.35">
      <c r="A185" s="178"/>
    </row>
    <row r="186" spans="1:1" x14ac:dyDescent="0.35">
      <c r="A186" s="178"/>
    </row>
    <row r="187" spans="1:1" x14ac:dyDescent="0.35">
      <c r="A187" s="178"/>
    </row>
    <row r="188" spans="1:1" x14ac:dyDescent="0.35">
      <c r="A188" s="178"/>
    </row>
    <row r="189" spans="1:1" x14ac:dyDescent="0.35">
      <c r="A189" s="178"/>
    </row>
    <row r="190" spans="1:1" x14ac:dyDescent="0.35">
      <c r="A190" s="178"/>
    </row>
    <row r="191" spans="1:1" x14ac:dyDescent="0.35">
      <c r="A191" s="178"/>
    </row>
    <row r="192" spans="1:1" x14ac:dyDescent="0.35">
      <c r="A192" s="178"/>
    </row>
    <row r="193" spans="1:1" x14ac:dyDescent="0.35">
      <c r="A193" s="178"/>
    </row>
    <row r="194" spans="1:1" x14ac:dyDescent="0.35">
      <c r="A194" s="178"/>
    </row>
    <row r="195" spans="1:1" x14ac:dyDescent="0.35">
      <c r="A195" s="178"/>
    </row>
    <row r="196" spans="1:1" x14ac:dyDescent="0.35">
      <c r="A196" s="178"/>
    </row>
    <row r="197" spans="1:1" x14ac:dyDescent="0.35">
      <c r="A197" s="178"/>
    </row>
    <row r="198" spans="1:1" x14ac:dyDescent="0.35">
      <c r="A198" s="178"/>
    </row>
    <row r="199" spans="1:1" x14ac:dyDescent="0.35">
      <c r="A199" s="178"/>
    </row>
    <row r="200" spans="1:1" x14ac:dyDescent="0.35">
      <c r="A200" s="178"/>
    </row>
    <row r="201" spans="1:1" x14ac:dyDescent="0.35">
      <c r="A201" s="178"/>
    </row>
    <row r="202" spans="1:1" x14ac:dyDescent="0.35">
      <c r="A202" s="178"/>
    </row>
    <row r="203" spans="1:1" x14ac:dyDescent="0.35">
      <c r="A203" s="178"/>
    </row>
    <row r="204" spans="1:1" x14ac:dyDescent="0.35">
      <c r="A204" s="178"/>
    </row>
    <row r="205" spans="1:1" x14ac:dyDescent="0.35">
      <c r="A205" s="178"/>
    </row>
    <row r="206" spans="1:1" x14ac:dyDescent="0.35">
      <c r="A206" s="178"/>
    </row>
    <row r="207" spans="1:1" x14ac:dyDescent="0.35">
      <c r="A207" s="178"/>
    </row>
    <row r="208" spans="1:1" x14ac:dyDescent="0.35">
      <c r="A208" s="178"/>
    </row>
    <row r="209" spans="1:1" x14ac:dyDescent="0.35">
      <c r="A209" s="178"/>
    </row>
    <row r="210" spans="1:1" x14ac:dyDescent="0.35">
      <c r="A210" s="178"/>
    </row>
    <row r="211" spans="1:1" x14ac:dyDescent="0.35">
      <c r="A211" s="178"/>
    </row>
    <row r="212" spans="1:1" x14ac:dyDescent="0.35">
      <c r="A212" s="178"/>
    </row>
    <row r="213" spans="1:1" x14ac:dyDescent="0.35">
      <c r="A213" s="178"/>
    </row>
    <row r="214" spans="1:1" x14ac:dyDescent="0.35">
      <c r="A214" s="178"/>
    </row>
    <row r="215" spans="1:1" x14ac:dyDescent="0.35">
      <c r="A215" s="178"/>
    </row>
    <row r="216" spans="1:1" x14ac:dyDescent="0.35">
      <c r="A216" s="178"/>
    </row>
    <row r="217" spans="1:1" x14ac:dyDescent="0.35">
      <c r="A217" s="178"/>
    </row>
    <row r="218" spans="1:1" x14ac:dyDescent="0.35">
      <c r="A218" s="178"/>
    </row>
    <row r="219" spans="1:1" x14ac:dyDescent="0.35">
      <c r="A219" s="178"/>
    </row>
    <row r="220" spans="1:1" x14ac:dyDescent="0.35">
      <c r="A220" s="178"/>
    </row>
    <row r="221" spans="1:1" x14ac:dyDescent="0.35">
      <c r="A221" s="178"/>
    </row>
    <row r="222" spans="1:1" x14ac:dyDescent="0.35">
      <c r="A222" s="178"/>
    </row>
    <row r="223" spans="1:1" x14ac:dyDescent="0.35">
      <c r="A223" s="178"/>
    </row>
    <row r="224" spans="1:1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1" x14ac:dyDescent="0.35">
      <c r="A257" s="178"/>
    </row>
    <row r="258" spans="1:1" x14ac:dyDescent="0.35">
      <c r="A258" s="178"/>
    </row>
    <row r="259" spans="1:1" x14ac:dyDescent="0.35">
      <c r="A259" s="178"/>
    </row>
    <row r="260" spans="1:1" x14ac:dyDescent="0.35">
      <c r="A260" s="178"/>
    </row>
    <row r="261" spans="1:1" x14ac:dyDescent="0.35">
      <c r="A261" s="178"/>
    </row>
    <row r="262" spans="1:1" x14ac:dyDescent="0.35">
      <c r="A262" s="178"/>
    </row>
    <row r="263" spans="1:1" x14ac:dyDescent="0.35">
      <c r="A263" s="178"/>
    </row>
    <row r="264" spans="1:1" x14ac:dyDescent="0.35">
      <c r="A264" s="178"/>
    </row>
    <row r="265" spans="1:1" x14ac:dyDescent="0.35">
      <c r="A265" s="178"/>
    </row>
    <row r="266" spans="1:1" x14ac:dyDescent="0.35">
      <c r="A266" s="178"/>
    </row>
    <row r="267" spans="1:1" x14ac:dyDescent="0.35">
      <c r="A267" s="178"/>
    </row>
    <row r="268" spans="1:1" x14ac:dyDescent="0.35">
      <c r="A268" s="178"/>
    </row>
    <row r="269" spans="1:1" x14ac:dyDescent="0.35">
      <c r="A269" s="178"/>
    </row>
    <row r="270" spans="1:1" x14ac:dyDescent="0.35">
      <c r="A270" s="178"/>
    </row>
    <row r="271" spans="1:1" x14ac:dyDescent="0.35">
      <c r="A271" s="178"/>
    </row>
    <row r="272" spans="1:1" x14ac:dyDescent="0.35">
      <c r="A272" s="178"/>
    </row>
    <row r="273" spans="1:1" x14ac:dyDescent="0.35">
      <c r="A273" s="178"/>
    </row>
    <row r="274" spans="1:1" x14ac:dyDescent="0.35">
      <c r="A274" s="178"/>
    </row>
    <row r="275" spans="1:1" x14ac:dyDescent="0.35">
      <c r="A275" s="178"/>
    </row>
    <row r="276" spans="1:1" x14ac:dyDescent="0.35">
      <c r="A276" s="178"/>
    </row>
    <row r="277" spans="1:1" x14ac:dyDescent="0.35">
      <c r="A277" s="178"/>
    </row>
    <row r="278" spans="1:1" x14ac:dyDescent="0.35">
      <c r="A278" s="178"/>
    </row>
    <row r="279" spans="1:1" x14ac:dyDescent="0.35">
      <c r="A279" s="178"/>
    </row>
    <row r="280" spans="1:1" x14ac:dyDescent="0.35">
      <c r="A280" s="178"/>
    </row>
    <row r="281" spans="1:1" x14ac:dyDescent="0.35">
      <c r="A281" s="178"/>
    </row>
    <row r="282" spans="1:1" x14ac:dyDescent="0.35">
      <c r="A282" s="178"/>
    </row>
    <row r="283" spans="1:1" x14ac:dyDescent="0.35">
      <c r="A283" s="178"/>
    </row>
    <row r="284" spans="1:1" x14ac:dyDescent="0.35">
      <c r="A284" s="178"/>
    </row>
    <row r="285" spans="1:1" x14ac:dyDescent="0.35">
      <c r="A285" s="178"/>
    </row>
    <row r="286" spans="1:1" x14ac:dyDescent="0.35">
      <c r="A286" s="178"/>
    </row>
    <row r="287" spans="1:1" x14ac:dyDescent="0.35">
      <c r="A287" s="178"/>
    </row>
    <row r="288" spans="1:1" x14ac:dyDescent="0.35">
      <c r="A288" s="178"/>
    </row>
    <row r="289" spans="1:1" x14ac:dyDescent="0.35">
      <c r="A289" s="178"/>
    </row>
    <row r="290" spans="1:1" x14ac:dyDescent="0.35">
      <c r="A290" s="178"/>
    </row>
    <row r="291" spans="1:1" x14ac:dyDescent="0.35">
      <c r="A291" s="178"/>
    </row>
    <row r="292" spans="1:1" x14ac:dyDescent="0.35">
      <c r="A292" s="178"/>
    </row>
    <row r="293" spans="1:1" x14ac:dyDescent="0.35">
      <c r="A293" s="178"/>
    </row>
    <row r="294" spans="1:1" x14ac:dyDescent="0.35">
      <c r="A294" s="178"/>
    </row>
    <row r="295" spans="1:1" x14ac:dyDescent="0.35">
      <c r="A295" s="178"/>
    </row>
    <row r="296" spans="1:1" x14ac:dyDescent="0.35">
      <c r="A296" s="178"/>
    </row>
    <row r="297" spans="1:1" x14ac:dyDescent="0.35">
      <c r="A297" s="178"/>
    </row>
    <row r="298" spans="1:1" x14ac:dyDescent="0.35">
      <c r="A298" s="178"/>
    </row>
    <row r="299" spans="1:1" x14ac:dyDescent="0.35">
      <c r="A299" s="178"/>
    </row>
    <row r="300" spans="1:1" x14ac:dyDescent="0.35">
      <c r="A300" s="178"/>
    </row>
    <row r="301" spans="1:1" x14ac:dyDescent="0.35">
      <c r="A301" s="178"/>
    </row>
    <row r="302" spans="1:1" x14ac:dyDescent="0.35">
      <c r="A302" s="178"/>
    </row>
    <row r="303" spans="1:1" x14ac:dyDescent="0.35">
      <c r="A303" s="178"/>
    </row>
    <row r="304" spans="1:1" x14ac:dyDescent="0.35">
      <c r="A304" s="178"/>
    </row>
    <row r="305" spans="1:1" x14ac:dyDescent="0.35">
      <c r="A305" s="178"/>
    </row>
    <row r="306" spans="1:1" x14ac:dyDescent="0.35">
      <c r="A306" s="178"/>
    </row>
    <row r="307" spans="1:1" x14ac:dyDescent="0.35">
      <c r="A307" s="178"/>
    </row>
    <row r="308" spans="1:1" x14ac:dyDescent="0.35">
      <c r="A308" s="178"/>
    </row>
    <row r="309" spans="1:1" x14ac:dyDescent="0.35">
      <c r="A309" s="178"/>
    </row>
    <row r="310" spans="1:1" x14ac:dyDescent="0.35">
      <c r="A310" s="178"/>
    </row>
    <row r="311" spans="1:1" x14ac:dyDescent="0.35">
      <c r="A311" s="178"/>
    </row>
    <row r="312" spans="1:1" x14ac:dyDescent="0.35">
      <c r="A312" s="178"/>
    </row>
    <row r="313" spans="1:1" x14ac:dyDescent="0.35">
      <c r="A313" s="178"/>
    </row>
    <row r="314" spans="1:1" x14ac:dyDescent="0.35">
      <c r="A314" s="178"/>
    </row>
    <row r="315" spans="1:1" x14ac:dyDescent="0.35">
      <c r="A315" s="178"/>
    </row>
    <row r="316" spans="1:1" x14ac:dyDescent="0.35">
      <c r="A316" s="178"/>
    </row>
    <row r="317" spans="1:1" x14ac:dyDescent="0.35">
      <c r="A317" s="178"/>
    </row>
    <row r="318" spans="1:1" x14ac:dyDescent="0.35">
      <c r="A318" s="178"/>
    </row>
    <row r="319" spans="1:1" x14ac:dyDescent="0.35">
      <c r="A319" s="178"/>
    </row>
    <row r="320" spans="1:1" x14ac:dyDescent="0.35">
      <c r="A320" s="178"/>
    </row>
    <row r="321" spans="1:1" x14ac:dyDescent="0.35">
      <c r="A321" s="178"/>
    </row>
    <row r="322" spans="1:1" x14ac:dyDescent="0.35">
      <c r="A322" s="178"/>
    </row>
    <row r="323" spans="1:1" x14ac:dyDescent="0.35">
      <c r="A323" s="178"/>
    </row>
    <row r="324" spans="1:1" x14ac:dyDescent="0.35">
      <c r="A324" s="178"/>
    </row>
    <row r="325" spans="1:1" x14ac:dyDescent="0.35">
      <c r="A325" s="178"/>
    </row>
    <row r="326" spans="1:1" x14ac:dyDescent="0.35">
      <c r="A326" s="178"/>
    </row>
    <row r="327" spans="1:1" x14ac:dyDescent="0.35">
      <c r="A327" s="178"/>
    </row>
    <row r="328" spans="1:1" x14ac:dyDescent="0.35">
      <c r="A328" s="178"/>
    </row>
    <row r="329" spans="1:1" x14ac:dyDescent="0.35">
      <c r="A329" s="178"/>
    </row>
    <row r="330" spans="1:1" x14ac:dyDescent="0.35">
      <c r="A330" s="178"/>
    </row>
    <row r="331" spans="1:1" x14ac:dyDescent="0.35">
      <c r="A331" s="178"/>
    </row>
    <row r="332" spans="1:1" x14ac:dyDescent="0.35">
      <c r="A332" s="178"/>
    </row>
    <row r="333" spans="1:1" x14ac:dyDescent="0.35">
      <c r="A333" s="178"/>
    </row>
    <row r="334" spans="1:1" x14ac:dyDescent="0.35">
      <c r="A334" s="178"/>
    </row>
    <row r="335" spans="1:1" x14ac:dyDescent="0.35">
      <c r="A335" s="178"/>
    </row>
    <row r="336" spans="1:1" x14ac:dyDescent="0.35">
      <c r="A336" s="178"/>
    </row>
    <row r="337" spans="1:1" x14ac:dyDescent="0.35">
      <c r="A337" s="178"/>
    </row>
    <row r="338" spans="1:1" x14ac:dyDescent="0.35">
      <c r="A338" s="178"/>
    </row>
    <row r="339" spans="1:1" x14ac:dyDescent="0.35">
      <c r="A339" s="178"/>
    </row>
    <row r="340" spans="1:1" x14ac:dyDescent="0.35">
      <c r="A340" s="178"/>
    </row>
    <row r="341" spans="1:1" x14ac:dyDescent="0.35">
      <c r="A341" s="178"/>
    </row>
    <row r="342" spans="1:1" x14ac:dyDescent="0.35">
      <c r="A342" s="178"/>
    </row>
    <row r="343" spans="1:1" x14ac:dyDescent="0.35">
      <c r="A343" s="178"/>
    </row>
    <row r="344" spans="1:1" x14ac:dyDescent="0.35">
      <c r="A344" s="178"/>
    </row>
    <row r="345" spans="1:1" x14ac:dyDescent="0.35">
      <c r="A345" s="178"/>
    </row>
    <row r="346" spans="1:1" x14ac:dyDescent="0.35">
      <c r="A346" s="178"/>
    </row>
    <row r="347" spans="1:1" x14ac:dyDescent="0.35">
      <c r="A347" s="178"/>
    </row>
    <row r="348" spans="1:1" x14ac:dyDescent="0.35">
      <c r="A348" s="178"/>
    </row>
    <row r="349" spans="1:1" x14ac:dyDescent="0.35">
      <c r="A349" s="178"/>
    </row>
    <row r="350" spans="1:1" x14ac:dyDescent="0.35">
      <c r="A350" s="178"/>
    </row>
    <row r="351" spans="1:1" x14ac:dyDescent="0.35">
      <c r="A351" s="178"/>
    </row>
    <row r="352" spans="1:1" x14ac:dyDescent="0.35">
      <c r="A352" s="178"/>
    </row>
    <row r="353" spans="1:1" x14ac:dyDescent="0.35">
      <c r="A353" s="178"/>
    </row>
    <row r="354" spans="1:1" x14ac:dyDescent="0.35">
      <c r="A354" s="178"/>
    </row>
    <row r="355" spans="1:1" x14ac:dyDescent="0.35">
      <c r="A355" s="178"/>
    </row>
    <row r="356" spans="1:1" x14ac:dyDescent="0.35">
      <c r="A356" s="178"/>
    </row>
    <row r="357" spans="1:1" x14ac:dyDescent="0.35">
      <c r="A357" s="178"/>
    </row>
    <row r="358" spans="1:1" x14ac:dyDescent="0.35">
      <c r="A358" s="178"/>
    </row>
    <row r="359" spans="1:1" x14ac:dyDescent="0.35">
      <c r="A359" s="178"/>
    </row>
    <row r="360" spans="1:1" x14ac:dyDescent="0.35">
      <c r="A360" s="178"/>
    </row>
    <row r="361" spans="1:1" x14ac:dyDescent="0.35">
      <c r="A361" s="178"/>
    </row>
    <row r="362" spans="1:1" x14ac:dyDescent="0.35">
      <c r="A362" s="178"/>
    </row>
    <row r="363" spans="1:1" x14ac:dyDescent="0.35">
      <c r="A363" s="178"/>
    </row>
    <row r="364" spans="1:1" x14ac:dyDescent="0.35">
      <c r="A364" s="178"/>
    </row>
    <row r="365" spans="1:1" x14ac:dyDescent="0.35">
      <c r="A365" s="178"/>
    </row>
    <row r="366" spans="1:1" x14ac:dyDescent="0.35">
      <c r="A366" s="178"/>
    </row>
    <row r="367" spans="1:1" x14ac:dyDescent="0.35">
      <c r="A367" s="178"/>
    </row>
    <row r="368" spans="1:1" x14ac:dyDescent="0.35">
      <c r="A368" s="178"/>
    </row>
    <row r="369" spans="1:1" x14ac:dyDescent="0.35">
      <c r="A369" s="178"/>
    </row>
    <row r="370" spans="1:1" x14ac:dyDescent="0.35">
      <c r="A370" s="178"/>
    </row>
    <row r="371" spans="1:1" x14ac:dyDescent="0.35">
      <c r="A371" s="178"/>
    </row>
    <row r="372" spans="1:1" x14ac:dyDescent="0.35">
      <c r="A372" s="178"/>
    </row>
    <row r="373" spans="1:1" x14ac:dyDescent="0.35">
      <c r="A373" s="178"/>
    </row>
    <row r="374" spans="1:1" x14ac:dyDescent="0.35">
      <c r="A374" s="178"/>
    </row>
    <row r="375" spans="1:1" x14ac:dyDescent="0.35">
      <c r="A375" s="178"/>
    </row>
    <row r="376" spans="1:1" x14ac:dyDescent="0.35">
      <c r="A376" s="178"/>
    </row>
    <row r="377" spans="1:1" x14ac:dyDescent="0.35">
      <c r="A377" s="178"/>
    </row>
    <row r="378" spans="1:1" x14ac:dyDescent="0.35">
      <c r="A378" s="178"/>
    </row>
    <row r="379" spans="1:1" x14ac:dyDescent="0.35">
      <c r="A379" s="178"/>
    </row>
    <row r="380" spans="1:1" x14ac:dyDescent="0.35">
      <c r="A380" s="178"/>
    </row>
    <row r="381" spans="1:1" x14ac:dyDescent="0.35">
      <c r="A381" s="178"/>
    </row>
    <row r="382" spans="1:1" x14ac:dyDescent="0.35">
      <c r="A382" s="178"/>
    </row>
    <row r="383" spans="1:1" x14ac:dyDescent="0.35">
      <c r="A383" s="178"/>
    </row>
    <row r="384" spans="1:1" x14ac:dyDescent="0.35">
      <c r="A384" s="178"/>
    </row>
    <row r="385" spans="1:1" x14ac:dyDescent="0.35">
      <c r="A385" s="178"/>
    </row>
    <row r="386" spans="1:1" x14ac:dyDescent="0.35">
      <c r="A386" s="178"/>
    </row>
    <row r="387" spans="1:1" x14ac:dyDescent="0.35">
      <c r="A387" s="178"/>
    </row>
    <row r="388" spans="1:1" x14ac:dyDescent="0.35">
      <c r="A388" s="178"/>
    </row>
    <row r="389" spans="1:1" x14ac:dyDescent="0.35">
      <c r="A389" s="178"/>
    </row>
    <row r="390" spans="1:1" x14ac:dyDescent="0.35">
      <c r="A390" s="178"/>
    </row>
    <row r="391" spans="1:1" x14ac:dyDescent="0.35">
      <c r="A391" s="178"/>
    </row>
    <row r="392" spans="1:1" x14ac:dyDescent="0.35">
      <c r="A392" s="178"/>
    </row>
    <row r="393" spans="1:1" x14ac:dyDescent="0.35">
      <c r="A393" s="178"/>
    </row>
    <row r="394" spans="1:1" x14ac:dyDescent="0.35">
      <c r="A394" s="178"/>
    </row>
    <row r="395" spans="1:1" x14ac:dyDescent="0.35">
      <c r="A395" s="178"/>
    </row>
    <row r="396" spans="1:1" x14ac:dyDescent="0.35">
      <c r="A396" s="178"/>
    </row>
    <row r="397" spans="1:1" x14ac:dyDescent="0.35">
      <c r="A397" s="178"/>
    </row>
    <row r="398" spans="1:1" x14ac:dyDescent="0.35">
      <c r="A398" s="178"/>
    </row>
    <row r="399" spans="1:1" x14ac:dyDescent="0.35">
      <c r="A399" s="178"/>
    </row>
    <row r="400" spans="1:1" x14ac:dyDescent="0.35">
      <c r="A400" s="178"/>
    </row>
    <row r="401" spans="1:1" x14ac:dyDescent="0.35">
      <c r="A401" s="178"/>
    </row>
    <row r="402" spans="1:1" x14ac:dyDescent="0.35">
      <c r="A402" s="178"/>
    </row>
    <row r="403" spans="1:1" x14ac:dyDescent="0.35">
      <c r="A403" s="178"/>
    </row>
    <row r="404" spans="1:1" x14ac:dyDescent="0.35">
      <c r="A404" s="178"/>
    </row>
    <row r="405" spans="1:1" x14ac:dyDescent="0.35">
      <c r="A405" s="178"/>
    </row>
    <row r="406" spans="1:1" x14ac:dyDescent="0.35">
      <c r="A406" s="178"/>
    </row>
    <row r="407" spans="1:1" x14ac:dyDescent="0.35">
      <c r="A407" s="178"/>
    </row>
    <row r="408" spans="1:1" x14ac:dyDescent="0.35">
      <c r="A408" s="178"/>
    </row>
    <row r="409" spans="1:1" x14ac:dyDescent="0.35">
      <c r="A409" s="178"/>
    </row>
    <row r="410" spans="1:1" x14ac:dyDescent="0.35">
      <c r="A410" s="178"/>
    </row>
    <row r="411" spans="1:1" x14ac:dyDescent="0.35">
      <c r="A411" s="178"/>
    </row>
    <row r="412" spans="1:1" x14ac:dyDescent="0.35">
      <c r="A412" s="178"/>
    </row>
    <row r="413" spans="1:1" x14ac:dyDescent="0.35">
      <c r="A413" s="178"/>
    </row>
    <row r="414" spans="1:1" x14ac:dyDescent="0.35">
      <c r="A414" s="178"/>
    </row>
    <row r="415" spans="1:1" x14ac:dyDescent="0.35">
      <c r="A415" s="178"/>
    </row>
    <row r="416" spans="1:1" x14ac:dyDescent="0.35">
      <c r="A416" s="178"/>
    </row>
    <row r="417" spans="1:1" x14ac:dyDescent="0.35">
      <c r="A417" s="178"/>
    </row>
    <row r="418" spans="1:1" x14ac:dyDescent="0.35">
      <c r="A418" s="178"/>
    </row>
    <row r="419" spans="1:1" x14ac:dyDescent="0.35">
      <c r="A419" s="178"/>
    </row>
    <row r="420" spans="1:1" x14ac:dyDescent="0.35">
      <c r="A420" s="178"/>
    </row>
    <row r="421" spans="1:1" x14ac:dyDescent="0.35">
      <c r="A421" s="178"/>
    </row>
    <row r="422" spans="1:1" x14ac:dyDescent="0.35">
      <c r="A422" s="178"/>
    </row>
    <row r="423" spans="1:1" x14ac:dyDescent="0.35">
      <c r="A423" s="178"/>
    </row>
    <row r="424" spans="1:1" x14ac:dyDescent="0.35">
      <c r="A424" s="178"/>
    </row>
    <row r="425" spans="1:1" x14ac:dyDescent="0.35">
      <c r="A425" s="178"/>
    </row>
    <row r="426" spans="1:1" x14ac:dyDescent="0.35">
      <c r="A426" s="178"/>
    </row>
    <row r="427" spans="1:1" x14ac:dyDescent="0.35">
      <c r="A427" s="178"/>
    </row>
    <row r="428" spans="1:1" x14ac:dyDescent="0.35">
      <c r="A428" s="178"/>
    </row>
    <row r="429" spans="1:1" x14ac:dyDescent="0.35">
      <c r="A429" s="178"/>
    </row>
    <row r="430" spans="1:1" x14ac:dyDescent="0.35">
      <c r="A430" s="178"/>
    </row>
    <row r="431" spans="1:1" x14ac:dyDescent="0.35">
      <c r="A431" s="178"/>
    </row>
    <row r="432" spans="1:1" x14ac:dyDescent="0.35">
      <c r="A432" s="178"/>
    </row>
    <row r="433" spans="1:1" x14ac:dyDescent="0.35">
      <c r="A433" s="178"/>
    </row>
    <row r="434" spans="1:1" x14ac:dyDescent="0.35">
      <c r="A434" s="178"/>
    </row>
    <row r="435" spans="1:1" x14ac:dyDescent="0.35">
      <c r="A435" s="178"/>
    </row>
    <row r="436" spans="1:1" x14ac:dyDescent="0.35">
      <c r="A436" s="178"/>
    </row>
    <row r="437" spans="1:1" x14ac:dyDescent="0.35">
      <c r="A437" s="178"/>
    </row>
    <row r="438" spans="1:1" x14ac:dyDescent="0.35">
      <c r="A438" s="178"/>
    </row>
    <row r="439" spans="1:1" x14ac:dyDescent="0.35">
      <c r="A439" s="178"/>
    </row>
    <row r="440" spans="1:1" x14ac:dyDescent="0.35">
      <c r="A440" s="178"/>
    </row>
    <row r="441" spans="1:1" x14ac:dyDescent="0.35">
      <c r="A441" s="178"/>
    </row>
    <row r="442" spans="1:1" x14ac:dyDescent="0.35">
      <c r="A442" s="178"/>
    </row>
    <row r="443" spans="1:1" x14ac:dyDescent="0.35">
      <c r="A443" s="178"/>
    </row>
    <row r="444" spans="1:1" x14ac:dyDescent="0.35">
      <c r="A444" s="178"/>
    </row>
    <row r="445" spans="1:1" x14ac:dyDescent="0.35">
      <c r="A445" s="178"/>
    </row>
    <row r="446" spans="1:1" x14ac:dyDescent="0.35">
      <c r="A446" s="178"/>
    </row>
    <row r="447" spans="1:1" x14ac:dyDescent="0.35">
      <c r="A447" s="178"/>
    </row>
    <row r="448" spans="1:1" x14ac:dyDescent="0.35">
      <c r="A448" s="178"/>
    </row>
    <row r="449" spans="1:1" x14ac:dyDescent="0.35">
      <c r="A449" s="178"/>
    </row>
    <row r="450" spans="1:1" x14ac:dyDescent="0.35">
      <c r="A450" s="178"/>
    </row>
    <row r="451" spans="1:1" x14ac:dyDescent="0.35">
      <c r="A451" s="178"/>
    </row>
    <row r="452" spans="1:1" x14ac:dyDescent="0.35">
      <c r="A452" s="178"/>
    </row>
    <row r="453" spans="1:1" x14ac:dyDescent="0.35">
      <c r="A453" s="178"/>
    </row>
    <row r="454" spans="1:1" x14ac:dyDescent="0.35">
      <c r="A454" s="178"/>
    </row>
    <row r="455" spans="1:1" x14ac:dyDescent="0.35">
      <c r="A455" s="178"/>
    </row>
    <row r="456" spans="1:1" x14ac:dyDescent="0.35">
      <c r="A456" s="178"/>
    </row>
    <row r="457" spans="1:1" x14ac:dyDescent="0.35">
      <c r="A457" s="178"/>
    </row>
    <row r="458" spans="1:1" x14ac:dyDescent="0.35">
      <c r="A458" s="178"/>
    </row>
    <row r="459" spans="1:1" x14ac:dyDescent="0.35">
      <c r="A459" s="178"/>
    </row>
    <row r="460" spans="1:1" x14ac:dyDescent="0.35">
      <c r="A460" s="178"/>
    </row>
    <row r="461" spans="1:1" x14ac:dyDescent="0.35">
      <c r="A461" s="178"/>
    </row>
    <row r="462" spans="1:1" x14ac:dyDescent="0.35">
      <c r="A462" s="178"/>
    </row>
    <row r="463" spans="1:1" x14ac:dyDescent="0.35">
      <c r="A463" s="178"/>
    </row>
    <row r="464" spans="1:1" x14ac:dyDescent="0.35">
      <c r="A464" s="178"/>
    </row>
    <row r="465" spans="1:1" x14ac:dyDescent="0.35">
      <c r="A465" s="178"/>
    </row>
    <row r="466" spans="1:1" x14ac:dyDescent="0.35">
      <c r="A466" s="178"/>
    </row>
    <row r="467" spans="1:1" x14ac:dyDescent="0.35">
      <c r="A467" s="178"/>
    </row>
    <row r="468" spans="1:1" x14ac:dyDescent="0.35">
      <c r="A468" s="178"/>
    </row>
    <row r="469" spans="1:1" x14ac:dyDescent="0.35">
      <c r="A469" s="178"/>
    </row>
    <row r="470" spans="1:1" x14ac:dyDescent="0.35">
      <c r="A470" s="178"/>
    </row>
    <row r="471" spans="1:1" x14ac:dyDescent="0.35">
      <c r="A471" s="178"/>
    </row>
    <row r="472" spans="1:1" x14ac:dyDescent="0.35">
      <c r="A472" s="178"/>
    </row>
    <row r="473" spans="1:1" x14ac:dyDescent="0.35">
      <c r="A473" s="178"/>
    </row>
    <row r="474" spans="1:1" x14ac:dyDescent="0.35">
      <c r="A474" s="178"/>
    </row>
    <row r="475" spans="1:1" x14ac:dyDescent="0.35">
      <c r="A475" s="178"/>
    </row>
    <row r="476" spans="1:1" x14ac:dyDescent="0.35">
      <c r="A476" s="178"/>
    </row>
    <row r="477" spans="1:1" x14ac:dyDescent="0.35">
      <c r="A477" s="178"/>
    </row>
    <row r="478" spans="1:1" x14ac:dyDescent="0.35">
      <c r="A478" s="178"/>
    </row>
    <row r="479" spans="1:1" x14ac:dyDescent="0.35">
      <c r="A479" s="178"/>
    </row>
    <row r="480" spans="1:1" x14ac:dyDescent="0.35">
      <c r="A480" s="178"/>
    </row>
    <row r="481" spans="1:1" x14ac:dyDescent="0.35">
      <c r="A481" s="178"/>
    </row>
    <row r="482" spans="1:1" x14ac:dyDescent="0.35">
      <c r="A482" s="178"/>
    </row>
    <row r="483" spans="1:1" x14ac:dyDescent="0.35">
      <c r="A483" s="178"/>
    </row>
    <row r="484" spans="1:1" x14ac:dyDescent="0.35">
      <c r="A484" s="178"/>
    </row>
    <row r="485" spans="1:1" x14ac:dyDescent="0.35">
      <c r="A485" s="178"/>
    </row>
    <row r="486" spans="1:1" x14ac:dyDescent="0.35">
      <c r="A486" s="178"/>
    </row>
    <row r="487" spans="1:1" x14ac:dyDescent="0.35">
      <c r="A487" s="178"/>
    </row>
    <row r="488" spans="1:1" x14ac:dyDescent="0.35">
      <c r="A488" s="178"/>
    </row>
    <row r="489" spans="1:1" x14ac:dyDescent="0.35">
      <c r="A489" s="178"/>
    </row>
    <row r="490" spans="1:1" x14ac:dyDescent="0.35">
      <c r="A490" s="178"/>
    </row>
    <row r="491" spans="1:1" x14ac:dyDescent="0.35">
      <c r="A491" s="178"/>
    </row>
    <row r="492" spans="1:1" x14ac:dyDescent="0.35">
      <c r="A492" s="178"/>
    </row>
    <row r="493" spans="1:1" x14ac:dyDescent="0.35">
      <c r="A493" s="178"/>
    </row>
    <row r="494" spans="1:1" x14ac:dyDescent="0.35">
      <c r="A494" s="178"/>
    </row>
    <row r="495" spans="1:1" x14ac:dyDescent="0.35">
      <c r="A495" s="178"/>
    </row>
    <row r="496" spans="1:1" x14ac:dyDescent="0.35">
      <c r="A496" s="178"/>
    </row>
    <row r="497" spans="1:1" x14ac:dyDescent="0.35">
      <c r="A497" s="178"/>
    </row>
    <row r="498" spans="1:1" x14ac:dyDescent="0.35">
      <c r="A498" s="178"/>
    </row>
    <row r="499" spans="1:1" x14ac:dyDescent="0.35">
      <c r="A499" s="178"/>
    </row>
    <row r="500" spans="1:1" x14ac:dyDescent="0.35">
      <c r="A500" s="178"/>
    </row>
    <row r="501" spans="1:1" x14ac:dyDescent="0.35">
      <c r="A501" s="178"/>
    </row>
    <row r="502" spans="1:1" x14ac:dyDescent="0.35">
      <c r="A502" s="178"/>
    </row>
    <row r="503" spans="1:1" x14ac:dyDescent="0.35">
      <c r="A503" s="178"/>
    </row>
    <row r="504" spans="1:1" x14ac:dyDescent="0.35">
      <c r="A504" s="178"/>
    </row>
    <row r="505" spans="1:1" x14ac:dyDescent="0.35">
      <c r="A505" s="178"/>
    </row>
    <row r="506" spans="1:1" x14ac:dyDescent="0.35">
      <c r="A506" s="178"/>
    </row>
    <row r="507" spans="1:1" x14ac:dyDescent="0.35">
      <c r="A507" s="178"/>
    </row>
    <row r="508" spans="1:1" x14ac:dyDescent="0.35">
      <c r="A508" s="178"/>
    </row>
    <row r="509" spans="1:1" x14ac:dyDescent="0.35">
      <c r="A509" s="178"/>
    </row>
    <row r="510" spans="1:1" x14ac:dyDescent="0.35">
      <c r="A510" s="178"/>
    </row>
    <row r="511" spans="1:1" x14ac:dyDescent="0.35">
      <c r="A511" s="178"/>
    </row>
    <row r="512" spans="1:1" x14ac:dyDescent="0.35">
      <c r="A512" s="178"/>
    </row>
    <row r="513" spans="1:1" x14ac:dyDescent="0.35">
      <c r="A513" s="178"/>
    </row>
    <row r="514" spans="1:1" x14ac:dyDescent="0.35">
      <c r="A514" s="178"/>
    </row>
    <row r="515" spans="1:1" x14ac:dyDescent="0.35">
      <c r="A515" s="178"/>
    </row>
    <row r="516" spans="1:1" x14ac:dyDescent="0.35">
      <c r="A516" s="178"/>
    </row>
    <row r="517" spans="1:1" x14ac:dyDescent="0.35">
      <c r="A517" s="178"/>
    </row>
    <row r="518" spans="1:1" x14ac:dyDescent="0.35">
      <c r="A518" s="178"/>
    </row>
    <row r="519" spans="1:1" x14ac:dyDescent="0.35">
      <c r="A519" s="178"/>
    </row>
    <row r="520" spans="1:1" x14ac:dyDescent="0.35">
      <c r="A520" s="178"/>
    </row>
    <row r="521" spans="1:1" x14ac:dyDescent="0.35">
      <c r="A521" s="178"/>
    </row>
    <row r="522" spans="1:1" x14ac:dyDescent="0.35">
      <c r="A522" s="178"/>
    </row>
    <row r="523" spans="1:1" x14ac:dyDescent="0.35">
      <c r="A523" s="178"/>
    </row>
    <row r="524" spans="1:1" x14ac:dyDescent="0.35">
      <c r="A524" s="178"/>
    </row>
    <row r="525" spans="1:1" x14ac:dyDescent="0.35">
      <c r="A525" s="178"/>
    </row>
    <row r="526" spans="1:1" x14ac:dyDescent="0.35">
      <c r="A526" s="178"/>
    </row>
    <row r="527" spans="1:1" x14ac:dyDescent="0.35">
      <c r="A527" s="178"/>
    </row>
    <row r="528" spans="1:1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  <row r="591" spans="1:1" x14ac:dyDescent="0.35">
      <c r="A591" s="178"/>
    </row>
    <row r="592" spans="1:1" x14ac:dyDescent="0.35">
      <c r="A592" s="178"/>
    </row>
    <row r="593" spans="1:1" x14ac:dyDescent="0.35">
      <c r="A593" s="178"/>
    </row>
    <row r="594" spans="1:1" x14ac:dyDescent="0.35">
      <c r="A594" s="178"/>
    </row>
    <row r="595" spans="1:1" x14ac:dyDescent="0.35">
      <c r="A595" s="178"/>
    </row>
    <row r="596" spans="1:1" x14ac:dyDescent="0.35">
      <c r="A596" s="178"/>
    </row>
    <row r="597" spans="1:1" x14ac:dyDescent="0.35">
      <c r="A597" s="178"/>
    </row>
    <row r="598" spans="1:1" x14ac:dyDescent="0.35">
      <c r="A598" s="178"/>
    </row>
    <row r="599" spans="1:1" x14ac:dyDescent="0.35">
      <c r="A599" s="178"/>
    </row>
    <row r="600" spans="1:1" x14ac:dyDescent="0.35">
      <c r="A600" s="178"/>
    </row>
    <row r="601" spans="1:1" x14ac:dyDescent="0.35">
      <c r="A601" s="178"/>
    </row>
    <row r="602" spans="1:1" x14ac:dyDescent="0.35">
      <c r="A602" s="178"/>
    </row>
    <row r="603" spans="1:1" x14ac:dyDescent="0.35">
      <c r="A603" s="178"/>
    </row>
    <row r="604" spans="1:1" x14ac:dyDescent="0.35">
      <c r="A604" s="178"/>
    </row>
    <row r="605" spans="1:1" x14ac:dyDescent="0.35">
      <c r="A605" s="178"/>
    </row>
    <row r="606" spans="1:1" x14ac:dyDescent="0.35">
      <c r="A606" s="178"/>
    </row>
    <row r="607" spans="1:1" x14ac:dyDescent="0.35">
      <c r="A607" s="178"/>
    </row>
    <row r="608" spans="1:1" x14ac:dyDescent="0.35">
      <c r="A608" s="178"/>
    </row>
    <row r="609" spans="1:1" x14ac:dyDescent="0.35">
      <c r="A609" s="178"/>
    </row>
    <row r="610" spans="1:1" x14ac:dyDescent="0.35">
      <c r="A610" s="178"/>
    </row>
    <row r="611" spans="1:1" x14ac:dyDescent="0.35">
      <c r="A611" s="178"/>
    </row>
    <row r="612" spans="1:1" x14ac:dyDescent="0.35">
      <c r="A612" s="178"/>
    </row>
    <row r="613" spans="1:1" x14ac:dyDescent="0.35">
      <c r="A613" s="178"/>
    </row>
    <row r="614" spans="1:1" x14ac:dyDescent="0.35">
      <c r="A614" s="178"/>
    </row>
    <row r="615" spans="1:1" x14ac:dyDescent="0.35">
      <c r="A615" s="178"/>
    </row>
    <row r="616" spans="1:1" x14ac:dyDescent="0.35">
      <c r="A616" s="178"/>
    </row>
    <row r="617" spans="1:1" x14ac:dyDescent="0.35">
      <c r="A617" s="178"/>
    </row>
    <row r="618" spans="1:1" x14ac:dyDescent="0.35">
      <c r="A618" s="178"/>
    </row>
    <row r="619" spans="1:1" x14ac:dyDescent="0.35">
      <c r="A619" s="178"/>
    </row>
    <row r="620" spans="1:1" x14ac:dyDescent="0.35">
      <c r="A620" s="178"/>
    </row>
    <row r="621" spans="1:1" x14ac:dyDescent="0.35">
      <c r="A621" s="178"/>
    </row>
    <row r="622" spans="1:1" x14ac:dyDescent="0.35">
      <c r="A622" s="178"/>
    </row>
    <row r="623" spans="1:1" x14ac:dyDescent="0.35">
      <c r="A623" s="178"/>
    </row>
    <row r="624" spans="1:1" x14ac:dyDescent="0.35">
      <c r="A624" s="178"/>
    </row>
    <row r="625" spans="1:1" x14ac:dyDescent="0.35">
      <c r="A625" s="178"/>
    </row>
    <row r="626" spans="1:1" x14ac:dyDescent="0.35">
      <c r="A626" s="178"/>
    </row>
    <row r="627" spans="1:1" x14ac:dyDescent="0.35">
      <c r="A627" s="178"/>
    </row>
    <row r="628" spans="1:1" x14ac:dyDescent="0.35">
      <c r="A628" s="178"/>
    </row>
    <row r="629" spans="1:1" x14ac:dyDescent="0.35">
      <c r="A629" s="178"/>
    </row>
    <row r="630" spans="1:1" x14ac:dyDescent="0.35">
      <c r="A630" s="178"/>
    </row>
    <row r="631" spans="1:1" x14ac:dyDescent="0.35">
      <c r="A631" s="178"/>
    </row>
    <row r="632" spans="1:1" x14ac:dyDescent="0.35">
      <c r="A632" s="178"/>
    </row>
    <row r="633" spans="1:1" x14ac:dyDescent="0.35">
      <c r="A633" s="178"/>
    </row>
    <row r="634" spans="1:1" x14ac:dyDescent="0.35">
      <c r="A634" s="178"/>
    </row>
    <row r="635" spans="1:1" x14ac:dyDescent="0.35">
      <c r="A635" s="178"/>
    </row>
    <row r="636" spans="1:1" x14ac:dyDescent="0.35">
      <c r="A636" s="178"/>
    </row>
    <row r="637" spans="1:1" x14ac:dyDescent="0.35">
      <c r="A637" s="178"/>
    </row>
    <row r="638" spans="1:1" x14ac:dyDescent="0.35">
      <c r="A638" s="178"/>
    </row>
    <row r="639" spans="1:1" x14ac:dyDescent="0.35">
      <c r="A639" s="178"/>
    </row>
    <row r="640" spans="1:1" x14ac:dyDescent="0.35">
      <c r="A640" s="178"/>
    </row>
    <row r="641" spans="1:1" x14ac:dyDescent="0.35">
      <c r="A641" s="178"/>
    </row>
    <row r="642" spans="1:1" x14ac:dyDescent="0.35">
      <c r="A642" s="178"/>
    </row>
    <row r="643" spans="1:1" x14ac:dyDescent="0.35">
      <c r="A643" s="178"/>
    </row>
    <row r="644" spans="1:1" x14ac:dyDescent="0.35">
      <c r="A644" s="178"/>
    </row>
    <row r="645" spans="1:1" x14ac:dyDescent="0.35">
      <c r="A645" s="178"/>
    </row>
    <row r="646" spans="1:1" x14ac:dyDescent="0.35">
      <c r="A646" s="178"/>
    </row>
    <row r="647" spans="1:1" x14ac:dyDescent="0.35">
      <c r="A647" s="178"/>
    </row>
    <row r="648" spans="1:1" x14ac:dyDescent="0.35">
      <c r="A648" s="178"/>
    </row>
    <row r="649" spans="1:1" x14ac:dyDescent="0.35">
      <c r="A649" s="178"/>
    </row>
    <row r="650" spans="1:1" x14ac:dyDescent="0.35">
      <c r="A650" s="178"/>
    </row>
    <row r="651" spans="1:1" x14ac:dyDescent="0.35">
      <c r="A651" s="178"/>
    </row>
    <row r="652" spans="1:1" x14ac:dyDescent="0.35">
      <c r="A652" s="178"/>
    </row>
    <row r="653" spans="1:1" x14ac:dyDescent="0.35">
      <c r="A653" s="178"/>
    </row>
    <row r="654" spans="1:1" x14ac:dyDescent="0.35">
      <c r="A654" s="178"/>
    </row>
    <row r="655" spans="1:1" x14ac:dyDescent="0.35">
      <c r="A655" s="178"/>
    </row>
    <row r="656" spans="1:1" x14ac:dyDescent="0.35">
      <c r="A656" s="178"/>
    </row>
    <row r="657" spans="1:1" x14ac:dyDescent="0.35">
      <c r="A657" s="178"/>
    </row>
    <row r="658" spans="1:1" x14ac:dyDescent="0.35">
      <c r="A658" s="178"/>
    </row>
    <row r="659" spans="1:1" x14ac:dyDescent="0.35">
      <c r="A659" s="178"/>
    </row>
    <row r="660" spans="1:1" x14ac:dyDescent="0.35">
      <c r="A660" s="178"/>
    </row>
    <row r="661" spans="1:1" x14ac:dyDescent="0.35">
      <c r="A661" s="178"/>
    </row>
    <row r="662" spans="1:1" x14ac:dyDescent="0.35">
      <c r="A662" s="178"/>
    </row>
    <row r="663" spans="1:1" x14ac:dyDescent="0.35">
      <c r="A663" s="178"/>
    </row>
    <row r="664" spans="1:1" x14ac:dyDescent="0.35">
      <c r="A664" s="178"/>
    </row>
    <row r="665" spans="1:1" x14ac:dyDescent="0.35">
      <c r="A665" s="178"/>
    </row>
    <row r="666" spans="1:1" x14ac:dyDescent="0.35">
      <c r="A666" s="178"/>
    </row>
    <row r="667" spans="1:1" x14ac:dyDescent="0.35">
      <c r="A667" s="178"/>
    </row>
    <row r="668" spans="1:1" x14ac:dyDescent="0.35">
      <c r="A668" s="178"/>
    </row>
    <row r="669" spans="1:1" x14ac:dyDescent="0.35">
      <c r="A669" s="178"/>
    </row>
    <row r="670" spans="1:1" x14ac:dyDescent="0.35">
      <c r="A670" s="178"/>
    </row>
    <row r="671" spans="1:1" x14ac:dyDescent="0.35">
      <c r="A671" s="178"/>
    </row>
    <row r="672" spans="1:1" x14ac:dyDescent="0.35">
      <c r="A672" s="178"/>
    </row>
    <row r="673" spans="1:1" x14ac:dyDescent="0.35">
      <c r="A673" s="178"/>
    </row>
    <row r="674" spans="1:1" x14ac:dyDescent="0.35">
      <c r="A674" s="178"/>
    </row>
    <row r="675" spans="1:1" x14ac:dyDescent="0.35">
      <c r="A675" s="178"/>
    </row>
    <row r="676" spans="1:1" x14ac:dyDescent="0.35">
      <c r="A676" s="178"/>
    </row>
    <row r="677" spans="1:1" x14ac:dyDescent="0.35">
      <c r="A677" s="178"/>
    </row>
    <row r="678" spans="1:1" x14ac:dyDescent="0.35">
      <c r="A678" s="178"/>
    </row>
    <row r="679" spans="1:1" x14ac:dyDescent="0.35">
      <c r="A679" s="178"/>
    </row>
    <row r="680" spans="1:1" x14ac:dyDescent="0.35">
      <c r="A680" s="178"/>
    </row>
    <row r="681" spans="1:1" x14ac:dyDescent="0.35">
      <c r="A681" s="178"/>
    </row>
    <row r="682" spans="1:1" x14ac:dyDescent="0.35">
      <c r="A682" s="178"/>
    </row>
    <row r="683" spans="1:1" x14ac:dyDescent="0.35">
      <c r="A683" s="178"/>
    </row>
    <row r="684" spans="1:1" x14ac:dyDescent="0.35">
      <c r="A684" s="178"/>
    </row>
    <row r="685" spans="1:1" x14ac:dyDescent="0.35">
      <c r="A685" s="178"/>
    </row>
    <row r="686" spans="1:1" x14ac:dyDescent="0.35">
      <c r="A686" s="178"/>
    </row>
    <row r="687" spans="1:1" x14ac:dyDescent="0.35">
      <c r="A687" s="178"/>
    </row>
    <row r="688" spans="1:1" x14ac:dyDescent="0.35">
      <c r="A688" s="178"/>
    </row>
    <row r="689" spans="1:1" x14ac:dyDescent="0.35">
      <c r="A689" s="178"/>
    </row>
    <row r="690" spans="1:1" x14ac:dyDescent="0.35">
      <c r="A690" s="178"/>
    </row>
    <row r="691" spans="1:1" x14ac:dyDescent="0.35">
      <c r="A691" s="178"/>
    </row>
    <row r="692" spans="1:1" x14ac:dyDescent="0.35">
      <c r="A692" s="178"/>
    </row>
    <row r="693" spans="1:1" x14ac:dyDescent="0.35">
      <c r="A693" s="178"/>
    </row>
    <row r="694" spans="1:1" x14ac:dyDescent="0.35">
      <c r="A694" s="178"/>
    </row>
    <row r="695" spans="1:1" x14ac:dyDescent="0.35">
      <c r="A695" s="178"/>
    </row>
    <row r="696" spans="1:1" x14ac:dyDescent="0.35">
      <c r="A696" s="178"/>
    </row>
    <row r="697" spans="1:1" x14ac:dyDescent="0.35">
      <c r="A697" s="178"/>
    </row>
    <row r="698" spans="1:1" x14ac:dyDescent="0.35">
      <c r="A698" s="178"/>
    </row>
    <row r="699" spans="1:1" x14ac:dyDescent="0.35">
      <c r="A699" s="178"/>
    </row>
    <row r="700" spans="1:1" x14ac:dyDescent="0.35">
      <c r="A700" s="178"/>
    </row>
    <row r="701" spans="1:1" x14ac:dyDescent="0.35">
      <c r="A701" s="178"/>
    </row>
    <row r="702" spans="1:1" x14ac:dyDescent="0.35">
      <c r="A702" s="178"/>
    </row>
    <row r="703" spans="1:1" x14ac:dyDescent="0.35">
      <c r="A703" s="178"/>
    </row>
    <row r="704" spans="1:1" x14ac:dyDescent="0.35">
      <c r="A704" s="178"/>
    </row>
    <row r="705" spans="1:1" x14ac:dyDescent="0.35">
      <c r="A705" s="178"/>
    </row>
    <row r="706" spans="1:1" x14ac:dyDescent="0.35">
      <c r="A706" s="178"/>
    </row>
    <row r="707" spans="1:1" x14ac:dyDescent="0.35">
      <c r="A707" s="178"/>
    </row>
    <row r="708" spans="1:1" x14ac:dyDescent="0.35">
      <c r="A708" s="178"/>
    </row>
    <row r="709" spans="1:1" x14ac:dyDescent="0.35">
      <c r="A709" s="178"/>
    </row>
    <row r="710" spans="1:1" x14ac:dyDescent="0.35">
      <c r="A710" s="178"/>
    </row>
    <row r="711" spans="1:1" x14ac:dyDescent="0.35">
      <c r="A711" s="178"/>
    </row>
    <row r="712" spans="1:1" x14ac:dyDescent="0.35">
      <c r="A712" s="178"/>
    </row>
    <row r="713" spans="1:1" x14ac:dyDescent="0.35">
      <c r="A713" s="178"/>
    </row>
    <row r="714" spans="1:1" x14ac:dyDescent="0.35">
      <c r="A714" s="178"/>
    </row>
    <row r="715" spans="1:1" x14ac:dyDescent="0.35">
      <c r="A715" s="178"/>
    </row>
    <row r="716" spans="1:1" x14ac:dyDescent="0.35">
      <c r="A716" s="178"/>
    </row>
    <row r="717" spans="1:1" x14ac:dyDescent="0.35">
      <c r="A717" s="178"/>
    </row>
    <row r="718" spans="1:1" x14ac:dyDescent="0.35">
      <c r="A718" s="178"/>
    </row>
    <row r="719" spans="1:1" x14ac:dyDescent="0.35">
      <c r="A719" s="178"/>
    </row>
    <row r="720" spans="1:1" x14ac:dyDescent="0.35">
      <c r="A720" s="178"/>
    </row>
    <row r="721" spans="1:1" x14ac:dyDescent="0.35">
      <c r="A721" s="178"/>
    </row>
    <row r="722" spans="1:1" x14ac:dyDescent="0.35">
      <c r="A722" s="178"/>
    </row>
    <row r="723" spans="1:1" x14ac:dyDescent="0.35">
      <c r="A723" s="178"/>
    </row>
    <row r="724" spans="1:1" x14ac:dyDescent="0.35">
      <c r="A724" s="178"/>
    </row>
    <row r="725" spans="1:1" x14ac:dyDescent="0.35">
      <c r="A725" s="178"/>
    </row>
    <row r="726" spans="1:1" x14ac:dyDescent="0.35">
      <c r="A726" s="178"/>
    </row>
    <row r="727" spans="1:1" x14ac:dyDescent="0.35">
      <c r="A727" s="178"/>
    </row>
    <row r="728" spans="1:1" x14ac:dyDescent="0.35">
      <c r="A728" s="178"/>
    </row>
    <row r="729" spans="1:1" x14ac:dyDescent="0.35">
      <c r="A729" s="178"/>
    </row>
    <row r="730" spans="1:1" x14ac:dyDescent="0.35">
      <c r="A730" s="178"/>
    </row>
    <row r="731" spans="1:1" x14ac:dyDescent="0.35">
      <c r="A731" s="178"/>
    </row>
    <row r="732" spans="1:1" x14ac:dyDescent="0.35">
      <c r="A732" s="178"/>
    </row>
    <row r="733" spans="1:1" x14ac:dyDescent="0.35">
      <c r="A733" s="178"/>
    </row>
    <row r="734" spans="1:1" x14ac:dyDescent="0.35">
      <c r="A734" s="178"/>
    </row>
    <row r="735" spans="1:1" x14ac:dyDescent="0.35">
      <c r="A735" s="178"/>
    </row>
    <row r="736" spans="1:1" x14ac:dyDescent="0.35">
      <c r="A736" s="178"/>
    </row>
    <row r="737" spans="1:1" x14ac:dyDescent="0.35">
      <c r="A737" s="178"/>
    </row>
    <row r="738" spans="1:1" x14ac:dyDescent="0.35">
      <c r="A738" s="178"/>
    </row>
    <row r="739" spans="1:1" x14ac:dyDescent="0.35">
      <c r="A739" s="178"/>
    </row>
    <row r="740" spans="1:1" x14ac:dyDescent="0.35">
      <c r="A740" s="178"/>
    </row>
    <row r="741" spans="1:1" x14ac:dyDescent="0.35">
      <c r="A741" s="178"/>
    </row>
    <row r="742" spans="1:1" x14ac:dyDescent="0.35">
      <c r="A742" s="178"/>
    </row>
    <row r="743" spans="1:1" x14ac:dyDescent="0.35">
      <c r="A743" s="178"/>
    </row>
    <row r="744" spans="1:1" x14ac:dyDescent="0.35">
      <c r="A744" s="178"/>
    </row>
    <row r="745" spans="1:1" x14ac:dyDescent="0.35">
      <c r="A745" s="178"/>
    </row>
    <row r="746" spans="1:1" x14ac:dyDescent="0.35">
      <c r="A746" s="178"/>
    </row>
    <row r="747" spans="1:1" x14ac:dyDescent="0.35">
      <c r="A747" s="178"/>
    </row>
    <row r="748" spans="1:1" x14ac:dyDescent="0.35">
      <c r="A748" s="178"/>
    </row>
    <row r="749" spans="1:1" x14ac:dyDescent="0.35">
      <c r="A749" s="178"/>
    </row>
    <row r="750" spans="1:1" x14ac:dyDescent="0.35">
      <c r="A750" s="178"/>
    </row>
    <row r="751" spans="1:1" x14ac:dyDescent="0.35">
      <c r="A751" s="178"/>
    </row>
    <row r="752" spans="1:1" x14ac:dyDescent="0.35">
      <c r="A752" s="178"/>
    </row>
    <row r="753" spans="1:1" x14ac:dyDescent="0.35">
      <c r="A753" s="178"/>
    </row>
    <row r="754" spans="1:1" x14ac:dyDescent="0.35">
      <c r="A754" s="178"/>
    </row>
    <row r="755" spans="1:1" x14ac:dyDescent="0.35">
      <c r="A755" s="178"/>
    </row>
    <row r="756" spans="1:1" x14ac:dyDescent="0.35">
      <c r="A756" s="178"/>
    </row>
    <row r="757" spans="1:1" x14ac:dyDescent="0.35">
      <c r="A757" s="178"/>
    </row>
    <row r="758" spans="1:1" x14ac:dyDescent="0.35">
      <c r="A758" s="178"/>
    </row>
    <row r="759" spans="1:1" x14ac:dyDescent="0.35">
      <c r="A759" s="178"/>
    </row>
    <row r="760" spans="1:1" x14ac:dyDescent="0.35">
      <c r="A760" s="178"/>
    </row>
    <row r="761" spans="1:1" x14ac:dyDescent="0.35">
      <c r="A761" s="178"/>
    </row>
    <row r="762" spans="1:1" x14ac:dyDescent="0.35">
      <c r="A762" s="178"/>
    </row>
    <row r="763" spans="1:1" x14ac:dyDescent="0.35">
      <c r="A763" s="178"/>
    </row>
    <row r="764" spans="1:1" x14ac:dyDescent="0.35">
      <c r="A764" s="178"/>
    </row>
    <row r="765" spans="1:1" x14ac:dyDescent="0.35">
      <c r="A765" s="178"/>
    </row>
    <row r="766" spans="1:1" x14ac:dyDescent="0.35">
      <c r="A766" s="178"/>
    </row>
    <row r="767" spans="1:1" x14ac:dyDescent="0.35">
      <c r="A767" s="178"/>
    </row>
    <row r="768" spans="1:1" x14ac:dyDescent="0.35">
      <c r="A768" s="178"/>
    </row>
    <row r="769" spans="1:1" x14ac:dyDescent="0.35">
      <c r="A769" s="178"/>
    </row>
    <row r="770" spans="1:1" x14ac:dyDescent="0.35">
      <c r="A770" s="178"/>
    </row>
    <row r="771" spans="1:1" x14ac:dyDescent="0.35">
      <c r="A771" s="178"/>
    </row>
    <row r="772" spans="1:1" x14ac:dyDescent="0.35">
      <c r="A772" s="178"/>
    </row>
    <row r="773" spans="1:1" x14ac:dyDescent="0.35">
      <c r="A773" s="178"/>
    </row>
    <row r="774" spans="1:1" x14ac:dyDescent="0.35">
      <c r="A774" s="178"/>
    </row>
    <row r="775" spans="1:1" x14ac:dyDescent="0.35">
      <c r="A775" s="178"/>
    </row>
    <row r="776" spans="1:1" x14ac:dyDescent="0.35">
      <c r="A776" s="178"/>
    </row>
    <row r="777" spans="1:1" x14ac:dyDescent="0.35">
      <c r="A777" s="178"/>
    </row>
    <row r="778" spans="1:1" x14ac:dyDescent="0.35">
      <c r="A778" s="178"/>
    </row>
    <row r="779" spans="1:1" x14ac:dyDescent="0.35">
      <c r="A779" s="178"/>
    </row>
    <row r="780" spans="1:1" x14ac:dyDescent="0.35">
      <c r="A780" s="178"/>
    </row>
    <row r="781" spans="1:1" x14ac:dyDescent="0.35">
      <c r="A781" s="178"/>
    </row>
    <row r="782" spans="1:1" x14ac:dyDescent="0.35">
      <c r="A782" s="178"/>
    </row>
    <row r="783" spans="1:1" x14ac:dyDescent="0.35">
      <c r="A783" s="178"/>
    </row>
    <row r="784" spans="1:1" x14ac:dyDescent="0.35">
      <c r="A784" s="178"/>
    </row>
    <row r="785" spans="1:1" x14ac:dyDescent="0.35">
      <c r="A785" s="178"/>
    </row>
    <row r="786" spans="1:1" x14ac:dyDescent="0.35">
      <c r="A786" s="178"/>
    </row>
    <row r="787" spans="1:1" x14ac:dyDescent="0.35">
      <c r="A787" s="178"/>
    </row>
    <row r="788" spans="1:1" x14ac:dyDescent="0.35">
      <c r="A788" s="178"/>
    </row>
    <row r="789" spans="1:1" x14ac:dyDescent="0.35">
      <c r="A789" s="178"/>
    </row>
    <row r="790" spans="1:1" x14ac:dyDescent="0.35">
      <c r="A790" s="178"/>
    </row>
    <row r="791" spans="1:1" x14ac:dyDescent="0.35">
      <c r="A791" s="178"/>
    </row>
    <row r="792" spans="1:1" x14ac:dyDescent="0.35">
      <c r="A792" s="178"/>
    </row>
    <row r="793" spans="1:1" x14ac:dyDescent="0.35">
      <c r="A793" s="178"/>
    </row>
    <row r="794" spans="1:1" x14ac:dyDescent="0.35">
      <c r="A794" s="178"/>
    </row>
    <row r="795" spans="1:1" x14ac:dyDescent="0.35">
      <c r="A795" s="178"/>
    </row>
    <row r="796" spans="1:1" x14ac:dyDescent="0.35">
      <c r="A796" s="178"/>
    </row>
    <row r="797" spans="1:1" x14ac:dyDescent="0.35">
      <c r="A797" s="178"/>
    </row>
    <row r="798" spans="1:1" x14ac:dyDescent="0.35">
      <c r="A798" s="178"/>
    </row>
    <row r="799" spans="1:1" x14ac:dyDescent="0.35">
      <c r="A799" s="178"/>
    </row>
    <row r="800" spans="1:1" x14ac:dyDescent="0.35">
      <c r="A800" s="178"/>
    </row>
    <row r="801" spans="1:1" x14ac:dyDescent="0.35">
      <c r="A801" s="178"/>
    </row>
    <row r="802" spans="1:1" x14ac:dyDescent="0.35">
      <c r="A802" s="178"/>
    </row>
    <row r="803" spans="1:1" x14ac:dyDescent="0.35">
      <c r="A803" s="178"/>
    </row>
    <row r="804" spans="1:1" x14ac:dyDescent="0.35">
      <c r="A804" s="178"/>
    </row>
    <row r="805" spans="1:1" x14ac:dyDescent="0.35">
      <c r="A805" s="178"/>
    </row>
    <row r="806" spans="1:1" x14ac:dyDescent="0.35">
      <c r="A806" s="178"/>
    </row>
    <row r="807" spans="1:1" x14ac:dyDescent="0.35">
      <c r="A807" s="178"/>
    </row>
    <row r="808" spans="1:1" x14ac:dyDescent="0.35">
      <c r="A808" s="178"/>
    </row>
    <row r="809" spans="1:1" x14ac:dyDescent="0.35">
      <c r="A809" s="178"/>
    </row>
    <row r="810" spans="1:1" x14ac:dyDescent="0.35">
      <c r="A810" s="178"/>
    </row>
    <row r="811" spans="1:1" x14ac:dyDescent="0.35">
      <c r="A811" s="178"/>
    </row>
    <row r="812" spans="1:1" x14ac:dyDescent="0.35">
      <c r="A812" s="178"/>
    </row>
    <row r="813" spans="1:1" x14ac:dyDescent="0.35">
      <c r="A813" s="178"/>
    </row>
    <row r="814" spans="1:1" x14ac:dyDescent="0.35">
      <c r="A814" s="178"/>
    </row>
    <row r="815" spans="1:1" x14ac:dyDescent="0.35">
      <c r="A815" s="178"/>
    </row>
    <row r="816" spans="1:1" x14ac:dyDescent="0.35">
      <c r="A816" s="178"/>
    </row>
    <row r="817" spans="1:1" x14ac:dyDescent="0.35">
      <c r="A817" s="178"/>
    </row>
    <row r="818" spans="1:1" x14ac:dyDescent="0.35">
      <c r="A818" s="178"/>
    </row>
    <row r="819" spans="1:1" x14ac:dyDescent="0.35">
      <c r="A819" s="178"/>
    </row>
    <row r="820" spans="1:1" x14ac:dyDescent="0.35">
      <c r="A820" s="178"/>
    </row>
    <row r="821" spans="1:1" x14ac:dyDescent="0.35">
      <c r="A821" s="178"/>
    </row>
    <row r="822" spans="1:1" x14ac:dyDescent="0.35">
      <c r="A822" s="178"/>
    </row>
    <row r="823" spans="1:1" x14ac:dyDescent="0.35">
      <c r="A823" s="178"/>
    </row>
    <row r="824" spans="1:1" x14ac:dyDescent="0.35">
      <c r="A824" s="178"/>
    </row>
    <row r="825" spans="1:1" x14ac:dyDescent="0.35">
      <c r="A825" s="178"/>
    </row>
    <row r="826" spans="1:1" x14ac:dyDescent="0.35">
      <c r="A826" s="178"/>
    </row>
    <row r="827" spans="1:1" x14ac:dyDescent="0.35">
      <c r="A827" s="178"/>
    </row>
    <row r="828" spans="1:1" x14ac:dyDescent="0.35">
      <c r="A828" s="178"/>
    </row>
    <row r="829" spans="1:1" x14ac:dyDescent="0.35">
      <c r="A829" s="178"/>
    </row>
    <row r="830" spans="1:1" x14ac:dyDescent="0.35">
      <c r="A830" s="178"/>
    </row>
    <row r="831" spans="1:1" x14ac:dyDescent="0.35">
      <c r="A831" s="178"/>
    </row>
    <row r="832" spans="1:1" x14ac:dyDescent="0.35">
      <c r="A832" s="178"/>
    </row>
    <row r="833" spans="1:1" x14ac:dyDescent="0.35">
      <c r="A833" s="178"/>
    </row>
    <row r="834" spans="1:1" x14ac:dyDescent="0.35">
      <c r="A834" s="178"/>
    </row>
    <row r="835" spans="1:1" x14ac:dyDescent="0.35">
      <c r="A835" s="178"/>
    </row>
    <row r="836" spans="1:1" x14ac:dyDescent="0.35">
      <c r="A836" s="178"/>
    </row>
    <row r="837" spans="1:1" x14ac:dyDescent="0.35">
      <c r="A837" s="178"/>
    </row>
    <row r="838" spans="1:1" x14ac:dyDescent="0.35">
      <c r="A838" s="178"/>
    </row>
    <row r="839" spans="1:1" x14ac:dyDescent="0.35">
      <c r="A839" s="178"/>
    </row>
    <row r="840" spans="1:1" x14ac:dyDescent="0.35">
      <c r="A840" s="178"/>
    </row>
    <row r="841" spans="1:1" x14ac:dyDescent="0.35">
      <c r="A841" s="178"/>
    </row>
    <row r="842" spans="1:1" x14ac:dyDescent="0.35">
      <c r="A842" s="178"/>
    </row>
    <row r="843" spans="1:1" x14ac:dyDescent="0.35">
      <c r="A843" s="178"/>
    </row>
    <row r="844" spans="1:1" x14ac:dyDescent="0.35">
      <c r="A844" s="178"/>
    </row>
    <row r="845" spans="1:1" x14ac:dyDescent="0.35">
      <c r="A845" s="178"/>
    </row>
    <row r="846" spans="1:1" x14ac:dyDescent="0.35">
      <c r="A846" s="178"/>
    </row>
    <row r="847" spans="1:1" x14ac:dyDescent="0.35">
      <c r="A847" s="178"/>
    </row>
    <row r="848" spans="1:1" x14ac:dyDescent="0.35">
      <c r="A848" s="178"/>
    </row>
    <row r="849" spans="1:1" x14ac:dyDescent="0.35">
      <c r="A849" s="178"/>
    </row>
    <row r="850" spans="1:1" x14ac:dyDescent="0.35">
      <c r="A850" s="178"/>
    </row>
    <row r="851" spans="1:1" x14ac:dyDescent="0.35">
      <c r="A851" s="178"/>
    </row>
    <row r="852" spans="1:1" x14ac:dyDescent="0.35">
      <c r="A852" s="178"/>
    </row>
    <row r="853" spans="1:1" x14ac:dyDescent="0.35">
      <c r="A853" s="178"/>
    </row>
    <row r="854" spans="1:1" x14ac:dyDescent="0.35">
      <c r="A854" s="178"/>
    </row>
    <row r="855" spans="1:1" x14ac:dyDescent="0.35">
      <c r="A855" s="178"/>
    </row>
    <row r="856" spans="1:1" x14ac:dyDescent="0.35">
      <c r="A856" s="178"/>
    </row>
    <row r="857" spans="1:1" x14ac:dyDescent="0.35">
      <c r="A857" s="178"/>
    </row>
    <row r="858" spans="1:1" x14ac:dyDescent="0.35">
      <c r="A858" s="178"/>
    </row>
    <row r="859" spans="1:1" x14ac:dyDescent="0.35">
      <c r="A859" s="178"/>
    </row>
    <row r="860" spans="1:1" x14ac:dyDescent="0.35">
      <c r="A860" s="178"/>
    </row>
    <row r="861" spans="1:1" x14ac:dyDescent="0.35">
      <c r="A861" s="178"/>
    </row>
    <row r="862" spans="1:1" x14ac:dyDescent="0.35">
      <c r="A862" s="178"/>
    </row>
    <row r="863" spans="1:1" x14ac:dyDescent="0.35">
      <c r="A863" s="178"/>
    </row>
    <row r="864" spans="1:1" x14ac:dyDescent="0.35">
      <c r="A864" s="178"/>
    </row>
    <row r="865" spans="1:1" x14ac:dyDescent="0.35">
      <c r="A865" s="178"/>
    </row>
    <row r="866" spans="1:1" x14ac:dyDescent="0.35">
      <c r="A866" s="178"/>
    </row>
    <row r="867" spans="1:1" x14ac:dyDescent="0.35">
      <c r="A867" s="178"/>
    </row>
    <row r="868" spans="1:1" x14ac:dyDescent="0.35">
      <c r="A868" s="178"/>
    </row>
    <row r="869" spans="1:1" x14ac:dyDescent="0.35">
      <c r="A869" s="178"/>
    </row>
    <row r="870" spans="1:1" x14ac:dyDescent="0.35">
      <c r="A870" s="178"/>
    </row>
    <row r="871" spans="1:1" x14ac:dyDescent="0.35">
      <c r="A871" s="178"/>
    </row>
    <row r="872" spans="1:1" x14ac:dyDescent="0.35">
      <c r="A872" s="178"/>
    </row>
    <row r="873" spans="1:1" x14ac:dyDescent="0.35">
      <c r="A873" s="178"/>
    </row>
    <row r="874" spans="1:1" x14ac:dyDescent="0.35">
      <c r="A874" s="178"/>
    </row>
    <row r="875" spans="1:1" x14ac:dyDescent="0.35">
      <c r="A875" s="178"/>
    </row>
    <row r="876" spans="1:1" x14ac:dyDescent="0.35">
      <c r="A876" s="178"/>
    </row>
    <row r="877" spans="1:1" x14ac:dyDescent="0.35">
      <c r="A877" s="178"/>
    </row>
    <row r="878" spans="1:1" x14ac:dyDescent="0.35">
      <c r="A878" s="178"/>
    </row>
    <row r="879" spans="1:1" x14ac:dyDescent="0.35">
      <c r="A879" s="178"/>
    </row>
    <row r="880" spans="1:1" x14ac:dyDescent="0.35">
      <c r="A880" s="178"/>
    </row>
    <row r="881" spans="1:1" x14ac:dyDescent="0.35">
      <c r="A881" s="178"/>
    </row>
    <row r="882" spans="1:1" x14ac:dyDescent="0.35">
      <c r="A882" s="178"/>
    </row>
    <row r="883" spans="1:1" x14ac:dyDescent="0.35">
      <c r="A883" s="178"/>
    </row>
    <row r="884" spans="1:1" x14ac:dyDescent="0.35">
      <c r="A884" s="178"/>
    </row>
    <row r="885" spans="1:1" x14ac:dyDescent="0.35">
      <c r="A885" s="178"/>
    </row>
    <row r="886" spans="1:1" x14ac:dyDescent="0.35">
      <c r="A886" s="178"/>
    </row>
    <row r="887" spans="1:1" x14ac:dyDescent="0.35">
      <c r="A887" s="178"/>
    </row>
    <row r="888" spans="1:1" x14ac:dyDescent="0.35">
      <c r="A888" s="178"/>
    </row>
    <row r="889" spans="1:1" x14ac:dyDescent="0.35">
      <c r="A889" s="178"/>
    </row>
    <row r="890" spans="1:1" x14ac:dyDescent="0.35">
      <c r="A890" s="178"/>
    </row>
    <row r="891" spans="1:1" x14ac:dyDescent="0.35">
      <c r="A891" s="178"/>
    </row>
    <row r="892" spans="1:1" x14ac:dyDescent="0.35">
      <c r="A892" s="178"/>
    </row>
    <row r="893" spans="1:1" x14ac:dyDescent="0.35">
      <c r="A893" s="178"/>
    </row>
    <row r="894" spans="1:1" x14ac:dyDescent="0.35">
      <c r="A894" s="178"/>
    </row>
    <row r="895" spans="1:1" x14ac:dyDescent="0.35">
      <c r="A895" s="178"/>
    </row>
    <row r="896" spans="1:1" x14ac:dyDescent="0.35">
      <c r="A896" s="178"/>
    </row>
    <row r="897" spans="1:1" x14ac:dyDescent="0.35">
      <c r="A897" s="178"/>
    </row>
    <row r="898" spans="1:1" x14ac:dyDescent="0.35">
      <c r="A898" s="178"/>
    </row>
    <row r="899" spans="1:1" x14ac:dyDescent="0.35">
      <c r="A899" s="178"/>
    </row>
    <row r="900" spans="1:1" x14ac:dyDescent="0.35">
      <c r="A900" s="178"/>
    </row>
    <row r="901" spans="1:1" x14ac:dyDescent="0.35">
      <c r="A901" s="178"/>
    </row>
    <row r="902" spans="1:1" x14ac:dyDescent="0.35">
      <c r="A902" s="178"/>
    </row>
    <row r="903" spans="1:1" x14ac:dyDescent="0.35">
      <c r="A903" s="178"/>
    </row>
    <row r="904" spans="1:1" x14ac:dyDescent="0.35">
      <c r="A904" s="178"/>
    </row>
    <row r="905" spans="1:1" x14ac:dyDescent="0.35">
      <c r="A905" s="178"/>
    </row>
    <row r="906" spans="1:1" x14ac:dyDescent="0.35">
      <c r="A906" s="178"/>
    </row>
    <row r="907" spans="1:1" x14ac:dyDescent="0.35">
      <c r="A907" s="178"/>
    </row>
    <row r="908" spans="1:1" x14ac:dyDescent="0.35">
      <c r="A908" s="178"/>
    </row>
    <row r="909" spans="1:1" x14ac:dyDescent="0.35">
      <c r="A909" s="178"/>
    </row>
    <row r="910" spans="1:1" x14ac:dyDescent="0.35">
      <c r="A910" s="178"/>
    </row>
    <row r="911" spans="1:1" x14ac:dyDescent="0.35">
      <c r="A911" s="178"/>
    </row>
    <row r="912" spans="1:1" x14ac:dyDescent="0.35">
      <c r="A912" s="178"/>
    </row>
    <row r="913" spans="1:1" x14ac:dyDescent="0.35">
      <c r="A913" s="178"/>
    </row>
    <row r="914" spans="1:1" x14ac:dyDescent="0.35">
      <c r="A914" s="178"/>
    </row>
    <row r="915" spans="1:1" x14ac:dyDescent="0.35">
      <c r="A915" s="178"/>
    </row>
    <row r="916" spans="1:1" x14ac:dyDescent="0.35">
      <c r="A916" s="178"/>
    </row>
    <row r="917" spans="1:1" x14ac:dyDescent="0.35">
      <c r="A917" s="178"/>
    </row>
    <row r="918" spans="1:1" x14ac:dyDescent="0.35">
      <c r="A918" s="178"/>
    </row>
    <row r="919" spans="1:1" x14ac:dyDescent="0.35">
      <c r="A919" s="178"/>
    </row>
    <row r="920" spans="1:1" x14ac:dyDescent="0.35">
      <c r="A920" s="178"/>
    </row>
    <row r="921" spans="1:1" x14ac:dyDescent="0.35">
      <c r="A921" s="178"/>
    </row>
    <row r="922" spans="1:1" x14ac:dyDescent="0.35">
      <c r="A922" s="178"/>
    </row>
    <row r="923" spans="1:1" x14ac:dyDescent="0.35">
      <c r="A923" s="178"/>
    </row>
    <row r="924" spans="1:1" x14ac:dyDescent="0.35">
      <c r="A924" s="178"/>
    </row>
    <row r="925" spans="1:1" x14ac:dyDescent="0.35">
      <c r="A925" s="178"/>
    </row>
    <row r="926" spans="1:1" x14ac:dyDescent="0.35">
      <c r="A926" s="178"/>
    </row>
    <row r="927" spans="1:1" x14ac:dyDescent="0.35">
      <c r="A927" s="178"/>
    </row>
    <row r="928" spans="1:1" x14ac:dyDescent="0.35">
      <c r="A928" s="178"/>
    </row>
    <row r="929" spans="1:1" x14ac:dyDescent="0.35">
      <c r="A929" s="178"/>
    </row>
    <row r="930" spans="1:1" x14ac:dyDescent="0.35">
      <c r="A930" s="178"/>
    </row>
    <row r="931" spans="1:1" x14ac:dyDescent="0.35">
      <c r="A931" s="178"/>
    </row>
    <row r="932" spans="1:1" x14ac:dyDescent="0.35">
      <c r="A932" s="178"/>
    </row>
    <row r="933" spans="1:1" x14ac:dyDescent="0.35">
      <c r="A933" s="178"/>
    </row>
    <row r="934" spans="1:1" x14ac:dyDescent="0.35">
      <c r="A934" s="178"/>
    </row>
    <row r="935" spans="1:1" x14ac:dyDescent="0.35">
      <c r="A935" s="178"/>
    </row>
    <row r="936" spans="1:1" x14ac:dyDescent="0.35">
      <c r="A936" s="178"/>
    </row>
    <row r="937" spans="1:1" x14ac:dyDescent="0.35">
      <c r="A937" s="178"/>
    </row>
    <row r="938" spans="1:1" x14ac:dyDescent="0.35">
      <c r="A938" s="178"/>
    </row>
    <row r="939" spans="1:1" x14ac:dyDescent="0.35">
      <c r="A939" s="178"/>
    </row>
    <row r="940" spans="1:1" x14ac:dyDescent="0.35">
      <c r="A940" s="178"/>
    </row>
    <row r="941" spans="1:1" x14ac:dyDescent="0.35">
      <c r="A941" s="178"/>
    </row>
    <row r="942" spans="1:1" x14ac:dyDescent="0.35">
      <c r="A942" s="178"/>
    </row>
    <row r="943" spans="1:1" x14ac:dyDescent="0.35">
      <c r="A943" s="178"/>
    </row>
    <row r="944" spans="1:1" x14ac:dyDescent="0.35">
      <c r="A944" s="178"/>
    </row>
    <row r="945" spans="1:1" x14ac:dyDescent="0.35">
      <c r="A945" s="178"/>
    </row>
    <row r="946" spans="1:1" x14ac:dyDescent="0.35">
      <c r="A946" s="178"/>
    </row>
    <row r="947" spans="1:1" x14ac:dyDescent="0.35">
      <c r="A947" s="178"/>
    </row>
    <row r="948" spans="1:1" x14ac:dyDescent="0.35">
      <c r="A948" s="178"/>
    </row>
    <row r="949" spans="1:1" x14ac:dyDescent="0.35">
      <c r="A949" s="178"/>
    </row>
    <row r="950" spans="1:1" x14ac:dyDescent="0.35">
      <c r="A950" s="178"/>
    </row>
    <row r="951" spans="1:1" x14ac:dyDescent="0.35">
      <c r="A951" s="178"/>
    </row>
    <row r="952" spans="1:1" x14ac:dyDescent="0.35">
      <c r="A952" s="178"/>
    </row>
    <row r="953" spans="1:1" x14ac:dyDescent="0.35">
      <c r="A953" s="178"/>
    </row>
    <row r="954" spans="1:1" x14ac:dyDescent="0.35">
      <c r="A954" s="178"/>
    </row>
    <row r="955" spans="1:1" x14ac:dyDescent="0.35">
      <c r="A955" s="178"/>
    </row>
    <row r="956" spans="1:1" x14ac:dyDescent="0.35">
      <c r="A956" s="178"/>
    </row>
    <row r="957" spans="1:1" x14ac:dyDescent="0.35">
      <c r="A957" s="178"/>
    </row>
    <row r="958" spans="1:1" x14ac:dyDescent="0.35">
      <c r="A958" s="178"/>
    </row>
    <row r="959" spans="1:1" x14ac:dyDescent="0.35">
      <c r="A959" s="178"/>
    </row>
    <row r="960" spans="1:1" x14ac:dyDescent="0.35">
      <c r="A960" s="178"/>
    </row>
    <row r="961" spans="1:1" x14ac:dyDescent="0.35">
      <c r="A961" s="178"/>
    </row>
    <row r="962" spans="1:1" x14ac:dyDescent="0.35">
      <c r="A962" s="178"/>
    </row>
    <row r="963" spans="1:1" x14ac:dyDescent="0.35">
      <c r="A963" s="178"/>
    </row>
    <row r="964" spans="1:1" x14ac:dyDescent="0.35">
      <c r="A964" s="178"/>
    </row>
    <row r="965" spans="1:1" x14ac:dyDescent="0.35">
      <c r="A965" s="178"/>
    </row>
    <row r="966" spans="1:1" x14ac:dyDescent="0.35">
      <c r="A966" s="178"/>
    </row>
    <row r="967" spans="1:1" x14ac:dyDescent="0.35">
      <c r="A967" s="178"/>
    </row>
    <row r="968" spans="1:1" x14ac:dyDescent="0.35">
      <c r="A968" s="178"/>
    </row>
    <row r="969" spans="1:1" x14ac:dyDescent="0.35">
      <c r="A969" s="178"/>
    </row>
    <row r="970" spans="1:1" x14ac:dyDescent="0.35">
      <c r="A970" s="178"/>
    </row>
    <row r="971" spans="1:1" x14ac:dyDescent="0.35">
      <c r="A971" s="178"/>
    </row>
    <row r="972" spans="1:1" x14ac:dyDescent="0.35">
      <c r="A972" s="178"/>
    </row>
    <row r="973" spans="1:1" x14ac:dyDescent="0.35">
      <c r="A973" s="178"/>
    </row>
    <row r="974" spans="1:1" x14ac:dyDescent="0.35">
      <c r="A974" s="178"/>
    </row>
    <row r="975" spans="1:1" x14ac:dyDescent="0.35">
      <c r="A975" s="178"/>
    </row>
    <row r="976" spans="1:1" x14ac:dyDescent="0.35">
      <c r="A976" s="178"/>
    </row>
    <row r="977" spans="1:1" x14ac:dyDescent="0.35">
      <c r="A977" s="178"/>
    </row>
    <row r="978" spans="1:1" x14ac:dyDescent="0.35">
      <c r="A978" s="178"/>
    </row>
    <row r="979" spans="1:1" x14ac:dyDescent="0.35">
      <c r="A979" s="178"/>
    </row>
    <row r="980" spans="1:1" x14ac:dyDescent="0.35">
      <c r="A980" s="178"/>
    </row>
    <row r="981" spans="1:1" x14ac:dyDescent="0.35">
      <c r="A981" s="178"/>
    </row>
    <row r="982" spans="1:1" x14ac:dyDescent="0.35">
      <c r="A982" s="178"/>
    </row>
    <row r="983" spans="1:1" x14ac:dyDescent="0.35">
      <c r="A983" s="178"/>
    </row>
    <row r="984" spans="1:1" x14ac:dyDescent="0.35">
      <c r="A984" s="178"/>
    </row>
    <row r="985" spans="1:1" x14ac:dyDescent="0.35">
      <c r="A985" s="178"/>
    </row>
    <row r="986" spans="1:1" x14ac:dyDescent="0.35">
      <c r="A986" s="178"/>
    </row>
    <row r="987" spans="1:1" x14ac:dyDescent="0.35">
      <c r="A987" s="178"/>
    </row>
    <row r="988" spans="1:1" x14ac:dyDescent="0.35">
      <c r="A988" s="207"/>
    </row>
    <row r="989" spans="1:1" x14ac:dyDescent="0.35">
      <c r="A989" s="178"/>
    </row>
    <row r="990" spans="1:1" x14ac:dyDescent="0.35">
      <c r="A990" s="178"/>
    </row>
    <row r="991" spans="1:1" x14ac:dyDescent="0.35">
      <c r="A991" s="178"/>
    </row>
    <row r="992" spans="1:1" x14ac:dyDescent="0.35">
      <c r="A992" s="178"/>
    </row>
    <row r="993" spans="1:1" x14ac:dyDescent="0.35">
      <c r="A993" s="178"/>
    </row>
    <row r="994" spans="1:1" x14ac:dyDescent="0.35">
      <c r="A994" s="178"/>
    </row>
    <row r="995" spans="1:1" x14ac:dyDescent="0.35">
      <c r="A995" s="178"/>
    </row>
    <row r="996" spans="1:1" x14ac:dyDescent="0.35">
      <c r="A996" s="178"/>
    </row>
    <row r="997" spans="1:1" x14ac:dyDescent="0.35">
      <c r="A997" s="178"/>
    </row>
    <row r="998" spans="1:1" x14ac:dyDescent="0.35">
      <c r="A998" s="178"/>
    </row>
    <row r="999" spans="1:1" x14ac:dyDescent="0.35">
      <c r="A999" s="178"/>
    </row>
    <row r="1000" spans="1:1" x14ac:dyDescent="0.35">
      <c r="A1000" s="178"/>
    </row>
    <row r="1001" spans="1:1" x14ac:dyDescent="0.35">
      <c r="A1001" s="178"/>
    </row>
    <row r="1002" spans="1:1" x14ac:dyDescent="0.35">
      <c r="A1002" s="178"/>
    </row>
    <row r="1003" spans="1:1" x14ac:dyDescent="0.35">
      <c r="A1003" s="178"/>
    </row>
    <row r="1004" spans="1:1" x14ac:dyDescent="0.35">
      <c r="A1004" s="178"/>
    </row>
    <row r="1005" spans="1:1" x14ac:dyDescent="0.35">
      <c r="A1005" s="178"/>
    </row>
    <row r="1006" spans="1:1" x14ac:dyDescent="0.35">
      <c r="A1006" s="178"/>
    </row>
    <row r="1007" spans="1:1" x14ac:dyDescent="0.35">
      <c r="A1007" s="178"/>
    </row>
    <row r="1008" spans="1:1" x14ac:dyDescent="0.35">
      <c r="A1008" s="178"/>
    </row>
    <row r="1009" spans="1:1" x14ac:dyDescent="0.35">
      <c r="A1009" s="178"/>
    </row>
    <row r="1010" spans="1:1" x14ac:dyDescent="0.35">
      <c r="A1010" s="178"/>
    </row>
    <row r="1011" spans="1:1" x14ac:dyDescent="0.35">
      <c r="A1011" s="178"/>
    </row>
    <row r="1012" spans="1:1" x14ac:dyDescent="0.35">
      <c r="A1012" s="178"/>
    </row>
    <row r="1013" spans="1:1" x14ac:dyDescent="0.35">
      <c r="A1013" s="178"/>
    </row>
    <row r="1014" spans="1:1" x14ac:dyDescent="0.35">
      <c r="A1014" s="178"/>
    </row>
    <row r="1015" spans="1:1" x14ac:dyDescent="0.35">
      <c r="A1015" s="178"/>
    </row>
    <row r="1016" spans="1:1" x14ac:dyDescent="0.35">
      <c r="A1016" s="178"/>
    </row>
    <row r="1017" spans="1:1" x14ac:dyDescent="0.35">
      <c r="A1017" s="178"/>
    </row>
    <row r="1018" spans="1:1" x14ac:dyDescent="0.35">
      <c r="A1018" s="178"/>
    </row>
    <row r="1019" spans="1:1" x14ac:dyDescent="0.35">
      <c r="A1019" s="178"/>
    </row>
    <row r="1020" spans="1:1" x14ac:dyDescent="0.35">
      <c r="A1020" s="178"/>
    </row>
    <row r="1021" spans="1:1" x14ac:dyDescent="0.35">
      <c r="A1021" s="178"/>
    </row>
    <row r="1022" spans="1:1" x14ac:dyDescent="0.35">
      <c r="A1022" s="178"/>
    </row>
    <row r="1023" spans="1:1" x14ac:dyDescent="0.35">
      <c r="A1023" s="178"/>
    </row>
    <row r="1024" spans="1:1" x14ac:dyDescent="0.35">
      <c r="A1024" s="178"/>
    </row>
    <row r="1025" spans="1:1" x14ac:dyDescent="0.35">
      <c r="A1025" s="178"/>
    </row>
    <row r="1026" spans="1:1" x14ac:dyDescent="0.35">
      <c r="A1026" s="178"/>
    </row>
    <row r="1027" spans="1:1" x14ac:dyDescent="0.35">
      <c r="A1027" s="178"/>
    </row>
    <row r="1028" spans="1:1" x14ac:dyDescent="0.35">
      <c r="A1028" s="178"/>
    </row>
    <row r="1029" spans="1:1" x14ac:dyDescent="0.35">
      <c r="A1029" s="178"/>
    </row>
    <row r="1030" spans="1:1" x14ac:dyDescent="0.35">
      <c r="A1030" s="178"/>
    </row>
    <row r="1031" spans="1:1" x14ac:dyDescent="0.35">
      <c r="A1031" s="178"/>
    </row>
    <row r="1032" spans="1:1" x14ac:dyDescent="0.35">
      <c r="A1032" s="178"/>
    </row>
    <row r="1033" spans="1:1" x14ac:dyDescent="0.35">
      <c r="A1033" s="178"/>
    </row>
    <row r="1034" spans="1:1" x14ac:dyDescent="0.35">
      <c r="A1034" s="178"/>
    </row>
    <row r="1035" spans="1:1" x14ac:dyDescent="0.35">
      <c r="A1035" s="178"/>
    </row>
    <row r="1036" spans="1:1" x14ac:dyDescent="0.35">
      <c r="A1036" s="178"/>
    </row>
    <row r="1037" spans="1:1" x14ac:dyDescent="0.35">
      <c r="A1037" s="178"/>
    </row>
    <row r="1038" spans="1:1" x14ac:dyDescent="0.35">
      <c r="A1038" s="178"/>
    </row>
    <row r="1039" spans="1:1" x14ac:dyDescent="0.35">
      <c r="A1039" s="178"/>
    </row>
    <row r="1040" spans="1:1" x14ac:dyDescent="0.35">
      <c r="A1040" s="178"/>
    </row>
    <row r="1041" spans="1:1" x14ac:dyDescent="0.35">
      <c r="A1041" s="178"/>
    </row>
    <row r="1042" spans="1:1" x14ac:dyDescent="0.35">
      <c r="A1042" s="178"/>
    </row>
    <row r="1043" spans="1:1" x14ac:dyDescent="0.35">
      <c r="A1043" s="178"/>
    </row>
    <row r="1044" spans="1:1" x14ac:dyDescent="0.35">
      <c r="A1044" s="178"/>
    </row>
    <row r="1045" spans="1:1" x14ac:dyDescent="0.35">
      <c r="A1045" s="178"/>
    </row>
    <row r="1046" spans="1:1" x14ac:dyDescent="0.35">
      <c r="A1046" s="178"/>
    </row>
    <row r="1047" spans="1:1" x14ac:dyDescent="0.35">
      <c r="A1047" s="178"/>
    </row>
    <row r="1048" spans="1:1" x14ac:dyDescent="0.35">
      <c r="A1048" s="178"/>
    </row>
    <row r="1049" spans="1:1" x14ac:dyDescent="0.35">
      <c r="A1049" s="178"/>
    </row>
    <row r="1050" spans="1:1" x14ac:dyDescent="0.35">
      <c r="A1050" s="178"/>
    </row>
    <row r="1051" spans="1:1" x14ac:dyDescent="0.35">
      <c r="A1051" s="178"/>
    </row>
    <row r="1052" spans="1:1" x14ac:dyDescent="0.35">
      <c r="A1052" s="178"/>
    </row>
    <row r="1053" spans="1:1" x14ac:dyDescent="0.35">
      <c r="A1053" s="178"/>
    </row>
    <row r="1054" spans="1:1" x14ac:dyDescent="0.35">
      <c r="A1054" s="178"/>
    </row>
    <row r="1055" spans="1:1" x14ac:dyDescent="0.35">
      <c r="A1055" s="178"/>
    </row>
    <row r="1056" spans="1:1" x14ac:dyDescent="0.35">
      <c r="A1056" s="178"/>
    </row>
    <row r="1057" spans="1:1" x14ac:dyDescent="0.35">
      <c r="A1057" s="178"/>
    </row>
    <row r="1058" spans="1:1" x14ac:dyDescent="0.35">
      <c r="A1058" s="178"/>
    </row>
    <row r="1059" spans="1:1" x14ac:dyDescent="0.35">
      <c r="A1059" s="178"/>
    </row>
    <row r="1060" spans="1:1" x14ac:dyDescent="0.35">
      <c r="A1060" s="178"/>
    </row>
    <row r="1061" spans="1:1" x14ac:dyDescent="0.35">
      <c r="A1061" s="178"/>
    </row>
    <row r="1062" spans="1:1" x14ac:dyDescent="0.35">
      <c r="A1062" s="178"/>
    </row>
    <row r="1063" spans="1:1" x14ac:dyDescent="0.35">
      <c r="A1063" s="178"/>
    </row>
    <row r="1064" spans="1:1" x14ac:dyDescent="0.35">
      <c r="A1064" s="178"/>
    </row>
    <row r="1065" spans="1:1" x14ac:dyDescent="0.35">
      <c r="A1065" s="178"/>
    </row>
    <row r="1066" spans="1:1" x14ac:dyDescent="0.35">
      <c r="A1066" s="178"/>
    </row>
    <row r="1067" spans="1:1" x14ac:dyDescent="0.35">
      <c r="A1067" s="178"/>
    </row>
    <row r="1068" spans="1:1" x14ac:dyDescent="0.35">
      <c r="A1068" s="178"/>
    </row>
    <row r="1069" spans="1:1" x14ac:dyDescent="0.35">
      <c r="A1069" s="178"/>
    </row>
    <row r="1070" spans="1:1" x14ac:dyDescent="0.35">
      <c r="A1070" s="178"/>
    </row>
    <row r="1071" spans="1:1" x14ac:dyDescent="0.35">
      <c r="A1071" s="178"/>
    </row>
    <row r="1072" spans="1:1" x14ac:dyDescent="0.35">
      <c r="A1072" s="178"/>
    </row>
    <row r="1073" spans="1:1" x14ac:dyDescent="0.35">
      <c r="A1073" s="178"/>
    </row>
    <row r="1074" spans="1:1" x14ac:dyDescent="0.35">
      <c r="A1074" s="178"/>
    </row>
    <row r="1075" spans="1:1" x14ac:dyDescent="0.35">
      <c r="A1075" s="178"/>
    </row>
    <row r="1076" spans="1:1" x14ac:dyDescent="0.35">
      <c r="A1076" s="178"/>
    </row>
    <row r="1077" spans="1:1" x14ac:dyDescent="0.35">
      <c r="A1077" s="178"/>
    </row>
    <row r="1078" spans="1:1" x14ac:dyDescent="0.35">
      <c r="A1078" s="178"/>
    </row>
    <row r="1079" spans="1:1" x14ac:dyDescent="0.35">
      <c r="A1079" s="178"/>
    </row>
    <row r="1080" spans="1:1" x14ac:dyDescent="0.35">
      <c r="A1080" s="178"/>
    </row>
    <row r="1081" spans="1:1" x14ac:dyDescent="0.35">
      <c r="A1081" s="178"/>
    </row>
    <row r="1082" spans="1:1" x14ac:dyDescent="0.35">
      <c r="A1082" s="178"/>
    </row>
    <row r="1083" spans="1:1" x14ac:dyDescent="0.35">
      <c r="A1083" s="178"/>
    </row>
    <row r="1084" spans="1:1" x14ac:dyDescent="0.35">
      <c r="A1084" s="178"/>
    </row>
    <row r="1085" spans="1:1" x14ac:dyDescent="0.35">
      <c r="A1085" s="178"/>
    </row>
    <row r="1086" spans="1:1" x14ac:dyDescent="0.35">
      <c r="A1086" s="178"/>
    </row>
    <row r="1087" spans="1:1" x14ac:dyDescent="0.35">
      <c r="A1087" s="178"/>
    </row>
    <row r="1088" spans="1:1" x14ac:dyDescent="0.35">
      <c r="A1088" s="178"/>
    </row>
    <row r="1089" spans="1:1" x14ac:dyDescent="0.35">
      <c r="A1089" s="178"/>
    </row>
    <row r="1090" spans="1:1" x14ac:dyDescent="0.35">
      <c r="A1090" s="178"/>
    </row>
    <row r="1091" spans="1:1" x14ac:dyDescent="0.35">
      <c r="A1091" s="178"/>
    </row>
    <row r="1092" spans="1:1" x14ac:dyDescent="0.35">
      <c r="A1092" s="178"/>
    </row>
    <row r="1093" spans="1:1" x14ac:dyDescent="0.35">
      <c r="A1093" s="178"/>
    </row>
    <row r="1094" spans="1:1" x14ac:dyDescent="0.35">
      <c r="A1094" s="178"/>
    </row>
    <row r="1095" spans="1:1" x14ac:dyDescent="0.35">
      <c r="A1095" s="178"/>
    </row>
    <row r="1096" spans="1:1" x14ac:dyDescent="0.35">
      <c r="A1096" s="178"/>
    </row>
    <row r="1097" spans="1:1" x14ac:dyDescent="0.35">
      <c r="A1097" s="178"/>
    </row>
    <row r="1098" spans="1:1" x14ac:dyDescent="0.35">
      <c r="A1098" s="178"/>
    </row>
    <row r="1099" spans="1:1" x14ac:dyDescent="0.35">
      <c r="A1099" s="178"/>
    </row>
    <row r="1100" spans="1:1" x14ac:dyDescent="0.35">
      <c r="A1100" s="178"/>
    </row>
    <row r="1101" spans="1:1" x14ac:dyDescent="0.35">
      <c r="A1101" s="178"/>
    </row>
    <row r="1102" spans="1:1" x14ac:dyDescent="0.35">
      <c r="A1102" s="178"/>
    </row>
    <row r="1103" spans="1:1" x14ac:dyDescent="0.35">
      <c r="A1103" s="178"/>
    </row>
    <row r="1104" spans="1:1" x14ac:dyDescent="0.35">
      <c r="A1104" s="178"/>
    </row>
    <row r="1105" spans="1:1" x14ac:dyDescent="0.35">
      <c r="A1105" s="178"/>
    </row>
    <row r="1106" spans="1:1" x14ac:dyDescent="0.35">
      <c r="A1106" s="178"/>
    </row>
    <row r="1107" spans="1:1" x14ac:dyDescent="0.35">
      <c r="A1107" s="178"/>
    </row>
    <row r="1108" spans="1:1" x14ac:dyDescent="0.35">
      <c r="A1108" s="178"/>
    </row>
    <row r="1109" spans="1:1" x14ac:dyDescent="0.35">
      <c r="A1109" s="178"/>
    </row>
    <row r="1110" spans="1:1" x14ac:dyDescent="0.35">
      <c r="A1110" s="178"/>
    </row>
    <row r="1111" spans="1:1" x14ac:dyDescent="0.35">
      <c r="A1111" s="178"/>
    </row>
    <row r="1112" spans="1:1" x14ac:dyDescent="0.35">
      <c r="A1112" s="178"/>
    </row>
    <row r="1113" spans="1:1" x14ac:dyDescent="0.35">
      <c r="A1113" s="178"/>
    </row>
    <row r="1114" spans="1:1" x14ac:dyDescent="0.35">
      <c r="A1114" s="178"/>
    </row>
    <row r="1115" spans="1:1" x14ac:dyDescent="0.35">
      <c r="A1115" s="178"/>
    </row>
    <row r="1116" spans="1:1" x14ac:dyDescent="0.35">
      <c r="A1116" s="178"/>
    </row>
    <row r="1117" spans="1:1" x14ac:dyDescent="0.35">
      <c r="A1117" s="178"/>
    </row>
    <row r="1118" spans="1:1" x14ac:dyDescent="0.35">
      <c r="A1118" s="178"/>
    </row>
    <row r="1119" spans="1:1" x14ac:dyDescent="0.35">
      <c r="A1119" s="178"/>
    </row>
    <row r="1120" spans="1:1" x14ac:dyDescent="0.35">
      <c r="A1120" s="178"/>
    </row>
    <row r="1121" spans="1:1" x14ac:dyDescent="0.35">
      <c r="A1121" s="178"/>
    </row>
    <row r="1122" spans="1:1" x14ac:dyDescent="0.35">
      <c r="A1122" s="178"/>
    </row>
    <row r="1123" spans="1:1" x14ac:dyDescent="0.35">
      <c r="A1123" s="178"/>
    </row>
    <row r="1124" spans="1:1" x14ac:dyDescent="0.35">
      <c r="A1124" s="178"/>
    </row>
    <row r="1125" spans="1:1" x14ac:dyDescent="0.35">
      <c r="A1125" s="178"/>
    </row>
    <row r="1126" spans="1:1" x14ac:dyDescent="0.35">
      <c r="A1126" s="178"/>
    </row>
    <row r="1127" spans="1:1" x14ac:dyDescent="0.35">
      <c r="A1127" s="178"/>
    </row>
    <row r="1128" spans="1:1" x14ac:dyDescent="0.35">
      <c r="A1128" s="178"/>
    </row>
    <row r="1129" spans="1:1" x14ac:dyDescent="0.35">
      <c r="A1129" s="178"/>
    </row>
    <row r="1130" spans="1:1" x14ac:dyDescent="0.35">
      <c r="A1130" s="178"/>
    </row>
    <row r="1131" spans="1:1" x14ac:dyDescent="0.35">
      <c r="A1131" s="178"/>
    </row>
    <row r="1132" spans="1:1" x14ac:dyDescent="0.35">
      <c r="A1132" s="178"/>
    </row>
    <row r="1133" spans="1:1" x14ac:dyDescent="0.35">
      <c r="A1133" s="178"/>
    </row>
    <row r="1134" spans="1:1" x14ac:dyDescent="0.35">
      <c r="A1134" s="178"/>
    </row>
    <row r="1135" spans="1:1" x14ac:dyDescent="0.35">
      <c r="A1135" s="178"/>
    </row>
    <row r="1136" spans="1:1" x14ac:dyDescent="0.35">
      <c r="A1136" s="178"/>
    </row>
    <row r="1137" spans="1:1" x14ac:dyDescent="0.35">
      <c r="A1137" s="178"/>
    </row>
    <row r="1138" spans="1:1" x14ac:dyDescent="0.35">
      <c r="A1138" s="178"/>
    </row>
    <row r="1139" spans="1:1" x14ac:dyDescent="0.35">
      <c r="A1139" s="178"/>
    </row>
    <row r="1140" spans="1:1" x14ac:dyDescent="0.35">
      <c r="A1140" s="178"/>
    </row>
    <row r="1141" spans="1:1" x14ac:dyDescent="0.35">
      <c r="A1141" s="178"/>
    </row>
    <row r="1142" spans="1:1" x14ac:dyDescent="0.35">
      <c r="A1142" s="178"/>
    </row>
    <row r="1143" spans="1:1" x14ac:dyDescent="0.35">
      <c r="A1143" s="178"/>
    </row>
    <row r="1144" spans="1:1" x14ac:dyDescent="0.35">
      <c r="A1144" s="178"/>
    </row>
    <row r="1145" spans="1:1" x14ac:dyDescent="0.35">
      <c r="A1145" s="178"/>
    </row>
    <row r="1146" spans="1:1" x14ac:dyDescent="0.35">
      <c r="A1146" s="178"/>
    </row>
    <row r="1147" spans="1:1" x14ac:dyDescent="0.35">
      <c r="A1147" s="178"/>
    </row>
    <row r="1148" spans="1:1" x14ac:dyDescent="0.35">
      <c r="A1148" s="178"/>
    </row>
    <row r="1149" spans="1:1" x14ac:dyDescent="0.35">
      <c r="A1149" s="178"/>
    </row>
    <row r="1150" spans="1:1" x14ac:dyDescent="0.35">
      <c r="A1150" s="178"/>
    </row>
    <row r="1151" spans="1:1" x14ac:dyDescent="0.35">
      <c r="A1151" s="178"/>
    </row>
    <row r="1152" spans="1:1" x14ac:dyDescent="0.35">
      <c r="A1152" s="178"/>
    </row>
    <row r="1153" spans="1:1" x14ac:dyDescent="0.35">
      <c r="A1153" s="178"/>
    </row>
    <row r="1154" spans="1:1" x14ac:dyDescent="0.35">
      <c r="A1154" s="178"/>
    </row>
    <row r="1155" spans="1:1" x14ac:dyDescent="0.35">
      <c r="A1155" s="178"/>
    </row>
    <row r="1156" spans="1:1" x14ac:dyDescent="0.35">
      <c r="A1156" s="178"/>
    </row>
    <row r="1157" spans="1:1" x14ac:dyDescent="0.35">
      <c r="A1157" s="178"/>
    </row>
    <row r="1158" spans="1:1" x14ac:dyDescent="0.35">
      <c r="A1158" s="178"/>
    </row>
    <row r="1159" spans="1:1" x14ac:dyDescent="0.35">
      <c r="A1159" s="178"/>
    </row>
    <row r="1160" spans="1:1" x14ac:dyDescent="0.35">
      <c r="A1160" s="178"/>
    </row>
    <row r="1161" spans="1:1" x14ac:dyDescent="0.35">
      <c r="A1161" s="178"/>
    </row>
    <row r="1162" spans="1:1" x14ac:dyDescent="0.35">
      <c r="A1162" s="178"/>
    </row>
    <row r="1163" spans="1:1" x14ac:dyDescent="0.35">
      <c r="A1163" s="178"/>
    </row>
    <row r="1164" spans="1:1" x14ac:dyDescent="0.35">
      <c r="A1164" s="178"/>
    </row>
    <row r="1165" spans="1:1" x14ac:dyDescent="0.35">
      <c r="A1165" s="178"/>
    </row>
    <row r="1166" spans="1:1" x14ac:dyDescent="0.35">
      <c r="A1166" s="178"/>
    </row>
    <row r="1167" spans="1:1" x14ac:dyDescent="0.35">
      <c r="A1167" s="178"/>
    </row>
    <row r="1168" spans="1:1" x14ac:dyDescent="0.35">
      <c r="A1168" s="178"/>
    </row>
    <row r="1169" spans="1:1" x14ac:dyDescent="0.35">
      <c r="A1169" s="178"/>
    </row>
    <row r="1170" spans="1:1" x14ac:dyDescent="0.35">
      <c r="A1170" s="178"/>
    </row>
    <row r="1171" spans="1:1" x14ac:dyDescent="0.35">
      <c r="A1171" s="178"/>
    </row>
    <row r="1172" spans="1:1" x14ac:dyDescent="0.35">
      <c r="A1172" s="178"/>
    </row>
    <row r="1173" spans="1:1" x14ac:dyDescent="0.35">
      <c r="A1173" s="178"/>
    </row>
    <row r="1174" spans="1:1" x14ac:dyDescent="0.35">
      <c r="A1174" s="178"/>
    </row>
    <row r="1175" spans="1:1" x14ac:dyDescent="0.35">
      <c r="A1175" s="178"/>
    </row>
    <row r="1176" spans="1:1" x14ac:dyDescent="0.35">
      <c r="A1176" s="178"/>
    </row>
    <row r="1177" spans="1:1" x14ac:dyDescent="0.35">
      <c r="A1177" s="178"/>
    </row>
    <row r="1178" spans="1:1" x14ac:dyDescent="0.35">
      <c r="A1178" s="178"/>
    </row>
    <row r="1179" spans="1:1" x14ac:dyDescent="0.35">
      <c r="A1179" s="178"/>
    </row>
    <row r="1180" spans="1:1" x14ac:dyDescent="0.35">
      <c r="A1180" s="178"/>
    </row>
    <row r="1181" spans="1:1" x14ac:dyDescent="0.35">
      <c r="A1181" s="178"/>
    </row>
    <row r="1182" spans="1:1" x14ac:dyDescent="0.35">
      <c r="A1182" s="178"/>
    </row>
    <row r="1183" spans="1:1" x14ac:dyDescent="0.35">
      <c r="A1183" s="178"/>
    </row>
    <row r="1184" spans="1:1" x14ac:dyDescent="0.35">
      <c r="A1184" s="178"/>
    </row>
    <row r="1185" spans="1:1" x14ac:dyDescent="0.35">
      <c r="A1185" s="178"/>
    </row>
    <row r="1186" spans="1:1" x14ac:dyDescent="0.35">
      <c r="A1186" s="178"/>
    </row>
    <row r="1187" spans="1:1" x14ac:dyDescent="0.35">
      <c r="A1187" s="178"/>
    </row>
    <row r="1188" spans="1:1" x14ac:dyDescent="0.35">
      <c r="A1188" s="178"/>
    </row>
    <row r="1189" spans="1:1" x14ac:dyDescent="0.35">
      <c r="A1189" s="178"/>
    </row>
    <row r="1190" spans="1:1" x14ac:dyDescent="0.35">
      <c r="A1190" s="178"/>
    </row>
    <row r="1191" spans="1:1" x14ac:dyDescent="0.35">
      <c r="A1191" s="178"/>
    </row>
    <row r="1192" spans="1:1" x14ac:dyDescent="0.35">
      <c r="A1192" s="178"/>
    </row>
    <row r="1193" spans="1:1" x14ac:dyDescent="0.35">
      <c r="A1193" s="178"/>
    </row>
    <row r="1194" spans="1:1" x14ac:dyDescent="0.35">
      <c r="A1194" s="178"/>
    </row>
    <row r="1195" spans="1:1" x14ac:dyDescent="0.35">
      <c r="A1195" s="178"/>
    </row>
    <row r="1196" spans="1:1" x14ac:dyDescent="0.35">
      <c r="A1196" s="178"/>
    </row>
    <row r="1197" spans="1:1" x14ac:dyDescent="0.35">
      <c r="A1197" s="178"/>
    </row>
    <row r="1198" spans="1:1" x14ac:dyDescent="0.35">
      <c r="A1198" s="178"/>
    </row>
    <row r="1199" spans="1:1" x14ac:dyDescent="0.35">
      <c r="A1199" s="178"/>
    </row>
    <row r="1200" spans="1:1" x14ac:dyDescent="0.35">
      <c r="A1200" s="178"/>
    </row>
    <row r="1201" spans="1:1" x14ac:dyDescent="0.35">
      <c r="A1201" s="178"/>
    </row>
    <row r="1202" spans="1:1" x14ac:dyDescent="0.35">
      <c r="A1202" s="178"/>
    </row>
    <row r="1203" spans="1:1" x14ac:dyDescent="0.35">
      <c r="A1203" s="178"/>
    </row>
    <row r="1204" spans="1:1" x14ac:dyDescent="0.35">
      <c r="A1204" s="178"/>
    </row>
    <row r="1205" spans="1:1" x14ac:dyDescent="0.35">
      <c r="A1205" s="178"/>
    </row>
    <row r="1206" spans="1:1" x14ac:dyDescent="0.35">
      <c r="A1206" s="178"/>
    </row>
    <row r="1207" spans="1:1" x14ac:dyDescent="0.35">
      <c r="A1207" s="178"/>
    </row>
    <row r="1208" spans="1:1" x14ac:dyDescent="0.35">
      <c r="A1208" s="178"/>
    </row>
    <row r="1209" spans="1:1" x14ac:dyDescent="0.35">
      <c r="A1209" s="178"/>
    </row>
    <row r="1210" spans="1:1" x14ac:dyDescent="0.35">
      <c r="A1210" s="178"/>
    </row>
    <row r="1211" spans="1:1" x14ac:dyDescent="0.35">
      <c r="A1211" s="178"/>
    </row>
    <row r="1212" spans="1:1" x14ac:dyDescent="0.35">
      <c r="A1212" s="178"/>
    </row>
    <row r="1213" spans="1:1" x14ac:dyDescent="0.35">
      <c r="A1213" s="178"/>
    </row>
    <row r="1214" spans="1:1" x14ac:dyDescent="0.35">
      <c r="A1214" s="178"/>
    </row>
    <row r="1215" spans="1:1" x14ac:dyDescent="0.35">
      <c r="A1215" s="178"/>
    </row>
    <row r="1216" spans="1:1" x14ac:dyDescent="0.35">
      <c r="A1216" s="178"/>
    </row>
    <row r="1217" spans="1:1" x14ac:dyDescent="0.35">
      <c r="A1217" s="178"/>
    </row>
    <row r="1218" spans="1:1" x14ac:dyDescent="0.35">
      <c r="A1218" s="178"/>
    </row>
    <row r="1219" spans="1:1" x14ac:dyDescent="0.35">
      <c r="A1219" s="178"/>
    </row>
    <row r="1220" spans="1:1" x14ac:dyDescent="0.35">
      <c r="A1220" s="178"/>
    </row>
    <row r="1221" spans="1:1" x14ac:dyDescent="0.35">
      <c r="A1221" s="178"/>
    </row>
    <row r="1222" spans="1:1" x14ac:dyDescent="0.35">
      <c r="A1222" s="178"/>
    </row>
    <row r="1223" spans="1:1" x14ac:dyDescent="0.35">
      <c r="A1223" s="178"/>
    </row>
    <row r="1224" spans="1:1" x14ac:dyDescent="0.35">
      <c r="A1224" s="178"/>
    </row>
    <row r="1225" spans="1:1" x14ac:dyDescent="0.35">
      <c r="A1225" s="178"/>
    </row>
    <row r="1226" spans="1:1" x14ac:dyDescent="0.35">
      <c r="A1226" s="178"/>
    </row>
    <row r="1227" spans="1:1" x14ac:dyDescent="0.35">
      <c r="A1227" s="178"/>
    </row>
    <row r="1228" spans="1:1" x14ac:dyDescent="0.35">
      <c r="A1228" s="178"/>
    </row>
    <row r="1229" spans="1:1" x14ac:dyDescent="0.35">
      <c r="A1229" s="178"/>
    </row>
    <row r="1230" spans="1:1" x14ac:dyDescent="0.35">
      <c r="A1230" s="178"/>
    </row>
    <row r="1231" spans="1:1" x14ac:dyDescent="0.35">
      <c r="A1231" s="178"/>
    </row>
    <row r="1232" spans="1:1" x14ac:dyDescent="0.35">
      <c r="A1232" s="178"/>
    </row>
    <row r="1233" spans="1:1" x14ac:dyDescent="0.35">
      <c r="A1233" s="178"/>
    </row>
    <row r="1234" spans="1:1" x14ac:dyDescent="0.35">
      <c r="A1234" s="178"/>
    </row>
    <row r="1235" spans="1:1" x14ac:dyDescent="0.35">
      <c r="A1235" s="178"/>
    </row>
    <row r="1236" spans="1:1" x14ac:dyDescent="0.35">
      <c r="A1236" s="178"/>
    </row>
    <row r="1237" spans="1:1" x14ac:dyDescent="0.35">
      <c r="A1237" s="178"/>
    </row>
    <row r="1238" spans="1:1" x14ac:dyDescent="0.35">
      <c r="A1238" s="178"/>
    </row>
    <row r="1239" spans="1:1" x14ac:dyDescent="0.35">
      <c r="A1239" s="178"/>
    </row>
    <row r="1240" spans="1:1" x14ac:dyDescent="0.35">
      <c r="A1240" s="178"/>
    </row>
    <row r="1241" spans="1:1" x14ac:dyDescent="0.35">
      <c r="A1241" s="178"/>
    </row>
    <row r="1242" spans="1:1" x14ac:dyDescent="0.35">
      <c r="A1242" s="178"/>
    </row>
    <row r="1243" spans="1:1" x14ac:dyDescent="0.35">
      <c r="A1243" s="178"/>
    </row>
    <row r="1244" spans="1:1" x14ac:dyDescent="0.35">
      <c r="A1244" s="178"/>
    </row>
    <row r="1245" spans="1:1" x14ac:dyDescent="0.35">
      <c r="A1245" s="178"/>
    </row>
    <row r="1246" spans="1:1" x14ac:dyDescent="0.35">
      <c r="A1246" s="178"/>
    </row>
    <row r="1247" spans="1:1" x14ac:dyDescent="0.35">
      <c r="A1247" s="178"/>
    </row>
    <row r="1248" spans="1:1" x14ac:dyDescent="0.35">
      <c r="A1248" s="178"/>
    </row>
    <row r="1249" spans="1:1" x14ac:dyDescent="0.35">
      <c r="A1249" s="178"/>
    </row>
    <row r="1250" spans="1:1" x14ac:dyDescent="0.35">
      <c r="A1250" s="178"/>
    </row>
    <row r="1251" spans="1:1" x14ac:dyDescent="0.35">
      <c r="A1251" s="178"/>
    </row>
    <row r="1252" spans="1:1" x14ac:dyDescent="0.35">
      <c r="A1252" s="178"/>
    </row>
    <row r="1253" spans="1:1" x14ac:dyDescent="0.35">
      <c r="A1253" s="178"/>
    </row>
    <row r="1254" spans="1:1" x14ac:dyDescent="0.35">
      <c r="A1254" s="178"/>
    </row>
    <row r="1255" spans="1:1" x14ac:dyDescent="0.35">
      <c r="A1255" s="178"/>
    </row>
    <row r="1256" spans="1:1" x14ac:dyDescent="0.35">
      <c r="A1256" s="178"/>
    </row>
    <row r="1257" spans="1:1" x14ac:dyDescent="0.35">
      <c r="A1257" s="178"/>
    </row>
    <row r="1258" spans="1:1" x14ac:dyDescent="0.35">
      <c r="A1258" s="178"/>
    </row>
    <row r="1259" spans="1:1" x14ac:dyDescent="0.35">
      <c r="A1259" s="178"/>
    </row>
    <row r="1260" spans="1:1" x14ac:dyDescent="0.35">
      <c r="A1260" s="178"/>
    </row>
    <row r="1261" spans="1:1" x14ac:dyDescent="0.35">
      <c r="A1261" s="178"/>
    </row>
    <row r="1262" spans="1:1" x14ac:dyDescent="0.35">
      <c r="A1262" s="178"/>
    </row>
    <row r="1263" spans="1:1" x14ac:dyDescent="0.35">
      <c r="A1263" s="178"/>
    </row>
    <row r="1264" spans="1:1" x14ac:dyDescent="0.35">
      <c r="A1264" s="178"/>
    </row>
    <row r="1265" spans="1:1" x14ac:dyDescent="0.35">
      <c r="A1265" s="178"/>
    </row>
    <row r="1266" spans="1:1" x14ac:dyDescent="0.35">
      <c r="A1266" s="178"/>
    </row>
    <row r="1267" spans="1:1" x14ac:dyDescent="0.35">
      <c r="A1267" s="178"/>
    </row>
    <row r="1268" spans="1:1" x14ac:dyDescent="0.35">
      <c r="A1268" s="178"/>
    </row>
    <row r="1269" spans="1:1" x14ac:dyDescent="0.35">
      <c r="A1269" s="178"/>
    </row>
    <row r="1270" spans="1:1" x14ac:dyDescent="0.35">
      <c r="A1270" s="178"/>
    </row>
    <row r="1271" spans="1:1" x14ac:dyDescent="0.35">
      <c r="A1271" s="178"/>
    </row>
    <row r="1272" spans="1:1" x14ac:dyDescent="0.35">
      <c r="A1272" s="178"/>
    </row>
    <row r="1273" spans="1:1" x14ac:dyDescent="0.35">
      <c r="A1273" s="178"/>
    </row>
    <row r="1274" spans="1:1" x14ac:dyDescent="0.35">
      <c r="A1274" s="178"/>
    </row>
    <row r="1275" spans="1:1" x14ac:dyDescent="0.35">
      <c r="A1275" s="178"/>
    </row>
    <row r="1276" spans="1:1" x14ac:dyDescent="0.35">
      <c r="A1276" s="178"/>
    </row>
    <row r="1277" spans="1:1" x14ac:dyDescent="0.35">
      <c r="A1277" s="178"/>
    </row>
    <row r="1278" spans="1:1" x14ac:dyDescent="0.35">
      <c r="A1278" s="178"/>
    </row>
    <row r="1279" spans="1:1" x14ac:dyDescent="0.35">
      <c r="A1279" s="178"/>
    </row>
    <row r="1280" spans="1:1" x14ac:dyDescent="0.35">
      <c r="A1280" s="178"/>
    </row>
    <row r="1281" spans="1:1" x14ac:dyDescent="0.35">
      <c r="A1281" s="178"/>
    </row>
    <row r="1282" spans="1:1" x14ac:dyDescent="0.35">
      <c r="A1282" s="178"/>
    </row>
    <row r="1283" spans="1:1" x14ac:dyDescent="0.35">
      <c r="A1283" s="178"/>
    </row>
    <row r="1284" spans="1:1" x14ac:dyDescent="0.35">
      <c r="A1284" s="178"/>
    </row>
    <row r="1285" spans="1:1" x14ac:dyDescent="0.35">
      <c r="A1285" s="178"/>
    </row>
    <row r="1286" spans="1:1" x14ac:dyDescent="0.35">
      <c r="A1286" s="178"/>
    </row>
    <row r="1287" spans="1:1" x14ac:dyDescent="0.35">
      <c r="A1287" s="178"/>
    </row>
    <row r="1288" spans="1:1" x14ac:dyDescent="0.35">
      <c r="A1288" s="178"/>
    </row>
    <row r="1289" spans="1:1" x14ac:dyDescent="0.35">
      <c r="A1289" s="178"/>
    </row>
    <row r="1290" spans="1:1" x14ac:dyDescent="0.35">
      <c r="A1290" s="178"/>
    </row>
    <row r="1291" spans="1:1" x14ac:dyDescent="0.35">
      <c r="A1291" s="178"/>
    </row>
    <row r="1292" spans="1:1" x14ac:dyDescent="0.35">
      <c r="A1292" s="178"/>
    </row>
    <row r="1293" spans="1:1" x14ac:dyDescent="0.35">
      <c r="A1293" s="178"/>
    </row>
    <row r="1294" spans="1:1" x14ac:dyDescent="0.35">
      <c r="A1294" s="178"/>
    </row>
    <row r="1295" spans="1:1" x14ac:dyDescent="0.35">
      <c r="A1295" s="178"/>
    </row>
    <row r="1296" spans="1:1" x14ac:dyDescent="0.35">
      <c r="A1296" s="178"/>
    </row>
    <row r="1297" spans="1:1" x14ac:dyDescent="0.35">
      <c r="A1297" s="178"/>
    </row>
    <row r="1298" spans="1:1" x14ac:dyDescent="0.35">
      <c r="A1298" s="178"/>
    </row>
    <row r="1299" spans="1:1" x14ac:dyDescent="0.35">
      <c r="A1299" s="178"/>
    </row>
    <row r="1300" spans="1:1" x14ac:dyDescent="0.35">
      <c r="A1300" s="178"/>
    </row>
    <row r="1301" spans="1:1" x14ac:dyDescent="0.35">
      <c r="A1301" s="178"/>
    </row>
    <row r="1302" spans="1:1" x14ac:dyDescent="0.35">
      <c r="A1302" s="178"/>
    </row>
    <row r="1303" spans="1:1" x14ac:dyDescent="0.35">
      <c r="A1303" s="178"/>
    </row>
    <row r="1304" spans="1:1" x14ac:dyDescent="0.35">
      <c r="A1304" s="178"/>
    </row>
    <row r="1305" spans="1:1" x14ac:dyDescent="0.35">
      <c r="A1305" s="178"/>
    </row>
    <row r="1306" spans="1:1" x14ac:dyDescent="0.35">
      <c r="A1306" s="178"/>
    </row>
    <row r="1307" spans="1:1" x14ac:dyDescent="0.35">
      <c r="A1307" s="178"/>
    </row>
    <row r="1308" spans="1:1" x14ac:dyDescent="0.35">
      <c r="A1308" s="178"/>
    </row>
    <row r="1309" spans="1:1" x14ac:dyDescent="0.35">
      <c r="A1309" s="178"/>
    </row>
    <row r="1310" spans="1:1" x14ac:dyDescent="0.35">
      <c r="A1310" s="178"/>
    </row>
    <row r="1311" spans="1:1" x14ac:dyDescent="0.35">
      <c r="A1311" s="178"/>
    </row>
    <row r="1312" spans="1:1" x14ac:dyDescent="0.35">
      <c r="A1312" s="178"/>
    </row>
    <row r="1313" spans="1:1" x14ac:dyDescent="0.35">
      <c r="A1313" s="178"/>
    </row>
    <row r="1314" spans="1:1" x14ac:dyDescent="0.35">
      <c r="A1314" s="178"/>
    </row>
    <row r="1315" spans="1:1" x14ac:dyDescent="0.35">
      <c r="A1315" s="178"/>
    </row>
    <row r="1316" spans="1:1" x14ac:dyDescent="0.35">
      <c r="A1316" s="178"/>
    </row>
    <row r="1317" spans="1:1" x14ac:dyDescent="0.35">
      <c r="A1317" s="178"/>
    </row>
    <row r="1318" spans="1:1" x14ac:dyDescent="0.35">
      <c r="A1318" s="178"/>
    </row>
    <row r="1319" spans="1:1" x14ac:dyDescent="0.35">
      <c r="A1319" s="178"/>
    </row>
    <row r="1320" spans="1:1" x14ac:dyDescent="0.35">
      <c r="A1320" s="178"/>
    </row>
    <row r="1321" spans="1:1" x14ac:dyDescent="0.35">
      <c r="A1321" s="178"/>
    </row>
    <row r="1322" spans="1:1" x14ac:dyDescent="0.35">
      <c r="A1322" s="178"/>
    </row>
    <row r="1323" spans="1:1" x14ac:dyDescent="0.35">
      <c r="A1323" s="178"/>
    </row>
    <row r="1324" spans="1:1" x14ac:dyDescent="0.35">
      <c r="A1324" s="178"/>
    </row>
    <row r="1325" spans="1:1" x14ac:dyDescent="0.35">
      <c r="A1325" s="178"/>
    </row>
    <row r="1326" spans="1:1" x14ac:dyDescent="0.35">
      <c r="A1326" s="178"/>
    </row>
    <row r="1327" spans="1:1" x14ac:dyDescent="0.35">
      <c r="A1327" s="178"/>
    </row>
    <row r="1328" spans="1:1" x14ac:dyDescent="0.35">
      <c r="A1328" s="178"/>
    </row>
    <row r="1329" spans="1:1" x14ac:dyDescent="0.35">
      <c r="A1329" s="178"/>
    </row>
    <row r="1330" spans="1:1" x14ac:dyDescent="0.35">
      <c r="A1330" s="178"/>
    </row>
    <row r="1331" spans="1:1" x14ac:dyDescent="0.35">
      <c r="A1331" s="178"/>
    </row>
    <row r="1332" spans="1:1" x14ac:dyDescent="0.35">
      <c r="A1332" s="178"/>
    </row>
    <row r="1333" spans="1:1" x14ac:dyDescent="0.35">
      <c r="A1333" s="178"/>
    </row>
    <row r="1334" spans="1:1" x14ac:dyDescent="0.35">
      <c r="A1334" s="178"/>
    </row>
    <row r="1335" spans="1:1" x14ac:dyDescent="0.35">
      <c r="A1335" s="178"/>
    </row>
    <row r="1336" spans="1:1" x14ac:dyDescent="0.35">
      <c r="A1336" s="178"/>
    </row>
    <row r="1337" spans="1:1" x14ac:dyDescent="0.35">
      <c r="A1337" s="178"/>
    </row>
    <row r="1338" spans="1:1" x14ac:dyDescent="0.35">
      <c r="A1338" s="178"/>
    </row>
    <row r="1339" spans="1:1" x14ac:dyDescent="0.35">
      <c r="A1339" s="178"/>
    </row>
    <row r="1340" spans="1:1" x14ac:dyDescent="0.35">
      <c r="A1340" s="178"/>
    </row>
    <row r="1341" spans="1:1" x14ac:dyDescent="0.35">
      <c r="A1341" s="178"/>
    </row>
    <row r="1342" spans="1:1" x14ac:dyDescent="0.35">
      <c r="A1342" s="178"/>
    </row>
    <row r="1343" spans="1:1" x14ac:dyDescent="0.35">
      <c r="A1343" s="178"/>
    </row>
    <row r="1344" spans="1:1" x14ac:dyDescent="0.35">
      <c r="A1344" s="178"/>
    </row>
    <row r="1345" spans="1:1" x14ac:dyDescent="0.35">
      <c r="A1345" s="178"/>
    </row>
    <row r="1346" spans="1:1" x14ac:dyDescent="0.35">
      <c r="A1346" s="178"/>
    </row>
    <row r="1347" spans="1:1" x14ac:dyDescent="0.35">
      <c r="A1347" s="178"/>
    </row>
    <row r="1348" spans="1:1" x14ac:dyDescent="0.35">
      <c r="A1348" s="178"/>
    </row>
    <row r="1349" spans="1:1" x14ac:dyDescent="0.35">
      <c r="A1349" s="178"/>
    </row>
    <row r="1350" spans="1:1" x14ac:dyDescent="0.35">
      <c r="A1350" s="178"/>
    </row>
    <row r="1351" spans="1:1" x14ac:dyDescent="0.35">
      <c r="A1351" s="178"/>
    </row>
    <row r="1352" spans="1:1" x14ac:dyDescent="0.35">
      <c r="A1352" s="178"/>
    </row>
    <row r="1353" spans="1:1" x14ac:dyDescent="0.35">
      <c r="A1353" s="178"/>
    </row>
    <row r="1354" spans="1:1" x14ac:dyDescent="0.35">
      <c r="A1354" s="178"/>
    </row>
    <row r="1355" spans="1:1" x14ac:dyDescent="0.35">
      <c r="A1355" s="178"/>
    </row>
    <row r="1356" spans="1:1" x14ac:dyDescent="0.35">
      <c r="A1356" s="178"/>
    </row>
    <row r="1357" spans="1:1" x14ac:dyDescent="0.35">
      <c r="A1357" s="178"/>
    </row>
    <row r="1358" spans="1:1" x14ac:dyDescent="0.35">
      <c r="A1358" s="178"/>
    </row>
    <row r="1359" spans="1:1" x14ac:dyDescent="0.35">
      <c r="A1359" s="178"/>
    </row>
    <row r="1360" spans="1:1" x14ac:dyDescent="0.35">
      <c r="A1360" s="178"/>
    </row>
    <row r="1361" spans="1:1" x14ac:dyDescent="0.35">
      <c r="A1361" s="178"/>
    </row>
    <row r="1362" spans="1:1" x14ac:dyDescent="0.35">
      <c r="A1362" s="178"/>
    </row>
    <row r="1363" spans="1:1" x14ac:dyDescent="0.35">
      <c r="A1363" s="178"/>
    </row>
    <row r="1364" spans="1:1" x14ac:dyDescent="0.35">
      <c r="A1364" s="178"/>
    </row>
    <row r="1365" spans="1:1" x14ac:dyDescent="0.35">
      <c r="A1365" s="178"/>
    </row>
    <row r="1366" spans="1:1" x14ac:dyDescent="0.35">
      <c r="A1366" s="178"/>
    </row>
    <row r="1367" spans="1:1" x14ac:dyDescent="0.35">
      <c r="A1367" s="178"/>
    </row>
    <row r="1368" spans="1:1" x14ac:dyDescent="0.35">
      <c r="A1368" s="178"/>
    </row>
    <row r="1369" spans="1:1" x14ac:dyDescent="0.35">
      <c r="A1369" s="178"/>
    </row>
    <row r="1370" spans="1:1" x14ac:dyDescent="0.35">
      <c r="A1370" s="178"/>
    </row>
    <row r="1371" spans="1:1" x14ac:dyDescent="0.35">
      <c r="A1371" s="178"/>
    </row>
    <row r="1372" spans="1:1" x14ac:dyDescent="0.35">
      <c r="A1372" s="178"/>
    </row>
    <row r="1373" spans="1:1" x14ac:dyDescent="0.35">
      <c r="A1373" s="178"/>
    </row>
    <row r="1374" spans="1:1" x14ac:dyDescent="0.35">
      <c r="A1374" s="178"/>
    </row>
    <row r="1375" spans="1:1" x14ac:dyDescent="0.35">
      <c r="A1375" s="178"/>
    </row>
    <row r="1376" spans="1:1" x14ac:dyDescent="0.35">
      <c r="A1376" s="178"/>
    </row>
    <row r="1377" spans="1:1" x14ac:dyDescent="0.35">
      <c r="A1377" s="178"/>
    </row>
    <row r="1378" spans="1:1" x14ac:dyDescent="0.35">
      <c r="A1378" s="178"/>
    </row>
    <row r="1379" spans="1:1" x14ac:dyDescent="0.35">
      <c r="A1379" s="178"/>
    </row>
    <row r="1380" spans="1:1" x14ac:dyDescent="0.35">
      <c r="A1380" s="178"/>
    </row>
    <row r="1381" spans="1:1" x14ac:dyDescent="0.35">
      <c r="A1381" s="178"/>
    </row>
    <row r="1382" spans="1:1" x14ac:dyDescent="0.35">
      <c r="A1382" s="178"/>
    </row>
    <row r="1383" spans="1:1" x14ac:dyDescent="0.35">
      <c r="A1383" s="178"/>
    </row>
    <row r="1384" spans="1:1" x14ac:dyDescent="0.35">
      <c r="A1384" s="178"/>
    </row>
    <row r="1385" spans="1:1" x14ac:dyDescent="0.35">
      <c r="A1385" s="178"/>
    </row>
    <row r="1386" spans="1:1" x14ac:dyDescent="0.35">
      <c r="A1386" s="178"/>
    </row>
    <row r="1387" spans="1:1" x14ac:dyDescent="0.35">
      <c r="A1387" s="178"/>
    </row>
    <row r="1388" spans="1:1" x14ac:dyDescent="0.35">
      <c r="A1388" s="178"/>
    </row>
    <row r="1389" spans="1:1" x14ac:dyDescent="0.35">
      <c r="A1389" s="178"/>
    </row>
    <row r="1390" spans="1:1" x14ac:dyDescent="0.35">
      <c r="A1390" s="178"/>
    </row>
    <row r="1391" spans="1:1" x14ac:dyDescent="0.35">
      <c r="A1391" s="178"/>
    </row>
    <row r="1392" spans="1:1" x14ac:dyDescent="0.35">
      <c r="A1392" s="178"/>
    </row>
    <row r="1393" spans="1:1" x14ac:dyDescent="0.35">
      <c r="A1393" s="178"/>
    </row>
    <row r="1394" spans="1:1" x14ac:dyDescent="0.35">
      <c r="A1394" s="178"/>
    </row>
    <row r="1395" spans="1:1" x14ac:dyDescent="0.35">
      <c r="A1395" s="178"/>
    </row>
    <row r="1396" spans="1:1" x14ac:dyDescent="0.35">
      <c r="A1396" s="178"/>
    </row>
    <row r="1397" spans="1:1" x14ac:dyDescent="0.35">
      <c r="A1397" s="178"/>
    </row>
    <row r="1398" spans="1:1" x14ac:dyDescent="0.35">
      <c r="A1398" s="178"/>
    </row>
    <row r="1399" spans="1:1" x14ac:dyDescent="0.35">
      <c r="A1399" s="178"/>
    </row>
    <row r="1400" spans="1:1" x14ac:dyDescent="0.35">
      <c r="A1400" s="178"/>
    </row>
    <row r="1401" spans="1:1" x14ac:dyDescent="0.35">
      <c r="A1401" s="178"/>
    </row>
    <row r="1402" spans="1:1" x14ac:dyDescent="0.35">
      <c r="A1402" s="178"/>
    </row>
    <row r="1403" spans="1:1" x14ac:dyDescent="0.35">
      <c r="A1403" s="178"/>
    </row>
    <row r="1404" spans="1:1" x14ac:dyDescent="0.35">
      <c r="A1404" s="178"/>
    </row>
    <row r="1405" spans="1:1" x14ac:dyDescent="0.35">
      <c r="A1405" s="178"/>
    </row>
    <row r="1406" spans="1:1" x14ac:dyDescent="0.35">
      <c r="A1406" s="178"/>
    </row>
    <row r="1407" spans="1:1" x14ac:dyDescent="0.35">
      <c r="A1407" s="178"/>
    </row>
    <row r="1408" spans="1:1" x14ac:dyDescent="0.35">
      <c r="A1408" s="178"/>
    </row>
    <row r="1409" spans="1:1" x14ac:dyDescent="0.35">
      <c r="A1409" s="178"/>
    </row>
    <row r="1410" spans="1:1" x14ac:dyDescent="0.35">
      <c r="A1410" s="178"/>
    </row>
    <row r="1411" spans="1:1" x14ac:dyDescent="0.35">
      <c r="A1411" s="178"/>
    </row>
    <row r="1412" spans="1:1" x14ac:dyDescent="0.35">
      <c r="A1412" s="178"/>
    </row>
    <row r="1413" spans="1:1" x14ac:dyDescent="0.35">
      <c r="A1413" s="178"/>
    </row>
    <row r="1414" spans="1:1" x14ac:dyDescent="0.35">
      <c r="A1414" s="178"/>
    </row>
    <row r="1415" spans="1:1" x14ac:dyDescent="0.35">
      <c r="A1415" s="178"/>
    </row>
    <row r="1416" spans="1:1" x14ac:dyDescent="0.35">
      <c r="A1416" s="178"/>
    </row>
    <row r="1417" spans="1:1" x14ac:dyDescent="0.35">
      <c r="A1417" s="178"/>
    </row>
    <row r="1418" spans="1:1" x14ac:dyDescent="0.35">
      <c r="A1418" s="178"/>
    </row>
    <row r="1419" spans="1:1" x14ac:dyDescent="0.35">
      <c r="A1419" s="178"/>
    </row>
    <row r="1420" spans="1:1" x14ac:dyDescent="0.35">
      <c r="A1420" s="178"/>
    </row>
    <row r="1421" spans="1:1" x14ac:dyDescent="0.35">
      <c r="A1421" s="178"/>
    </row>
    <row r="1422" spans="1:1" x14ac:dyDescent="0.35">
      <c r="A1422" s="178"/>
    </row>
    <row r="1423" spans="1:1" x14ac:dyDescent="0.35">
      <c r="A1423" s="178"/>
    </row>
    <row r="1424" spans="1:1" x14ac:dyDescent="0.35">
      <c r="A1424" s="178"/>
    </row>
    <row r="1425" spans="1:1" x14ac:dyDescent="0.35">
      <c r="A1425" s="178"/>
    </row>
    <row r="1426" spans="1:1" x14ac:dyDescent="0.35">
      <c r="A1426" s="178"/>
    </row>
    <row r="1427" spans="1:1" x14ac:dyDescent="0.35">
      <c r="A1427" s="207"/>
    </row>
    <row r="1428" spans="1:1" x14ac:dyDescent="0.35">
      <c r="A1428" s="178"/>
    </row>
    <row r="1429" spans="1:1" x14ac:dyDescent="0.35">
      <c r="A1429" s="178"/>
    </row>
    <row r="1430" spans="1:1" x14ac:dyDescent="0.35">
      <c r="A1430" s="178"/>
    </row>
    <row r="1431" spans="1:1" x14ac:dyDescent="0.35">
      <c r="A1431" s="178"/>
    </row>
    <row r="1432" spans="1:1" x14ac:dyDescent="0.35">
      <c r="A1432" s="178"/>
    </row>
    <row r="1433" spans="1:1" x14ac:dyDescent="0.35">
      <c r="A1433" s="178"/>
    </row>
    <row r="1434" spans="1:1" x14ac:dyDescent="0.35">
      <c r="A1434" s="178"/>
    </row>
    <row r="1435" spans="1:1" x14ac:dyDescent="0.35">
      <c r="A1435" s="178"/>
    </row>
    <row r="1436" spans="1:1" x14ac:dyDescent="0.35">
      <c r="A1436" s="178"/>
    </row>
    <row r="1437" spans="1:1" x14ac:dyDescent="0.35">
      <c r="A1437" s="178"/>
    </row>
    <row r="1438" spans="1:1" x14ac:dyDescent="0.35">
      <c r="A1438" s="178"/>
    </row>
    <row r="1439" spans="1:1" x14ac:dyDescent="0.35">
      <c r="A1439" s="178"/>
    </row>
    <row r="1440" spans="1:1" x14ac:dyDescent="0.35">
      <c r="A1440" s="178"/>
    </row>
    <row r="1441" spans="1:1" x14ac:dyDescent="0.35">
      <c r="A1441" s="178"/>
    </row>
    <row r="1442" spans="1:1" x14ac:dyDescent="0.35">
      <c r="A1442" s="178"/>
    </row>
    <row r="1443" spans="1:1" x14ac:dyDescent="0.35">
      <c r="A1443" s="178"/>
    </row>
    <row r="1444" spans="1:1" x14ac:dyDescent="0.35">
      <c r="A1444" s="178"/>
    </row>
    <row r="1445" spans="1:1" x14ac:dyDescent="0.35">
      <c r="A1445" s="178"/>
    </row>
    <row r="1446" spans="1:1" x14ac:dyDescent="0.35">
      <c r="A1446" s="178"/>
    </row>
    <row r="1447" spans="1:1" x14ac:dyDescent="0.35">
      <c r="A1447" s="178"/>
    </row>
    <row r="1448" spans="1:1" x14ac:dyDescent="0.35">
      <c r="A1448" s="178"/>
    </row>
    <row r="1449" spans="1:1" x14ac:dyDescent="0.35">
      <c r="A1449" s="178"/>
    </row>
    <row r="1450" spans="1:1" x14ac:dyDescent="0.35">
      <c r="A1450" s="178"/>
    </row>
    <row r="1451" spans="1:1" x14ac:dyDescent="0.35">
      <c r="A1451" s="178"/>
    </row>
    <row r="1452" spans="1:1" x14ac:dyDescent="0.35">
      <c r="A1452" s="178"/>
    </row>
    <row r="1453" spans="1:1" x14ac:dyDescent="0.35">
      <c r="A1453" s="178"/>
    </row>
    <row r="1454" spans="1:1" x14ac:dyDescent="0.35">
      <c r="A1454" s="178"/>
    </row>
    <row r="1455" spans="1:1" x14ac:dyDescent="0.35">
      <c r="A1455" s="178"/>
    </row>
    <row r="1456" spans="1:1" x14ac:dyDescent="0.35">
      <c r="A1456" s="178"/>
    </row>
    <row r="1457" spans="1:1" x14ac:dyDescent="0.35">
      <c r="A1457" s="178"/>
    </row>
    <row r="1458" spans="1:1" x14ac:dyDescent="0.35">
      <c r="A1458" s="178"/>
    </row>
    <row r="1459" spans="1:1" x14ac:dyDescent="0.35">
      <c r="A1459" s="178"/>
    </row>
    <row r="1460" spans="1:1" x14ac:dyDescent="0.35">
      <c r="A1460" s="178"/>
    </row>
    <row r="1461" spans="1:1" x14ac:dyDescent="0.35">
      <c r="A1461" s="178"/>
    </row>
    <row r="1462" spans="1:1" x14ac:dyDescent="0.35">
      <c r="A1462" s="178"/>
    </row>
    <row r="1463" spans="1:1" x14ac:dyDescent="0.35">
      <c r="A1463" s="178"/>
    </row>
    <row r="1464" spans="1:1" x14ac:dyDescent="0.35">
      <c r="A1464" s="178"/>
    </row>
    <row r="1465" spans="1:1" x14ac:dyDescent="0.35">
      <c r="A1465" s="178"/>
    </row>
    <row r="1466" spans="1:1" x14ac:dyDescent="0.35">
      <c r="A1466" s="178"/>
    </row>
    <row r="1467" spans="1:1" x14ac:dyDescent="0.35">
      <c r="A1467" s="178"/>
    </row>
    <row r="1468" spans="1:1" x14ac:dyDescent="0.35">
      <c r="A1468" s="178"/>
    </row>
    <row r="1469" spans="1:1" x14ac:dyDescent="0.35">
      <c r="A1469" s="178"/>
    </row>
    <row r="1470" spans="1:1" x14ac:dyDescent="0.35">
      <c r="A1470" s="178"/>
    </row>
    <row r="1471" spans="1:1" x14ac:dyDescent="0.35">
      <c r="A1471" s="178"/>
    </row>
    <row r="1472" spans="1:1" x14ac:dyDescent="0.35">
      <c r="A1472" s="178"/>
    </row>
    <row r="1473" spans="1:1" x14ac:dyDescent="0.35">
      <c r="A1473" s="178"/>
    </row>
    <row r="1474" spans="1:1" x14ac:dyDescent="0.35">
      <c r="A1474" s="178"/>
    </row>
    <row r="1475" spans="1:1" x14ac:dyDescent="0.35">
      <c r="A1475" s="178"/>
    </row>
    <row r="1476" spans="1:1" x14ac:dyDescent="0.35">
      <c r="A1476" s="178"/>
    </row>
    <row r="1477" spans="1:1" x14ac:dyDescent="0.35">
      <c r="A1477" s="178"/>
    </row>
    <row r="1478" spans="1:1" x14ac:dyDescent="0.35">
      <c r="A1478" s="178"/>
    </row>
    <row r="1479" spans="1:1" x14ac:dyDescent="0.35">
      <c r="A1479" s="178"/>
    </row>
    <row r="1480" spans="1:1" x14ac:dyDescent="0.35">
      <c r="A1480" s="178"/>
    </row>
    <row r="1481" spans="1:1" x14ac:dyDescent="0.35">
      <c r="A1481" s="178"/>
    </row>
    <row r="1482" spans="1:1" x14ac:dyDescent="0.35">
      <c r="A1482" s="178"/>
    </row>
    <row r="1483" spans="1:1" x14ac:dyDescent="0.35">
      <c r="A1483" s="178"/>
    </row>
    <row r="1484" spans="1:1" x14ac:dyDescent="0.35">
      <c r="A1484" s="178"/>
    </row>
    <row r="1485" spans="1:1" x14ac:dyDescent="0.35">
      <c r="A1485" s="178"/>
    </row>
    <row r="1486" spans="1:1" x14ac:dyDescent="0.35">
      <c r="A1486" s="178"/>
    </row>
    <row r="1487" spans="1:1" x14ac:dyDescent="0.35">
      <c r="A1487" s="178"/>
    </row>
    <row r="1488" spans="1:1" x14ac:dyDescent="0.35">
      <c r="A1488" s="178"/>
    </row>
    <row r="1489" spans="1:1" x14ac:dyDescent="0.35">
      <c r="A1489" s="178"/>
    </row>
    <row r="1490" spans="1:1" x14ac:dyDescent="0.35">
      <c r="A1490" s="178"/>
    </row>
    <row r="1491" spans="1:1" x14ac:dyDescent="0.35">
      <c r="A1491" s="178"/>
    </row>
    <row r="1492" spans="1:1" x14ac:dyDescent="0.35">
      <c r="A1492" s="178"/>
    </row>
    <row r="1493" spans="1:1" x14ac:dyDescent="0.35">
      <c r="A1493" s="178"/>
    </row>
    <row r="1494" spans="1:1" x14ac:dyDescent="0.35">
      <c r="A1494" s="178"/>
    </row>
    <row r="1495" spans="1:1" x14ac:dyDescent="0.35">
      <c r="A1495" s="178"/>
    </row>
    <row r="1496" spans="1:1" x14ac:dyDescent="0.35">
      <c r="A1496" s="178"/>
    </row>
    <row r="1497" spans="1:1" x14ac:dyDescent="0.35">
      <c r="A1497" s="178"/>
    </row>
    <row r="1498" spans="1:1" x14ac:dyDescent="0.35">
      <c r="A1498" s="178"/>
    </row>
    <row r="1499" spans="1:1" x14ac:dyDescent="0.35">
      <c r="A1499" s="178"/>
    </row>
    <row r="1500" spans="1:1" x14ac:dyDescent="0.35">
      <c r="A1500" s="178"/>
    </row>
    <row r="1501" spans="1:1" x14ac:dyDescent="0.35">
      <c r="A1501" s="178"/>
    </row>
    <row r="1502" spans="1:1" x14ac:dyDescent="0.35">
      <c r="A1502" s="178"/>
    </row>
    <row r="1503" spans="1:1" x14ac:dyDescent="0.35">
      <c r="A1503" s="178"/>
    </row>
    <row r="1504" spans="1:1" x14ac:dyDescent="0.35">
      <c r="A1504" s="178"/>
    </row>
    <row r="1505" spans="1:1" x14ac:dyDescent="0.35">
      <c r="A1505" s="178"/>
    </row>
    <row r="1506" spans="1:1" x14ac:dyDescent="0.35">
      <c r="A1506" s="178"/>
    </row>
    <row r="1507" spans="1:1" x14ac:dyDescent="0.35">
      <c r="A1507" s="178"/>
    </row>
    <row r="1508" spans="1:1" x14ac:dyDescent="0.35">
      <c r="A1508" s="178"/>
    </row>
    <row r="1509" spans="1:1" x14ac:dyDescent="0.35">
      <c r="A1509" s="178"/>
    </row>
    <row r="1510" spans="1:1" x14ac:dyDescent="0.35">
      <c r="A1510" s="178"/>
    </row>
    <row r="1511" spans="1:1" x14ac:dyDescent="0.35">
      <c r="A1511" s="178"/>
    </row>
    <row r="1512" spans="1:1" x14ac:dyDescent="0.35">
      <c r="A1512" s="178"/>
    </row>
    <row r="1513" spans="1:1" x14ac:dyDescent="0.35">
      <c r="A1513" s="178"/>
    </row>
    <row r="1514" spans="1:1" x14ac:dyDescent="0.35">
      <c r="A1514" s="178"/>
    </row>
    <row r="1515" spans="1:1" x14ac:dyDescent="0.35">
      <c r="A1515" s="178"/>
    </row>
    <row r="1516" spans="1:1" x14ac:dyDescent="0.35">
      <c r="A1516" s="178"/>
    </row>
    <row r="1517" spans="1:1" x14ac:dyDescent="0.35">
      <c r="A1517" s="178"/>
    </row>
    <row r="1518" spans="1:1" x14ac:dyDescent="0.35">
      <c r="A1518" s="178"/>
    </row>
    <row r="1519" spans="1:1" x14ac:dyDescent="0.35">
      <c r="A1519" s="178"/>
    </row>
  </sheetData>
  <sortState xmlns:xlrd2="http://schemas.microsoft.com/office/spreadsheetml/2017/richdata2" ref="A4:C1518">
    <sortCondition descending="1" ref="B4:B1518"/>
  </sortState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6D14-F73F-45A1-A703-FCF7815B7DFB}">
  <dimension ref="A1:J1"/>
  <sheetViews>
    <sheetView workbookViewId="0">
      <selection activeCell="I14" sqref="I14"/>
    </sheetView>
  </sheetViews>
  <sheetFormatPr defaultRowHeight="14.5" x14ac:dyDescent="0.35"/>
  <sheetData>
    <row r="1" spans="1:10" x14ac:dyDescent="0.35">
      <c r="A1" s="254"/>
      <c r="B1" s="254"/>
      <c r="C1" s="254"/>
      <c r="D1" s="254"/>
      <c r="E1" s="254"/>
      <c r="F1" s="254"/>
      <c r="G1" s="254"/>
      <c r="H1" s="254"/>
      <c r="I1" s="254"/>
      <c r="J1" s="254"/>
    </row>
  </sheetData>
  <mergeCells count="1">
    <mergeCell ref="A1:J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947C-5D29-4C7A-8C87-06250402CCD1}">
  <dimension ref="A1:N59"/>
  <sheetViews>
    <sheetView tabSelected="1" workbookViewId="0">
      <selection activeCell="F9" sqref="F9"/>
    </sheetView>
  </sheetViews>
  <sheetFormatPr defaultRowHeight="14.5" x14ac:dyDescent="0.35"/>
  <cols>
    <col min="1" max="1" width="19.90625" customWidth="1"/>
    <col min="2" max="2" width="24.90625" customWidth="1"/>
    <col min="3" max="3" width="20" customWidth="1"/>
    <col min="4" max="4" width="16.36328125" customWidth="1"/>
    <col min="5" max="5" width="5.453125" customWidth="1"/>
    <col min="6" max="7" width="18.1796875" customWidth="1"/>
    <col min="8" max="8" width="3.6328125" customWidth="1"/>
    <col min="9" max="9" width="13.81640625" bestFit="1" customWidth="1"/>
    <col min="10" max="10" width="13.90625" bestFit="1" customWidth="1"/>
    <col min="11" max="11" width="5.90625" customWidth="1"/>
    <col min="12" max="12" width="16.54296875" customWidth="1"/>
    <col min="13" max="13" width="12.90625" bestFit="1" customWidth="1"/>
  </cols>
  <sheetData>
    <row r="1" spans="1:14" ht="35" customHeight="1" x14ac:dyDescent="0.55000000000000004">
      <c r="A1" s="255" t="s">
        <v>3359</v>
      </c>
      <c r="B1" s="255"/>
      <c r="C1" s="255"/>
      <c r="D1" s="255"/>
      <c r="E1" s="255"/>
      <c r="F1" s="255"/>
      <c r="G1" s="255"/>
      <c r="H1" s="255"/>
      <c r="I1" s="255"/>
      <c r="J1" s="255"/>
    </row>
    <row r="3" spans="1:14" ht="18.5" x14ac:dyDescent="0.45">
      <c r="A3" s="256" t="s">
        <v>3360</v>
      </c>
      <c r="B3" s="256"/>
      <c r="C3" s="256"/>
      <c r="D3" s="256"/>
      <c r="I3" s="269" t="s">
        <v>3403</v>
      </c>
      <c r="J3" s="269"/>
      <c r="K3" s="269"/>
      <c r="L3" s="269"/>
      <c r="M3" s="269"/>
      <c r="N3" s="269"/>
    </row>
    <row r="4" spans="1:14" x14ac:dyDescent="0.35">
      <c r="A4" s="258" t="s">
        <v>3361</v>
      </c>
      <c r="B4" s="258" t="s">
        <v>3362</v>
      </c>
      <c r="C4" s="258" t="s">
        <v>3363</v>
      </c>
      <c r="D4" s="258"/>
      <c r="I4" s="261" t="s">
        <v>3404</v>
      </c>
      <c r="J4" s="270">
        <f>B5</f>
        <v>9605934.790000001</v>
      </c>
      <c r="K4" s="271"/>
      <c r="L4" s="261" t="s">
        <v>3405</v>
      </c>
      <c r="M4" s="270">
        <f>B11</f>
        <v>1174284.8800000004</v>
      </c>
      <c r="N4" s="271"/>
    </row>
    <row r="5" spans="1:14" x14ac:dyDescent="0.35">
      <c r="A5" t="s">
        <v>3364</v>
      </c>
      <c r="B5" s="259">
        <f>'Monthly sheet '!D6+'Monthly sheet '!D7</f>
        <v>9605934.790000001</v>
      </c>
      <c r="C5" t="s">
        <v>3365</v>
      </c>
      <c r="I5" s="261" t="s">
        <v>3406</v>
      </c>
      <c r="J5" s="272">
        <f>B9</f>
        <v>5.6603203903693895E-2</v>
      </c>
      <c r="K5" s="271"/>
      <c r="L5" s="261" t="s">
        <v>3407</v>
      </c>
      <c r="M5" s="270">
        <f>B27</f>
        <v>9500330.9600000009</v>
      </c>
      <c r="N5" s="271"/>
    </row>
    <row r="6" spans="1:14" x14ac:dyDescent="0.35">
      <c r="A6" t="s">
        <v>3366</v>
      </c>
      <c r="B6" s="259">
        <f>'Monthly sheet '!D6</f>
        <v>8846029.8900000006</v>
      </c>
      <c r="C6" t="s">
        <v>3367</v>
      </c>
      <c r="I6" s="261" t="s">
        <v>3408</v>
      </c>
      <c r="J6" s="270">
        <f>'Monthly sheet '!M40</f>
        <v>28252761.877999544</v>
      </c>
      <c r="K6" s="271"/>
      <c r="L6" s="261" t="s">
        <v>3409</v>
      </c>
      <c r="M6" s="270">
        <f>'Monthly sheet '!H31</f>
        <v>3246489.66</v>
      </c>
      <c r="N6" s="271"/>
    </row>
    <row r="7" spans="1:14" x14ac:dyDescent="0.35">
      <c r="A7" t="s">
        <v>3368</v>
      </c>
      <c r="B7" s="259">
        <f>'Monthly sheet '!D7</f>
        <v>759904.9</v>
      </c>
      <c r="C7" t="s">
        <v>3369</v>
      </c>
    </row>
    <row r="8" spans="1:14" x14ac:dyDescent="0.35">
      <c r="A8" t="s">
        <v>3370</v>
      </c>
      <c r="B8" s="259">
        <f>'Monthly sheet '!L21</f>
        <v>542952.45000000112</v>
      </c>
    </row>
    <row r="9" spans="1:14" x14ac:dyDescent="0.35">
      <c r="A9" t="s">
        <v>3371</v>
      </c>
      <c r="B9" s="260">
        <f>'Monthly sheet '!M21</f>
        <v>5.6603203903693895E-2</v>
      </c>
      <c r="C9" t="s">
        <v>3372</v>
      </c>
    </row>
    <row r="10" spans="1:14" x14ac:dyDescent="0.35">
      <c r="A10" t="s">
        <v>3373</v>
      </c>
      <c r="B10" s="273">
        <f>'Monthly sheet '!L24</f>
        <v>-12544.949999998906</v>
      </c>
      <c r="C10" t="s">
        <v>3374</v>
      </c>
    </row>
    <row r="11" spans="1:14" x14ac:dyDescent="0.35">
      <c r="A11" t="s">
        <v>3375</v>
      </c>
      <c r="B11" s="259">
        <f>'Monthly sheet '!L32</f>
        <v>1174284.8800000004</v>
      </c>
      <c r="C11" t="s">
        <v>3376</v>
      </c>
    </row>
    <row r="12" spans="1:14" x14ac:dyDescent="0.35">
      <c r="A12" t="s">
        <v>3377</v>
      </c>
      <c r="B12" s="260">
        <f>'Monthly sheet '!M32</f>
        <v>3.2801933657517379E-2</v>
      </c>
    </row>
    <row r="14" spans="1:14" ht="18.5" x14ac:dyDescent="0.45">
      <c r="A14" s="256" t="s">
        <v>3410</v>
      </c>
      <c r="B14" s="256"/>
      <c r="C14" s="256"/>
      <c r="D14" s="256"/>
      <c r="F14" s="257" t="s">
        <v>3386</v>
      </c>
      <c r="G14" s="257"/>
    </row>
    <row r="15" spans="1:14" x14ac:dyDescent="0.35">
      <c r="A15" s="258" t="s">
        <v>3387</v>
      </c>
      <c r="B15" s="274">
        <v>46174</v>
      </c>
      <c r="C15" s="274">
        <v>46143</v>
      </c>
      <c r="D15" s="258" t="s">
        <v>3411</v>
      </c>
      <c r="F15" t="s">
        <v>3387</v>
      </c>
      <c r="G15" s="224">
        <v>46174</v>
      </c>
    </row>
    <row r="16" spans="1:14" x14ac:dyDescent="0.35">
      <c r="A16" t="s">
        <v>41</v>
      </c>
      <c r="B16" s="171">
        <f>'Monthly sheet '!C18</f>
        <v>2362</v>
      </c>
      <c r="C16" s="171">
        <f>'Monthly sheet '!D18</f>
        <v>2702</v>
      </c>
      <c r="D16" s="260">
        <f>(B16-C16)/C16</f>
        <v>-0.12583271650629163</v>
      </c>
      <c r="F16" t="s">
        <v>41</v>
      </c>
      <c r="G16">
        <f>B16</f>
        <v>2362</v>
      </c>
    </row>
    <row r="17" spans="1:7" x14ac:dyDescent="0.35">
      <c r="A17" t="s">
        <v>40</v>
      </c>
      <c r="B17" s="171">
        <f>'Monthly sheet '!C19</f>
        <v>9987</v>
      </c>
      <c r="C17" s="171">
        <f>'Monthly sheet '!D19</f>
        <v>9663</v>
      </c>
      <c r="D17" s="260">
        <f>(B17-C17)/C17</f>
        <v>3.3529959639863396E-2</v>
      </c>
      <c r="F17" t="s">
        <v>40</v>
      </c>
      <c r="G17">
        <f>B17</f>
        <v>9987</v>
      </c>
    </row>
    <row r="18" spans="1:7" x14ac:dyDescent="0.35">
      <c r="A18" t="s">
        <v>48</v>
      </c>
      <c r="B18" s="171">
        <f>'Monthly sheet '!C20</f>
        <v>15762</v>
      </c>
      <c r="C18" s="171">
        <f>'Monthly sheet '!D20</f>
        <v>14573</v>
      </c>
      <c r="D18" s="260">
        <f>(B18-C18)/C18</f>
        <v>8.1589240376037875E-2</v>
      </c>
      <c r="F18" t="s">
        <v>48</v>
      </c>
      <c r="G18">
        <f>B18</f>
        <v>15762</v>
      </c>
    </row>
    <row r="19" spans="1:7" x14ac:dyDescent="0.35">
      <c r="A19" s="261" t="s">
        <v>47</v>
      </c>
      <c r="B19" s="262">
        <f>SUM(B16:B18)</f>
        <v>28111</v>
      </c>
      <c r="C19" s="262">
        <f>SUM(C16:C18)</f>
        <v>26938</v>
      </c>
      <c r="D19" s="264">
        <f>(B19-C19)/C19</f>
        <v>4.3544435370109137E-2</v>
      </c>
    </row>
    <row r="21" spans="1:7" ht="18.5" x14ac:dyDescent="0.45">
      <c r="A21" s="256" t="s">
        <v>3412</v>
      </c>
      <c r="B21" s="256"/>
      <c r="C21" s="256"/>
      <c r="D21" s="256"/>
      <c r="F21" s="257" t="s">
        <v>3388</v>
      </c>
      <c r="G21" s="257"/>
    </row>
    <row r="22" spans="1:7" x14ac:dyDescent="0.35">
      <c r="A22" s="258" t="s">
        <v>3413</v>
      </c>
      <c r="B22" s="258" t="s">
        <v>3390</v>
      </c>
      <c r="C22" s="258" t="s">
        <v>3381</v>
      </c>
      <c r="D22" s="258" t="s">
        <v>3414</v>
      </c>
      <c r="F22" t="s">
        <v>3389</v>
      </c>
      <c r="G22" t="s">
        <v>3390</v>
      </c>
    </row>
    <row r="23" spans="1:7" x14ac:dyDescent="0.35">
      <c r="A23" t="s">
        <v>149</v>
      </c>
      <c r="B23" s="259">
        <f>'Monthly sheet '!H20</f>
        <v>5750509.4800000004</v>
      </c>
      <c r="C23" s="260">
        <f>B23/B27</f>
        <v>0.60529570014053491</v>
      </c>
      <c r="D23" s="275" t="s">
        <v>3415</v>
      </c>
      <c r="F23" t="s">
        <v>149</v>
      </c>
      <c r="G23" s="179">
        <f>B23</f>
        <v>5750509.4800000004</v>
      </c>
    </row>
    <row r="24" spans="1:7" x14ac:dyDescent="0.35">
      <c r="A24" t="s">
        <v>148</v>
      </c>
      <c r="B24" s="259">
        <f>'Monthly sheet '!H21</f>
        <v>2659650.17</v>
      </c>
      <c r="C24" s="260">
        <f>B24/B27</f>
        <v>0.27995342280159885</v>
      </c>
      <c r="D24" s="276" t="s">
        <v>3416</v>
      </c>
      <c r="F24" t="s">
        <v>148</v>
      </c>
      <c r="G24" s="179">
        <f>B24</f>
        <v>2659650.17</v>
      </c>
    </row>
    <row r="25" spans="1:7" x14ac:dyDescent="0.35">
      <c r="A25" t="s">
        <v>147</v>
      </c>
      <c r="B25" s="259">
        <f>'Monthly sheet '!H22</f>
        <v>339704.74</v>
      </c>
      <c r="C25" s="260">
        <f>B25/B27</f>
        <v>3.575714798045309E-2</v>
      </c>
      <c r="D25" s="277" t="s">
        <v>3417</v>
      </c>
      <c r="F25" t="s">
        <v>147</v>
      </c>
      <c r="G25" s="179">
        <f>B25</f>
        <v>339704.74</v>
      </c>
    </row>
    <row r="26" spans="1:7" x14ac:dyDescent="0.35">
      <c r="A26" t="s">
        <v>3391</v>
      </c>
      <c r="B26" s="259">
        <f>'Monthly sheet '!H23+'Monthly sheet '!H24</f>
        <v>750466.57</v>
      </c>
      <c r="C26" s="260">
        <f>B26/B27</f>
        <v>7.8993729077413102E-2</v>
      </c>
      <c r="D26" s="278" t="s">
        <v>3418</v>
      </c>
      <c r="F26" t="s">
        <v>3391</v>
      </c>
      <c r="G26" s="179">
        <f>B26</f>
        <v>750466.57</v>
      </c>
    </row>
    <row r="27" spans="1:7" x14ac:dyDescent="0.35">
      <c r="A27" s="261" t="s">
        <v>47</v>
      </c>
      <c r="B27" s="263">
        <f>SUM(B23:B26)</f>
        <v>9500330.9600000009</v>
      </c>
      <c r="C27" s="264">
        <f>SUM(C23:C26)</f>
        <v>0.99999999999999989</v>
      </c>
      <c r="D27" s="261"/>
    </row>
    <row r="29" spans="1:7" ht="18.5" x14ac:dyDescent="0.45">
      <c r="A29" s="256" t="s">
        <v>3378</v>
      </c>
      <c r="B29" s="256"/>
      <c r="C29" s="256"/>
      <c r="D29" s="256"/>
      <c r="F29" s="257" t="s">
        <v>3392</v>
      </c>
      <c r="G29" s="257"/>
    </row>
    <row r="30" spans="1:7" x14ac:dyDescent="0.35">
      <c r="A30" s="258" t="s">
        <v>3379</v>
      </c>
      <c r="B30" s="258" t="s">
        <v>9</v>
      </c>
      <c r="C30" s="258" t="s">
        <v>3380</v>
      </c>
      <c r="D30" s="258" t="s">
        <v>3381</v>
      </c>
      <c r="F30" t="s">
        <v>3379</v>
      </c>
      <c r="G30" t="s">
        <v>3362</v>
      </c>
    </row>
    <row r="31" spans="1:7" x14ac:dyDescent="0.35">
      <c r="A31" t="s">
        <v>48</v>
      </c>
      <c r="B31" s="171">
        <f>'Monthly sheet '!L36</f>
        <v>72417</v>
      </c>
      <c r="C31" s="259">
        <f>'Monthly sheet '!M36</f>
        <v>20103816</v>
      </c>
      <c r="D31" s="260">
        <f>C31/$C$34</f>
        <v>0.71156993736795915</v>
      </c>
      <c r="F31" t="s">
        <v>48</v>
      </c>
      <c r="G31" s="259">
        <f>C31</f>
        <v>20103816</v>
      </c>
    </row>
    <row r="32" spans="1:7" x14ac:dyDescent="0.35">
      <c r="A32" t="s">
        <v>40</v>
      </c>
      <c r="B32" s="171">
        <f>'Monthly sheet '!L37</f>
        <v>26594</v>
      </c>
      <c r="C32" s="259">
        <f>'Monthly sheet '!M37</f>
        <v>6028419</v>
      </c>
      <c r="D32" s="260">
        <f>C32/$C$34</f>
        <v>0.21337450214714535</v>
      </c>
      <c r="F32" t="s">
        <v>40</v>
      </c>
      <c r="G32" s="259">
        <f>C32</f>
        <v>6028419</v>
      </c>
    </row>
    <row r="33" spans="1:7" x14ac:dyDescent="0.35">
      <c r="A33" t="s">
        <v>41</v>
      </c>
      <c r="B33" s="171">
        <f>'Monthly sheet '!L38</f>
        <v>3891.47</v>
      </c>
      <c r="C33" s="259">
        <f>'Monthly sheet '!M38</f>
        <v>999058.3</v>
      </c>
      <c r="D33" s="260">
        <f>C33/$C$34</f>
        <v>3.5361438443225895E-2</v>
      </c>
      <c r="F33" t="s">
        <v>41</v>
      </c>
      <c r="G33" s="259">
        <f>C33</f>
        <v>999058.3</v>
      </c>
    </row>
    <row r="34" spans="1:7" x14ac:dyDescent="0.35">
      <c r="A34" s="261" t="s">
        <v>47</v>
      </c>
      <c r="B34" s="262">
        <f>SUM(B31:B33)</f>
        <v>102902.47</v>
      </c>
      <c r="C34" s="263">
        <f>'Monthly sheet '!M40</f>
        <v>28252761.877999544</v>
      </c>
      <c r="D34" s="264">
        <f>SUM(D31:D33)</f>
        <v>0.96030587795833044</v>
      </c>
    </row>
    <row r="36" spans="1:7" ht="18.5" x14ac:dyDescent="0.45">
      <c r="A36" s="256" t="s">
        <v>3382</v>
      </c>
      <c r="B36" s="256"/>
      <c r="C36" s="256"/>
      <c r="D36" s="256"/>
      <c r="F36" s="257" t="s">
        <v>3393</v>
      </c>
      <c r="G36" s="257"/>
    </row>
    <row r="37" spans="1:7" x14ac:dyDescent="0.35">
      <c r="A37" s="258" t="s">
        <v>3383</v>
      </c>
      <c r="B37" s="258" t="s">
        <v>411</v>
      </c>
      <c r="C37" s="258" t="s">
        <v>9</v>
      </c>
      <c r="D37" s="258" t="s">
        <v>3380</v>
      </c>
      <c r="F37" t="s">
        <v>411</v>
      </c>
      <c r="G37" t="s">
        <v>3362</v>
      </c>
    </row>
    <row r="38" spans="1:7" x14ac:dyDescent="0.35">
      <c r="A38" s="279">
        <v>1</v>
      </c>
      <c r="B38" s="279" t="str">
        <f>'Monthly sheet '!B25</f>
        <v>INSPIRE RENTALS PTY LTD</v>
      </c>
      <c r="C38" s="280">
        <f>'Monthly sheet '!C25</f>
        <v>1648.56</v>
      </c>
      <c r="D38" s="281">
        <f>'Monthly sheet '!D25</f>
        <v>400521.1</v>
      </c>
      <c r="F38" t="s">
        <v>3394</v>
      </c>
      <c r="G38" s="259">
        <f>D38</f>
        <v>400521.1</v>
      </c>
    </row>
    <row r="39" spans="1:7" x14ac:dyDescent="0.35">
      <c r="A39" s="279">
        <v>2</v>
      </c>
      <c r="B39" s="279" t="str">
        <f>'Monthly sheet '!B26</f>
        <v>GH LEATHERS LTD</v>
      </c>
      <c r="C39" s="280">
        <f>'Monthly sheet '!C26</f>
        <v>1464.08</v>
      </c>
      <c r="D39" s="281">
        <f>'Monthly sheet '!D26</f>
        <v>677878.46</v>
      </c>
      <c r="F39" t="s">
        <v>3395</v>
      </c>
      <c r="G39" s="259">
        <f>D39</f>
        <v>677878.46</v>
      </c>
    </row>
    <row r="40" spans="1:7" x14ac:dyDescent="0.35">
      <c r="A40" s="279">
        <v>3</v>
      </c>
      <c r="B40" s="279" t="str">
        <f>'Monthly sheet '!B27</f>
        <v>JULIANA DESIGNS (PTY) LTD</v>
      </c>
      <c r="C40" s="280">
        <f>'Monthly sheet '!C27</f>
        <v>1244.83</v>
      </c>
      <c r="D40" s="281">
        <f>'Monthly sheet '!D27</f>
        <v>329879.95</v>
      </c>
      <c r="F40" t="s">
        <v>3396</v>
      </c>
      <c r="G40" s="259">
        <f>D40</f>
        <v>329879.95</v>
      </c>
    </row>
    <row r="41" spans="1:7" x14ac:dyDescent="0.35">
      <c r="A41">
        <v>4</v>
      </c>
      <c r="B41" t="str">
        <f>'Monthly sheet '!B28</f>
        <v>COUCH POTATO</v>
      </c>
      <c r="C41" s="126">
        <f>'Monthly sheet '!C28</f>
        <v>856.94</v>
      </c>
      <c r="D41" s="259">
        <f>'Monthly sheet '!D28</f>
        <v>213084.55</v>
      </c>
      <c r="F41" t="s">
        <v>3333</v>
      </c>
      <c r="G41" s="259">
        <f>D41</f>
        <v>213084.55</v>
      </c>
    </row>
    <row r="42" spans="1:7" x14ac:dyDescent="0.35">
      <c r="A42">
        <v>5</v>
      </c>
      <c r="B42" t="str">
        <f>'Monthly sheet '!B29</f>
        <v>INYATHI LOUNGE (PTY) LTD</v>
      </c>
      <c r="C42" s="126">
        <f>'Monthly sheet '!C29</f>
        <v>834.04</v>
      </c>
      <c r="D42" s="259">
        <f>'Monthly sheet '!D29</f>
        <v>202000.95</v>
      </c>
      <c r="F42" t="s">
        <v>3397</v>
      </c>
      <c r="G42" s="259">
        <f>D42</f>
        <v>202000.95</v>
      </c>
    </row>
    <row r="43" spans="1:7" x14ac:dyDescent="0.35">
      <c r="A43">
        <v>6</v>
      </c>
      <c r="B43" t="str">
        <f>'Monthly sheet '!B30</f>
        <v>ALWAYS AROUND (PTY) LTD T/A BEESDAM</v>
      </c>
      <c r="C43" s="126">
        <f>'Monthly sheet '!C30</f>
        <v>787.17</v>
      </c>
      <c r="D43" s="259">
        <f>'Monthly sheet '!D30</f>
        <v>221597.55</v>
      </c>
      <c r="F43" t="s">
        <v>3398</v>
      </c>
      <c r="G43" s="259">
        <f>D43</f>
        <v>221597.55</v>
      </c>
    </row>
    <row r="44" spans="1:7" x14ac:dyDescent="0.35">
      <c r="A44">
        <v>7</v>
      </c>
      <c r="B44" t="str">
        <f>'Monthly sheet '!B31</f>
        <v>LEATHER DIRECT (Pty) Ltd</v>
      </c>
      <c r="C44" s="126">
        <f>'Monthly sheet '!C31</f>
        <v>722.42</v>
      </c>
      <c r="D44" s="259">
        <f>'Monthly sheet '!D31</f>
        <v>181422</v>
      </c>
      <c r="F44" t="s">
        <v>3399</v>
      </c>
      <c r="G44" s="259">
        <f>D44</f>
        <v>181422</v>
      </c>
    </row>
    <row r="45" spans="1:7" x14ac:dyDescent="0.35">
      <c r="A45">
        <v>8</v>
      </c>
      <c r="B45" t="str">
        <f>'Monthly sheet '!B32</f>
        <v>ROWDY INTERNATIONAL (Pty) Ltd</v>
      </c>
      <c r="C45" s="126">
        <f>'Monthly sheet '!C32</f>
        <v>707.48</v>
      </c>
      <c r="D45" s="259">
        <f>'Monthly sheet '!D32</f>
        <v>215960.95</v>
      </c>
      <c r="F45" t="s">
        <v>3400</v>
      </c>
      <c r="G45" s="259">
        <f>D45</f>
        <v>215960.95</v>
      </c>
    </row>
    <row r="46" spans="1:7" x14ac:dyDescent="0.35">
      <c r="A46">
        <v>9</v>
      </c>
      <c r="B46" t="str">
        <f>'Monthly sheet '!B33</f>
        <v>LEATHER DIRECT  (Pty) Ltd</v>
      </c>
      <c r="C46" s="126">
        <f>'Monthly sheet '!C33</f>
        <v>597.6</v>
      </c>
      <c r="D46" s="259">
        <f>'Monthly sheet '!D33</f>
        <v>148022.79999999999</v>
      </c>
      <c r="F46" t="s">
        <v>3401</v>
      </c>
      <c r="G46" s="259">
        <f>D46</f>
        <v>148022.79999999999</v>
      </c>
    </row>
    <row r="47" spans="1:7" x14ac:dyDescent="0.35">
      <c r="A47">
        <v>10</v>
      </c>
      <c r="B47" t="str">
        <f>'Monthly sheet '!B34</f>
        <v>FF CLOTHING GROUP CC</v>
      </c>
      <c r="C47" s="126">
        <f>'Monthly sheet '!C34</f>
        <v>583.21</v>
      </c>
      <c r="D47" s="259">
        <f>'Monthly sheet '!D34</f>
        <v>232642.6</v>
      </c>
      <c r="F47" t="s">
        <v>3402</v>
      </c>
      <c r="G47" s="259">
        <f>D47</f>
        <v>232642.6</v>
      </c>
    </row>
    <row r="49" spans="1:4" ht="18.5" x14ac:dyDescent="0.45">
      <c r="A49" s="256" t="s">
        <v>3384</v>
      </c>
      <c r="B49" s="256"/>
      <c r="C49" s="256"/>
      <c r="D49" s="256"/>
    </row>
    <row r="50" spans="1:4" ht="28" customHeight="1" x14ac:dyDescent="0.35">
      <c r="A50" s="265" t="s">
        <v>3385</v>
      </c>
      <c r="B50" s="265"/>
      <c r="C50" s="265"/>
      <c r="D50" s="265"/>
    </row>
    <row r="51" spans="1:4" ht="28" customHeight="1" x14ac:dyDescent="0.35">
      <c r="A51" s="266" t="s">
        <v>3419</v>
      </c>
      <c r="B51" s="266"/>
      <c r="C51" s="266"/>
      <c r="D51" s="266"/>
    </row>
    <row r="52" spans="1:4" ht="28" customHeight="1" x14ac:dyDescent="0.35">
      <c r="A52" s="268" t="s">
        <v>3420</v>
      </c>
      <c r="B52" s="268"/>
      <c r="C52" s="268"/>
      <c r="D52" s="268"/>
    </row>
    <row r="53" spans="1:4" ht="28" customHeight="1" x14ac:dyDescent="0.35">
      <c r="A53" s="266" t="s">
        <v>3421</v>
      </c>
      <c r="B53" s="266"/>
      <c r="C53" s="266"/>
      <c r="D53" s="266"/>
    </row>
    <row r="54" spans="1:4" ht="28" customHeight="1" x14ac:dyDescent="0.35">
      <c r="A54" s="267" t="s">
        <v>3422</v>
      </c>
      <c r="B54" s="267"/>
      <c r="C54" s="267"/>
      <c r="D54" s="267"/>
    </row>
    <row r="55" spans="1:4" ht="28" customHeight="1" x14ac:dyDescent="0.35">
      <c r="A55" s="266" t="s">
        <v>3423</v>
      </c>
      <c r="B55" s="266"/>
      <c r="C55" s="266"/>
      <c r="D55" s="266"/>
    </row>
    <row r="56" spans="1:4" ht="28" customHeight="1" x14ac:dyDescent="0.35">
      <c r="A56" s="268" t="s">
        <v>3424</v>
      </c>
      <c r="B56" s="268"/>
      <c r="C56" s="268"/>
      <c r="D56" s="268"/>
    </row>
    <row r="57" spans="1:4" ht="28" customHeight="1" x14ac:dyDescent="0.35">
      <c r="A57" s="266" t="s">
        <v>3425</v>
      </c>
      <c r="B57" s="266"/>
      <c r="C57" s="266"/>
      <c r="D57" s="266"/>
    </row>
    <row r="58" spans="1:4" ht="28" customHeight="1" x14ac:dyDescent="0.35">
      <c r="A58" s="265" t="s">
        <v>3426</v>
      </c>
      <c r="B58" s="265"/>
      <c r="C58" s="265"/>
      <c r="D58" s="265"/>
    </row>
    <row r="59" spans="1:4" ht="28" customHeight="1" x14ac:dyDescent="0.35">
      <c r="A59" s="267" t="s">
        <v>3427</v>
      </c>
      <c r="B59" s="267"/>
      <c r="C59" s="267"/>
      <c r="D59" s="267"/>
    </row>
  </sheetData>
  <mergeCells count="18">
    <mergeCell ref="A57:D57"/>
    <mergeCell ref="A58:D58"/>
    <mergeCell ref="A59:D59"/>
    <mergeCell ref="I3:N3"/>
    <mergeCell ref="A14:D14"/>
    <mergeCell ref="A21:D21"/>
    <mergeCell ref="A51:D51"/>
    <mergeCell ref="A52:D52"/>
    <mergeCell ref="A53:D53"/>
    <mergeCell ref="A54:D54"/>
    <mergeCell ref="A55:D55"/>
    <mergeCell ref="A56:D56"/>
    <mergeCell ref="A1:J1"/>
    <mergeCell ref="A3:D3"/>
    <mergeCell ref="A29:D29"/>
    <mergeCell ref="A36:D36"/>
    <mergeCell ref="A49:D49"/>
    <mergeCell ref="A50:D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Monthly sheet </vt:lpstr>
      <vt:lpstr>Sheet1</vt:lpstr>
      <vt:lpstr>Balance sheet </vt:lpstr>
      <vt:lpstr>Income Statement </vt:lpstr>
      <vt:lpstr>Year to date</vt:lpstr>
      <vt:lpstr>Debtors </vt:lpstr>
      <vt:lpstr>Suppliers </vt:lpstr>
      <vt:lpstr>Sales </vt:lpstr>
      <vt:lpstr>Invoices</vt:lpstr>
      <vt:lpstr>Stock </vt:lpstr>
      <vt:lpstr>Per Customer </vt:lpstr>
      <vt:lpstr>Hannitan</vt:lpstr>
      <vt:lpstr>FLW</vt:lpstr>
      <vt:lpstr>Customer for the year</vt:lpstr>
      <vt:lpstr>Dashboard Analysis</vt:lpstr>
      <vt:lpstr>Analysis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Sannette</dc:creator>
  <cp:lastModifiedBy>Sannette Potgieter</cp:lastModifiedBy>
  <cp:lastPrinted>2026-07-07T07:43:42Z</cp:lastPrinted>
  <dcterms:created xsi:type="dcterms:W3CDTF">2015-08-14T09:28:44Z</dcterms:created>
  <dcterms:modified xsi:type="dcterms:W3CDTF">2026-07-08T08:46:01Z</dcterms:modified>
</cp:coreProperties>
</file>